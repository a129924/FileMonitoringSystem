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ATA\IAN\IAN1\back\"/>
    </mc:Choice>
  </mc:AlternateContent>
  <xr:revisionPtr revIDLastSave="0" documentId="13_ncr:1_{A3D04975-C2C1-4E3F-BF41-71BA30B45F79}" xr6:coauthVersionLast="47" xr6:coauthVersionMax="47" xr10:uidLastSave="{00000000-0000-0000-0000-000000000000}"/>
  <bookViews>
    <workbookView xWindow="-120" yWindow="-120" windowWidth="29040" windowHeight="15840" tabRatio="765" activeTab="2" xr2:uid="{00000000-000D-0000-FFFF-FFFF00000000}"/>
  </bookViews>
  <sheets>
    <sheet name="ERR" sheetId="208" r:id="rId1"/>
    <sheet name="來檔" sheetId="207" r:id="rId2"/>
    <sheet name="main" sheetId="9" r:id="rId3"/>
    <sheet name="TEMP" sheetId="214" r:id="rId4"/>
    <sheet name="批次內容" sheetId="122" r:id="rId5"/>
    <sheet name="批次" sheetId="123" r:id="rId6"/>
    <sheet name="檢查檔案是否存在" sheetId="215" r:id="rId7"/>
    <sheet name="ChkRectNote" sheetId="216" r:id="rId8"/>
  </sheets>
  <functionGroups builtInGroupCount="19"/>
  <externalReferences>
    <externalReference r:id="rId9"/>
    <externalReference r:id="rId10"/>
    <externalReference r:id="rId11"/>
    <externalReference r:id="rId12"/>
  </externalReferences>
  <definedNames>
    <definedName name="_________C65718">#REF!</definedName>
    <definedName name="_________D65718">#REF!</definedName>
    <definedName name="_______C65718">#REF!</definedName>
    <definedName name="_______D65718">#REF!</definedName>
    <definedName name="______C65718">#REF!</definedName>
    <definedName name="______D65718">#REF!</definedName>
    <definedName name="_____C65718">#REF!</definedName>
    <definedName name="_____D65718">#REF!</definedName>
    <definedName name="____aaa1">#REF!</definedName>
    <definedName name="____C65718">#REF!</definedName>
    <definedName name="____D65718">#REF!</definedName>
    <definedName name="___aaa1">#REF!</definedName>
    <definedName name="___C65718">#REF!</definedName>
    <definedName name="___D65718">#REF!</definedName>
    <definedName name="___JE103103">[1]JE10310X!$A$1:$B$161</definedName>
    <definedName name="___xlfn.BAHTTEXT" hidden="1">#NAME?</definedName>
    <definedName name="__aaa1">#REF!</definedName>
    <definedName name="__C65718">#REF!</definedName>
    <definedName name="__D65718">#REF!</definedName>
    <definedName name="__JE103103">[1]JE10310X!$A$1:$B$161</definedName>
    <definedName name="__xlfn.BAHTTEXT" hidden="1">#NAME?</definedName>
    <definedName name="_A144000">#REF!</definedName>
    <definedName name="_aaa1">#REF!</definedName>
    <definedName name="_C65718">#REF!</definedName>
    <definedName name="_D65718">#REF!</definedName>
    <definedName name="_JE103103">[1]JE10310X!$A$1:$B$161</definedName>
    <definedName name="_Key1" hidden="1">'[2]210701'!#REF!</definedName>
    <definedName name="_Sort" hidden="1">'[2]210701'!#REF!</definedName>
    <definedName name="A">#REF!,#REF!</definedName>
    <definedName name="aa">#REF!</definedName>
    <definedName name="aaa">#REF!</definedName>
    <definedName name="abc">#REF!</definedName>
    <definedName name="Accu.">#REF!</definedName>
    <definedName name="ALLOCATION">#REF!</definedName>
    <definedName name="ALTERATION">#REF!</definedName>
    <definedName name="ALTERNATION">#REF!</definedName>
    <definedName name="bbb">#REF!</definedName>
    <definedName name="BD">#REF!</definedName>
    <definedName name="BUDGETS">[3]BSLA!$H$2</definedName>
    <definedName name="CCN_ALTER">#REF!</definedName>
    <definedName name="CCN_COMPUTER">#REF!</definedName>
    <definedName name="CCN_FURNITURE">#REF!</definedName>
    <definedName name="CCN_OFIC_MCS">#REF!</definedName>
    <definedName name="CCN_VEH">#REF!</definedName>
    <definedName name="CEO">#REF!</definedName>
    <definedName name="CHANNEL">#REF!</definedName>
    <definedName name="COLL_OP">#REF!</definedName>
    <definedName name="COMPUTER">#REF!</definedName>
    <definedName name="Cost">#REF!</definedName>
    <definedName name="cost1">#REF!</definedName>
    <definedName name="CREDIT">#REF!</definedName>
    <definedName name="_xlnm.Database">#REF!</definedName>
    <definedName name="Depn.">#REF!</definedName>
    <definedName name="DEPN_ALTER">#REF!</definedName>
    <definedName name="DEPN_COMPUTER">#REF!</definedName>
    <definedName name="DEPN_FURNITURE">#REF!</definedName>
    <definedName name="DEPN_OFIC_MCS">#REF!</definedName>
    <definedName name="DEPN_VEH">#REF!</definedName>
    <definedName name="Depn1">#REF!</definedName>
    <definedName name="depnalter">#REF!</definedName>
    <definedName name="depnveh1">#REF!</definedName>
    <definedName name="EFS">#REF!</definedName>
    <definedName name="FIN">#REF!</definedName>
    <definedName name="FP">#REF!</definedName>
    <definedName name="FUHBIG5">#REF!</definedName>
    <definedName name="FURNITURE">#REF!</definedName>
    <definedName name="GCF">#REF!</definedName>
    <definedName name="HR_ADM">#REF!</definedName>
    <definedName name="ICBC">#REF!</definedName>
    <definedName name="KS">#REF!</definedName>
    <definedName name="mach">#REF!</definedName>
    <definedName name="MACHINE">#REF!</definedName>
    <definedName name="NET_WORK">#REF!</definedName>
    <definedName name="Not_By_AMEX_Step_F___Export">#REF!</definedName>
    <definedName name="OP">#REF!</definedName>
    <definedName name="PERIODS">[4]BSLA!$L$1:$L$152</definedName>
    <definedName name="ppp">#REF!</definedName>
    <definedName name="QUALITY">#REF!</definedName>
    <definedName name="RISK">#REF!</definedName>
    <definedName name="SYS">#REF!</definedName>
    <definedName name="t">#REF!</definedName>
    <definedName name="Tai_yfp91_4y">#REF!</definedName>
    <definedName name="TC">#REF!</definedName>
    <definedName name="temp">#REF!</definedName>
    <definedName name="test">#REF!</definedName>
    <definedName name="TP">#REF!</definedName>
    <definedName name="UserExists">[4]BSLA!#REF!</definedName>
    <definedName name="ValidBooks">[4]BSLA!$A$1:$A$27</definedName>
    <definedName name="ValidBSLAs">[4]BSLA!#REF!</definedName>
    <definedName name="VEHICLE">#REF!</definedName>
    <definedName name="WWW">#REF!</definedName>
    <definedName name="提供員編單位離職資料">#REF!</definedName>
    <definedName name="總表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19" i="123" l="1"/>
  <c r="E19" i="123"/>
  <c r="B19" i="123"/>
  <c r="AY18" i="123"/>
  <c r="E18" i="123"/>
  <c r="B18" i="123"/>
  <c r="AY17" i="123"/>
  <c r="E17" i="123"/>
  <c r="B17" i="123"/>
  <c r="AO12" i="123"/>
  <c r="AP12" i="123"/>
  <c r="AQ12" i="123"/>
  <c r="AR12" i="123"/>
  <c r="U12" i="123"/>
  <c r="V12" i="123"/>
  <c r="V13" i="123"/>
  <c r="U13" i="123"/>
  <c r="AR13" i="123"/>
  <c r="AQ13" i="123"/>
  <c r="AP13" i="123"/>
  <c r="AO13" i="123"/>
  <c r="B8" i="122"/>
  <c r="AN13" i="123" s="1"/>
  <c r="AN12" i="123" l="1"/>
  <c r="AY10" i="123"/>
  <c r="E10" i="123"/>
  <c r="B10" i="123"/>
  <c r="B4" i="122"/>
  <c r="Q15" i="123" l="1"/>
  <c r="Q16" i="123"/>
  <c r="AX13" i="123"/>
  <c r="AX12" i="123"/>
  <c r="AW12" i="123"/>
  <c r="AV12" i="123"/>
  <c r="AU12" i="123"/>
  <c r="AT12" i="123"/>
  <c r="AS12" i="123"/>
  <c r="AL12" i="123"/>
  <c r="AK12" i="123"/>
  <c r="AE12" i="123"/>
  <c r="AD12" i="123"/>
  <c r="AC12" i="123"/>
  <c r="AB12" i="123"/>
  <c r="AA12" i="123"/>
  <c r="Z12" i="123"/>
  <c r="Y12" i="123"/>
  <c r="X12" i="123"/>
  <c r="W12" i="123"/>
  <c r="T12" i="123"/>
  <c r="B12" i="123"/>
  <c r="AY11" i="123"/>
  <c r="E11" i="123"/>
  <c r="B11" i="123"/>
  <c r="AY9" i="123"/>
  <c r="E9" i="123"/>
  <c r="B9" i="123"/>
  <c r="AY8" i="123"/>
  <c r="E8" i="123"/>
  <c r="B8" i="123"/>
  <c r="E3" i="123" l="1"/>
  <c r="B13" i="122"/>
  <c r="B16" i="123" l="1"/>
  <c r="B15" i="123"/>
  <c r="B14" i="123"/>
  <c r="B4" i="123"/>
  <c r="B5" i="123"/>
  <c r="B6" i="123"/>
  <c r="B7" i="123"/>
  <c r="B3" i="123"/>
  <c r="D1" i="9"/>
  <c r="E1" i="123" l="1"/>
  <c r="D19" i="123" s="1"/>
  <c r="AE16" i="123"/>
  <c r="AE15" i="123"/>
  <c r="AE13" i="123"/>
  <c r="K19" i="123" l="1"/>
  <c r="H19" i="123"/>
  <c r="D17" i="123"/>
  <c r="G17" i="123" s="1"/>
  <c r="D18" i="123"/>
  <c r="H18" i="123" s="1"/>
  <c r="K18" i="123"/>
  <c r="B1" i="123"/>
  <c r="K17" i="123"/>
  <c r="AY16" i="123"/>
  <c r="S16" i="123"/>
  <c r="R16" i="123"/>
  <c r="G19" i="123" l="1"/>
  <c r="G18" i="123"/>
  <c r="H17" i="123"/>
  <c r="R15" i="123"/>
  <c r="S15" i="123"/>
  <c r="AY15" i="123" l="1"/>
  <c r="E14" i="123" l="1"/>
  <c r="A1" i="9" l="1"/>
  <c r="AY14" i="123" l="1"/>
  <c r="D10" i="123" l="1"/>
  <c r="K10" i="123" l="1"/>
  <c r="G10" i="123"/>
  <c r="H12" i="123"/>
  <c r="G12" i="123"/>
  <c r="D12" i="123"/>
  <c r="K8" i="123"/>
  <c r="K9" i="123"/>
  <c r="K11" i="123"/>
  <c r="D9" i="123"/>
  <c r="H9" i="123" s="1"/>
  <c r="D11" i="123"/>
  <c r="G11" i="123" s="1"/>
  <c r="D8" i="123"/>
  <c r="H8" i="123" s="1"/>
  <c r="D14" i="123"/>
  <c r="H14" i="123" s="1"/>
  <c r="D7" i="123"/>
  <c r="G7" i="123" s="1"/>
  <c r="D5" i="123"/>
  <c r="G5" i="123" s="1"/>
  <c r="D6" i="123"/>
  <c r="G6" i="123" s="1"/>
  <c r="D3" i="123"/>
  <c r="G3" i="123" s="1"/>
  <c r="D4" i="123"/>
  <c r="G4" i="123" s="1"/>
  <c r="G16" i="123"/>
  <c r="H16" i="123"/>
  <c r="D15" i="123"/>
  <c r="D16" i="123"/>
  <c r="U16" i="123"/>
  <c r="H15" i="123"/>
  <c r="U15" i="123"/>
  <c r="G15" i="123"/>
  <c r="K14" i="123"/>
  <c r="D13" i="123"/>
  <c r="G13" i="123"/>
  <c r="H13" i="123"/>
  <c r="H10" i="123" l="1"/>
  <c r="H11" i="123"/>
  <c r="G8" i="123"/>
  <c r="G9" i="123"/>
  <c r="H7" i="123"/>
  <c r="H6" i="123"/>
  <c r="G14" i="123"/>
  <c r="H4" i="123"/>
  <c r="H3" i="123"/>
  <c r="H5" i="123"/>
  <c r="AW13" i="123"/>
  <c r="AV13" i="123"/>
  <c r="AU13" i="123"/>
  <c r="AT13" i="123"/>
  <c r="AS13" i="123"/>
  <c r="AL13" i="123"/>
  <c r="AK13" i="123"/>
  <c r="AD13" i="123"/>
  <c r="AC13" i="123"/>
  <c r="AB13" i="123"/>
  <c r="AA13" i="123"/>
  <c r="Z13" i="123"/>
  <c r="Y13" i="123"/>
  <c r="X13" i="123"/>
  <c r="T13" i="123"/>
  <c r="W13" i="123"/>
  <c r="B13" i="123" l="1"/>
  <c r="AY7" i="123"/>
  <c r="E7" i="123"/>
  <c r="AY6" i="123"/>
  <c r="E6" i="123"/>
  <c r="AY5" i="123"/>
  <c r="E5" i="123"/>
  <c r="AY4" i="123"/>
  <c r="E4" i="123"/>
  <c r="AY3" i="123"/>
  <c r="C1" i="123"/>
  <c r="B25" i="122"/>
  <c r="B24" i="122"/>
  <c r="B23" i="122"/>
  <c r="B22" i="122"/>
  <c r="B21" i="122"/>
  <c r="AJ13" i="123" l="1"/>
  <c r="AJ12" i="123"/>
  <c r="AF13" i="123"/>
  <c r="AF12" i="123"/>
  <c r="AG13" i="123"/>
  <c r="AG12" i="123"/>
  <c r="AH13" i="123"/>
  <c r="AH12" i="123"/>
  <c r="AI13" i="123"/>
  <c r="AI12" i="1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溫雅婷</author>
  </authors>
  <commentList>
    <comment ref="G1" authorId="0" shapeId="0" xr:uid="{8A728945-8C54-4718-9793-CC458415428E}">
      <text>
        <r>
          <rPr>
            <b/>
            <sz val="9"/>
            <color indexed="81"/>
            <rFont val="細明體"/>
            <family val="3"/>
            <charset val="136"/>
          </rPr>
          <t>貼上要抽測的保單號碼</t>
        </r>
        <r>
          <rPr>
            <b/>
            <sz val="9"/>
            <color indexed="81"/>
            <rFont val="Tahoma"/>
            <family val="2"/>
          </rPr>
          <t>,</t>
        </r>
        <r>
          <rPr>
            <b/>
            <sz val="9"/>
            <color indexed="81"/>
            <rFont val="細明體"/>
            <family val="3"/>
            <charset val="136"/>
          </rPr>
          <t>中間用空格隔開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吳惠菁</author>
  </authors>
  <commentList>
    <comment ref="A7" authorId="0" shapeId="0" xr:uid="{00000000-0006-0000-0400-000001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交寄局碼</t>
        </r>
      </text>
    </comment>
    <comment ref="A14" authorId="0" shapeId="0" xr:uid="{00000000-0006-0000-0400-000002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作業人員姓名</t>
        </r>
      </text>
    </comment>
    <comment ref="A15" authorId="0" shapeId="0" xr:uid="{00000000-0006-0000-0400-000003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作業人員工號</t>
        </r>
      </text>
    </comment>
    <comment ref="A16" authorId="0" shapeId="0" xr:uid="{00000000-0006-0000-0400-000004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檢核人員工號</t>
        </r>
      </text>
    </comment>
    <comment ref="A17" authorId="0" shapeId="0" xr:uid="{00000000-0006-0000-0400-000005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作業工時</t>
        </r>
      </text>
    </comment>
    <comment ref="A18" authorId="0" shapeId="0" xr:uid="{00000000-0006-0000-0400-000006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檢核工時</t>
        </r>
      </text>
    </comment>
    <comment ref="A19" authorId="0" shapeId="0" xr:uid="{00000000-0006-0000-0400-000007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作業加班工時</t>
        </r>
      </text>
    </comment>
    <comment ref="A20" authorId="0" shapeId="0" xr:uid="{00000000-0006-0000-0400-000008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檢核加班工時</t>
        </r>
      </text>
    </comment>
    <comment ref="A21" authorId="0" shapeId="0" xr:uid="{00000000-0006-0000-0400-000009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給客戶測試檔案時間</t>
        </r>
      </text>
    </comment>
    <comment ref="A22" authorId="0" shapeId="0" xr:uid="{00000000-0006-0000-0400-00000A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客戶確認時間</t>
        </r>
      </text>
    </comment>
    <comment ref="A23" authorId="0" shapeId="0" xr:uid="{00000000-0006-0000-0400-00000B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檔案上機時間</t>
        </r>
      </text>
    </comment>
    <comment ref="A24" authorId="0" shapeId="0" xr:uid="{00000000-0006-0000-0400-00000C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客戶來檔時間</t>
        </r>
      </text>
    </comment>
    <comment ref="A25" authorId="0" shapeId="0" xr:uid="{00000000-0006-0000-0400-00000D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預計生產時間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吳惠菁</author>
  </authors>
  <commentList>
    <comment ref="E1" authorId="0" shapeId="0" xr:uid="{00000000-0006-0000-0500-000001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作業路徑</t>
        </r>
      </text>
    </comment>
    <comment ref="F1" authorId="0" shapeId="0" xr:uid="{00000000-0006-0000-0500-000002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放在</t>
        </r>
        <r>
          <rPr>
            <sz val="9"/>
            <color indexed="81"/>
            <rFont val="Tahoma"/>
            <family val="2"/>
          </rPr>
          <t>ASB</t>
        </r>
        <r>
          <rPr>
            <sz val="9"/>
            <color indexed="81"/>
            <rFont val="細明體"/>
            <family val="3"/>
            <charset val="136"/>
          </rPr>
          <t>內的資料夾名稱</t>
        </r>
      </text>
    </comment>
    <comment ref="G1" authorId="0" shapeId="0" xr:uid="{00000000-0006-0000-0500-000003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Job</t>
        </r>
        <r>
          <rPr>
            <sz val="9"/>
            <color indexed="81"/>
            <rFont val="細明體"/>
            <family val="3"/>
            <charset val="136"/>
          </rPr>
          <t>檔目錄</t>
        </r>
      </text>
    </comment>
    <comment ref="L1" authorId="0" shapeId="0" xr:uid="{00000000-0006-0000-0500-000004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ODBCDataInput 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N1" authorId="0" shapeId="0" xr:uid="{00000000-0006-0000-0500-000005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ODBCDataInput 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P1" authorId="0" shapeId="0" xr:uid="{00000000-0006-0000-0500-000006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Q1" authorId="0" shapeId="0" xr:uid="{00000000-0006-0000-0500-000007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R1" authorId="0" shapeId="0" xr:uid="{00000000-0006-0000-0500-000008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S1" authorId="0" shapeId="0" xr:uid="{00000000-0006-0000-0500-000009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T1" authorId="0" shapeId="0" xr:uid="{00000000-0006-0000-0500-00000A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U1" authorId="0" shapeId="0" xr:uid="{00000000-0006-0000-0500-00000B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V1" authorId="0" shapeId="0" xr:uid="{00000000-0006-0000-0500-00000C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W1" authorId="0" shapeId="0" xr:uid="{00000000-0006-0000-0500-00000D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X1" authorId="0" shapeId="0" xr:uid="{00000000-0006-0000-0500-00000E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Y1" authorId="0" shapeId="0" xr:uid="{00000000-0006-0000-0500-00000F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Z1" authorId="0" shapeId="0" xr:uid="{00000000-0006-0000-0500-000010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A1" authorId="0" shapeId="0" xr:uid="{00000000-0006-0000-0500-000011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B1" authorId="0" shapeId="0" xr:uid="{00000000-0006-0000-0500-000012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C1" authorId="0" shapeId="0" xr:uid="{00000000-0006-0000-0500-000013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D1" authorId="0" shapeId="0" xr:uid="{00000000-0006-0000-0500-000014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E1" authorId="0" shapeId="0" xr:uid="{00000000-0006-0000-0500-000015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F1" authorId="0" shapeId="0" xr:uid="{00000000-0006-0000-0500-000016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G1" authorId="0" shapeId="0" xr:uid="{00000000-0006-0000-0500-000017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H1" authorId="0" shapeId="0" xr:uid="{00000000-0006-0000-0500-000018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I1" authorId="0" shapeId="0" xr:uid="{00000000-0006-0000-0500-000019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J1" authorId="0" shapeId="0" xr:uid="{00000000-0006-0000-0500-00001A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K1" authorId="0" shapeId="0" xr:uid="{00000000-0006-0000-0500-00001B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L1" authorId="0" shapeId="0" xr:uid="{00000000-0006-0000-0500-00001C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M1" authorId="0" shapeId="0" xr:uid="{00000000-0006-0000-0500-00001D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N1" authorId="0" shapeId="0" xr:uid="{00000000-0006-0000-0500-00001E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O1" authorId="0" shapeId="0" xr:uid="{00000000-0006-0000-0500-00001F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P1" authorId="0" shapeId="0" xr:uid="{00000000-0006-0000-0500-000020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Q1" authorId="0" shapeId="0" xr:uid="{00000000-0006-0000-0500-000021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R1" authorId="0" shapeId="0" xr:uid="{01ECF97F-7E09-4C71-83C8-4173E71C9C31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S1" authorId="0" shapeId="0" xr:uid="{00000000-0006-0000-0500-000023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T1" authorId="0" shapeId="0" xr:uid="{00000000-0006-0000-0500-000024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U1" authorId="0" shapeId="0" xr:uid="{00000000-0006-0000-0500-000025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V1" authorId="0" shapeId="0" xr:uid="{00000000-0006-0000-0500-000026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W1" authorId="0" shapeId="0" xr:uid="{00000000-0006-0000-0500-000027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AX1" authorId="0" shapeId="0" xr:uid="{BDC4A03F-13F8-4FF5-B6C9-5662B7065032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ParamInpu</t>
        </r>
        <r>
          <rPr>
            <sz val="9"/>
            <color indexed="81"/>
            <rFont val="細明體"/>
            <family val="3"/>
            <charset val="136"/>
          </rPr>
          <t>模組名稱</t>
        </r>
      </text>
    </comment>
    <comment ref="P2" authorId="0" shapeId="0" xr:uid="{00000000-0006-0000-0500-000029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正面底圖</t>
        </r>
        <r>
          <rPr>
            <sz val="9"/>
            <color indexed="81"/>
            <rFont val="Tahoma"/>
            <family val="2"/>
          </rPr>
          <t>)</t>
        </r>
      </text>
    </comment>
    <comment ref="Q2" authorId="0" shapeId="0" xr:uid="{00000000-0006-0000-0500-00002A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紅章</t>
        </r>
        <r>
          <rPr>
            <sz val="9"/>
            <color indexed="81"/>
            <rFont val="Tahoma"/>
            <family val="2"/>
          </rPr>
          <t>)</t>
        </r>
      </text>
    </comment>
    <comment ref="R2" authorId="0" shapeId="0" xr:uid="{00000000-0006-0000-0500-00002B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U2" authorId="0" shapeId="0" xr:uid="{00000000-0006-0000-0500-00002C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V2" authorId="0" shapeId="0" xr:uid="{00000000-0006-0000-0500-00002D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W2" authorId="0" shapeId="0" xr:uid="{00000000-0006-0000-0500-00002E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X2" authorId="0" shapeId="0" xr:uid="{00000000-0006-0000-0500-00002F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Y2" authorId="0" shapeId="0" xr:uid="{00000000-0006-0000-0500-000030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00000000-0006-0000-0500-000031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A2" authorId="0" shapeId="0" xr:uid="{00000000-0006-0000-0500-000032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B2" authorId="0" shapeId="0" xr:uid="{00000000-0006-0000-0500-000033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C2" authorId="0" shapeId="0" xr:uid="{00000000-0006-0000-0500-000034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D2" authorId="0" shapeId="0" xr:uid="{00000000-0006-0000-0500-000035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E2" authorId="0" shapeId="0" xr:uid="{00000000-0006-0000-0500-000036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F2" authorId="0" shapeId="0" xr:uid="{00000000-0006-0000-0500-000037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G2" authorId="0" shapeId="0" xr:uid="{00000000-0006-0000-0500-000038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H2" authorId="0" shapeId="0" xr:uid="{00000000-0006-0000-0500-000039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I2" authorId="0" shapeId="0" xr:uid="{00000000-0006-0000-0500-00003A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J2" authorId="0" shapeId="0" xr:uid="{00000000-0006-0000-0500-00003B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K2" authorId="0" shapeId="0" xr:uid="{00000000-0006-0000-0500-00003C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L2" authorId="0" shapeId="0" xr:uid="{00000000-0006-0000-0500-00003D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M2" authorId="0" shapeId="0" xr:uid="{00000000-0006-0000-0500-00003E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N2" authorId="0" shapeId="0" xr:uid="{00000000-0006-0000-0500-00003F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O2" authorId="0" shapeId="0" xr:uid="{00000000-0006-0000-0500-000040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P2" authorId="0" shapeId="0" xr:uid="{00000000-0006-0000-0500-000041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Q2" authorId="0" shapeId="0" xr:uid="{00000000-0006-0000-0500-000042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R2" authorId="0" shapeId="0" xr:uid="{00000000-0006-0000-0500-000043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S2" authorId="0" shapeId="0" xr:uid="{00000000-0006-0000-0500-000044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T2" authorId="0" shapeId="0" xr:uid="{00000000-0006-0000-0500-000045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U2" authorId="0" shapeId="0" xr:uid="{00000000-0006-0000-0500-000046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V2" authorId="0" shapeId="0" xr:uid="{00000000-0006-0000-0500-000047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W2" authorId="0" shapeId="0" xr:uid="{00000000-0006-0000-0500-000048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  <comment ref="AX2" authorId="0" shapeId="0" xr:uid="{00000000-0006-0000-0500-000049000000}">
      <text>
        <r>
          <rPr>
            <b/>
            <sz val="9"/>
            <color indexed="81"/>
            <rFont val="細明體"/>
            <family val="3"/>
            <charset val="136"/>
          </rPr>
          <t>吳惠菁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Param</t>
        </r>
        <r>
          <rPr>
            <sz val="9"/>
            <color indexed="81"/>
            <rFont val="細明體"/>
            <family val="3"/>
            <charset val="136"/>
          </rPr>
          <t>模組內的</t>
        </r>
        <r>
          <rPr>
            <sz val="9"/>
            <color indexed="81"/>
            <rFont val="Tahoma"/>
            <family val="2"/>
          </rPr>
          <t>Field Name(</t>
        </r>
        <r>
          <rPr>
            <sz val="9"/>
            <color indexed="81"/>
            <rFont val="細明體"/>
            <family val="3"/>
            <charset val="136"/>
          </rPr>
          <t>底版開關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(0:</t>
        </r>
        <r>
          <rPr>
            <sz val="9"/>
            <color indexed="81"/>
            <rFont val="細明體"/>
            <family val="3"/>
            <charset val="136"/>
          </rPr>
          <t>關</t>
        </r>
        <r>
          <rPr>
            <sz val="9"/>
            <color indexed="81"/>
            <rFont val="Tahoma"/>
            <family val="2"/>
          </rPr>
          <t>,1:</t>
        </r>
        <r>
          <rPr>
            <sz val="9"/>
            <color indexed="81"/>
            <rFont val="細明體"/>
            <family val="3"/>
            <charset val="136"/>
          </rPr>
          <t>開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楊沛雯</author>
  </authors>
  <commentList>
    <comment ref="K2" authorId="0" shapeId="0" xr:uid="{0672F0F6-8DEE-42B3-A297-B9231FA41F94}">
      <text>
        <r>
          <rPr>
            <b/>
            <sz val="9"/>
            <color indexed="81"/>
            <rFont val="細明體"/>
            <family val="3"/>
            <charset val="136"/>
          </rPr>
          <t>楊沛雯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TAB
;</t>
        </r>
      </text>
    </comment>
  </commentList>
</comments>
</file>

<file path=xl/sharedStrings.xml><?xml version="1.0" encoding="utf-8"?>
<sst xmlns="http://schemas.openxmlformats.org/spreadsheetml/2006/main" count="26859" uniqueCount="12066">
  <si>
    <t>P2</t>
  </si>
  <si>
    <t>E:\DATA\</t>
    <phoneticPr fontId="4" type="noConversion"/>
  </si>
  <si>
    <t>PNT執行檔路徑</t>
    <phoneticPr fontId="4" type="noConversion"/>
  </si>
  <si>
    <r>
      <rPr>
        <b/>
        <sz val="18"/>
        <color indexed="8"/>
        <rFont val="細明體"/>
        <family val="3"/>
        <charset val="136"/>
      </rPr>
      <t xml:space="preserve">WFD </t>
    </r>
    <r>
      <rPr>
        <sz val="12"/>
        <color indexed="8"/>
        <rFont val="細明體"/>
        <family val="3"/>
        <charset val="136"/>
      </rPr>
      <t>路徑+ 檔名</t>
    </r>
    <phoneticPr fontId="4" type="noConversion"/>
  </si>
  <si>
    <r>
      <rPr>
        <b/>
        <sz val="18"/>
        <color indexed="8"/>
        <rFont val="細明體"/>
        <family val="3"/>
        <charset val="136"/>
      </rPr>
      <t>Job</t>
    </r>
    <r>
      <rPr>
        <sz val="12"/>
        <color indexed="8"/>
        <rFont val="細明體"/>
        <family val="3"/>
        <charset val="136"/>
      </rPr>
      <t>路徑+檔名</t>
    </r>
    <phoneticPr fontId="4" type="noConversion"/>
  </si>
  <si>
    <r>
      <t>PNT</t>
    </r>
    <r>
      <rPr>
        <b/>
        <sz val="18"/>
        <color indexed="8"/>
        <rFont val="細明體"/>
        <family val="3"/>
        <charset val="136"/>
      </rPr>
      <t xml:space="preserve"> OutPut </t>
    </r>
    <r>
      <rPr>
        <sz val="12"/>
        <color indexed="8"/>
        <rFont val="細明體"/>
        <family val="3"/>
        <charset val="136"/>
      </rPr>
      <t>模組名稱</t>
    </r>
    <phoneticPr fontId="4" type="noConversion"/>
  </si>
  <si>
    <t>600</t>
  </si>
  <si>
    <t>407</t>
  </si>
  <si>
    <t>406</t>
  </si>
  <si>
    <t>403</t>
  </si>
  <si>
    <t>420</t>
  </si>
  <si>
    <t>500</t>
  </si>
  <si>
    <t>427</t>
  </si>
  <si>
    <t>945</t>
  </si>
  <si>
    <t>731</t>
  </si>
  <si>
    <t>741</t>
  </si>
  <si>
    <t>304</t>
  </si>
  <si>
    <t>621</t>
  </si>
  <si>
    <t>611</t>
  </si>
  <si>
    <t>700</t>
  </si>
  <si>
    <t>745</t>
  </si>
  <si>
    <t>608</t>
  </si>
  <si>
    <t>P1</t>
  </si>
  <si>
    <t>wfd名稱</t>
    <phoneticPr fontId="4" type="noConversion"/>
  </si>
  <si>
    <t>案件名稱(Product)</t>
    <phoneticPr fontId="4" type="noConversion"/>
  </si>
  <si>
    <t>難字檔(TTE)</t>
    <phoneticPr fontId="4" type="noConversion"/>
  </si>
  <si>
    <t>上機路徑(PrintPath)</t>
    <phoneticPr fontId="4" type="noConversion"/>
  </si>
  <si>
    <t>版號(pic)</t>
    <phoneticPr fontId="4" type="noConversion"/>
  </si>
  <si>
    <t>APA單號(APA)</t>
    <phoneticPr fontId="4" type="noConversion"/>
  </si>
  <si>
    <t>交寄局碼(POST)</t>
    <phoneticPr fontId="4" type="noConversion"/>
  </si>
  <si>
    <t>掛號清冊交寄日期(POSTdate)</t>
    <phoneticPr fontId="4" type="noConversion"/>
  </si>
  <si>
    <t>掛號清冊寄件人名稱(POSTcompany)</t>
    <phoneticPr fontId="4" type="noConversion"/>
  </si>
  <si>
    <t>掛號清冊寄件人代表(POSTname)</t>
    <phoneticPr fontId="4" type="noConversion"/>
  </si>
  <si>
    <t>掛號清冊寄件人地址(POSTaddress)</t>
    <phoneticPr fontId="4" type="noConversion"/>
  </si>
  <si>
    <t>掛號清冊寄件人電話(POSTtel)</t>
    <phoneticPr fontId="4" type="noConversion"/>
  </si>
  <si>
    <t>掛號清冊上機路徑(PostPath)</t>
    <phoneticPr fontId="4" type="noConversion"/>
  </si>
  <si>
    <t>作業人員名(Opname)</t>
    <phoneticPr fontId="4" type="noConversion"/>
  </si>
  <si>
    <t>作業人員工號(Opnumber)</t>
    <phoneticPr fontId="4" type="noConversion"/>
  </si>
  <si>
    <t>檢核人員工號(CHKnumber)</t>
    <phoneticPr fontId="4" type="noConversion"/>
  </si>
  <si>
    <t>作業工時(Optime)</t>
    <phoneticPr fontId="4" type="noConversion"/>
  </si>
  <si>
    <t>檢核工時(CHKtime)</t>
    <phoneticPr fontId="4" type="noConversion"/>
  </si>
  <si>
    <t>作業加班工時(OPtimePT)</t>
    <phoneticPr fontId="4" type="noConversion"/>
  </si>
  <si>
    <t>0</t>
    <phoneticPr fontId="4" type="noConversion"/>
  </si>
  <si>
    <t>檢核加班工時(CHKtimePT)</t>
    <phoneticPr fontId="4" type="noConversion"/>
  </si>
  <si>
    <t>給客戶測試檔案時間(time1)</t>
    <phoneticPr fontId="4" type="noConversion"/>
  </si>
  <si>
    <t>客戶確認時間(time2)</t>
    <phoneticPr fontId="4" type="noConversion"/>
  </si>
  <si>
    <t>檔案上機時間(time3)</t>
    <phoneticPr fontId="4" type="noConversion"/>
  </si>
  <si>
    <t>客戶來檔時間(time4)</t>
    <phoneticPr fontId="4" type="noConversion"/>
  </si>
  <si>
    <t>預計生產時間(time5)</t>
    <phoneticPr fontId="4" type="noConversion"/>
  </si>
  <si>
    <t>PNT的Warning檔</t>
    <phoneticPr fontId="4" type="noConversion"/>
  </si>
  <si>
    <t>E:\DATA\PNTJOB\WPR\0093_0650_7522_0040_7018.wpr</t>
    <phoneticPr fontId="4" type="noConversion"/>
  </si>
  <si>
    <t>檢核數量(CheckNum)</t>
    <phoneticPr fontId="4" type="noConversion"/>
  </si>
  <si>
    <t>拆檔數(SPLT_CNT)</t>
    <phoneticPr fontId="4" type="noConversion"/>
  </si>
  <si>
    <t>?頁以上分區表合併(ZIP_MPG)</t>
    <phoneticPr fontId="4" type="noConversion"/>
  </si>
  <si>
    <t>程式語言代號(PRG)</t>
    <phoneticPr fontId="4" type="noConversion"/>
  </si>
  <si>
    <t>應用程式代號(APP)</t>
    <phoneticPr fontId="4" type="noConversion"/>
  </si>
  <si>
    <t>檔名表份數(Repeat1)</t>
    <phoneticPr fontId="4" type="noConversion"/>
  </si>
  <si>
    <t>檢核表份數(Repeat2)</t>
    <phoneticPr fontId="4" type="noConversion"/>
  </si>
  <si>
    <t>難字清冊是否移除重覆內碼(ExtraWord)</t>
    <phoneticPr fontId="4" type="noConversion"/>
  </si>
  <si>
    <t>N</t>
    <phoneticPr fontId="4" type="noConversion"/>
  </si>
  <si>
    <t>所有的郵寄註記皆出分區表(PostTable)</t>
    <phoneticPr fontId="4" type="noConversion"/>
  </si>
  <si>
    <t>Y</t>
    <phoneticPr fontId="4" type="noConversion"/>
  </si>
  <si>
    <t>BAT檔路徑及檔名-&gt;</t>
    <phoneticPr fontId="4" type="noConversion"/>
  </si>
  <si>
    <t>ODBCDataInput2</t>
    <phoneticPr fontId="4" type="noConversion"/>
  </si>
  <si>
    <t>Tnoinputmodule</t>
    <phoneticPr fontId="4" type="noConversion"/>
  </si>
  <si>
    <t>ParamInput1</t>
    <phoneticPr fontId="4" type="noConversion"/>
  </si>
  <si>
    <r>
      <rPr>
        <b/>
        <sz val="18"/>
        <color indexed="8"/>
        <rFont val="細明體"/>
        <family val="3"/>
        <charset val="136"/>
      </rPr>
      <t>DataInput</t>
    </r>
    <r>
      <rPr>
        <sz val="12"/>
        <color indexed="8"/>
        <rFont val="細明體"/>
        <family val="3"/>
        <charset val="136"/>
      </rPr>
      <t>1模組名稱</t>
    </r>
    <phoneticPr fontId="4" type="noConversion"/>
  </si>
  <si>
    <r>
      <rPr>
        <b/>
        <sz val="18"/>
        <color indexed="8"/>
        <rFont val="細明體"/>
        <family val="3"/>
        <charset val="136"/>
      </rPr>
      <t>DataInput1</t>
    </r>
    <r>
      <rPr>
        <sz val="12"/>
        <color indexed="8"/>
        <rFont val="細明體"/>
        <family val="3"/>
        <charset val="136"/>
      </rPr>
      <t>路徑及檔名(輸入檔名)</t>
    </r>
    <phoneticPr fontId="4" type="noConversion"/>
  </si>
  <si>
    <r>
      <rPr>
        <b/>
        <sz val="16"/>
        <color indexed="8"/>
        <rFont val="細明體"/>
        <family val="3"/>
        <charset val="136"/>
      </rPr>
      <t>Log</t>
    </r>
    <r>
      <rPr>
        <sz val="12"/>
        <color indexed="8"/>
        <rFont val="細明體"/>
        <family val="3"/>
        <charset val="136"/>
      </rPr>
      <t>路徑及檔名
(</t>
    </r>
    <r>
      <rPr>
        <b/>
        <sz val="18"/>
        <color indexed="8"/>
        <rFont val="細明體"/>
        <family val="3"/>
        <charset val="136"/>
      </rPr>
      <t>黑字+藍字</t>
    </r>
    <r>
      <rPr>
        <sz val="12"/>
        <color indexed="8"/>
        <rFont val="細明體"/>
        <family val="3"/>
        <charset val="136"/>
      </rPr>
      <t>)</t>
    </r>
    <phoneticPr fontId="4" type="noConversion"/>
  </si>
  <si>
    <r>
      <rPr>
        <b/>
        <sz val="18"/>
        <color indexed="8"/>
        <rFont val="細明體"/>
        <family val="3"/>
        <charset val="136"/>
      </rPr>
      <t>Log</t>
    </r>
    <r>
      <rPr>
        <sz val="12"/>
        <color indexed="8"/>
        <rFont val="細明體"/>
        <family val="3"/>
        <charset val="136"/>
      </rPr>
      <t>路徑及檔名(紅字)
(</t>
    </r>
    <r>
      <rPr>
        <b/>
        <sz val="18"/>
        <color indexed="8"/>
        <rFont val="細明體"/>
        <family val="3"/>
        <charset val="136"/>
      </rPr>
      <t>Error</t>
    </r>
    <r>
      <rPr>
        <sz val="12"/>
        <color indexed="8"/>
        <rFont val="細明體"/>
        <family val="3"/>
        <charset val="136"/>
      </rPr>
      <t>)</t>
    </r>
    <phoneticPr fontId="4" type="noConversion"/>
  </si>
  <si>
    <t>產生
Bat檔</t>
    <phoneticPr fontId="4" type="noConversion"/>
  </si>
  <si>
    <r>
      <rPr>
        <b/>
        <sz val="18"/>
        <color indexed="8"/>
        <rFont val="細明體"/>
        <family val="3"/>
        <charset val="136"/>
      </rPr>
      <t xml:space="preserve">DataInput2
</t>
    </r>
    <r>
      <rPr>
        <sz val="12"/>
        <color indexed="8"/>
        <rFont val="細明體"/>
        <family val="3"/>
        <charset val="136"/>
      </rPr>
      <t>模組名稱</t>
    </r>
    <phoneticPr fontId="4" type="noConversion"/>
  </si>
  <si>
    <r>
      <rPr>
        <b/>
        <sz val="18"/>
        <color indexed="8"/>
        <rFont val="細明體"/>
        <family val="3"/>
        <charset val="136"/>
      </rPr>
      <t xml:space="preserve">DataInput2
</t>
    </r>
    <r>
      <rPr>
        <sz val="12"/>
        <color indexed="8"/>
        <rFont val="細明體"/>
        <family val="3"/>
        <charset val="136"/>
      </rPr>
      <t>路徑及檔名
(輸入檔名)</t>
    </r>
    <phoneticPr fontId="4" type="noConversion"/>
  </si>
  <si>
    <r>
      <rPr>
        <b/>
        <sz val="18"/>
        <color indexed="8"/>
        <rFont val="細明體"/>
        <family val="3"/>
        <charset val="136"/>
      </rPr>
      <t xml:space="preserve">DataInput3
</t>
    </r>
    <r>
      <rPr>
        <sz val="12"/>
        <color indexed="8"/>
        <rFont val="細明體"/>
        <family val="3"/>
        <charset val="136"/>
      </rPr>
      <t>模組名稱</t>
    </r>
    <phoneticPr fontId="4" type="noConversion"/>
  </si>
  <si>
    <r>
      <rPr>
        <b/>
        <sz val="18"/>
        <color indexed="8"/>
        <rFont val="細明體"/>
        <family val="3"/>
        <charset val="136"/>
      </rPr>
      <t xml:space="preserve">DataInput3
</t>
    </r>
    <r>
      <rPr>
        <sz val="12"/>
        <color indexed="8"/>
        <rFont val="細明體"/>
        <family val="3"/>
        <charset val="136"/>
      </rPr>
      <t>路徑及檔名
(輸入檔名)</t>
    </r>
    <phoneticPr fontId="4" type="noConversion"/>
  </si>
  <si>
    <r>
      <rPr>
        <b/>
        <sz val="18"/>
        <color indexed="8"/>
        <rFont val="細明體"/>
        <family val="3"/>
        <charset val="136"/>
      </rPr>
      <t xml:space="preserve">ODBC_DataInput
</t>
    </r>
    <r>
      <rPr>
        <sz val="12"/>
        <color indexed="8"/>
        <rFont val="細明體"/>
        <family val="3"/>
        <charset val="136"/>
      </rPr>
      <t>路徑及檔名
(輸入檔名</t>
    </r>
    <r>
      <rPr>
        <sz val="18"/>
        <color indexed="8"/>
        <rFont val="細明體"/>
        <family val="3"/>
        <charset val="136"/>
      </rPr>
      <t>XLS</t>
    </r>
    <r>
      <rPr>
        <sz val="12"/>
        <color indexed="8"/>
        <rFont val="細明體"/>
        <family val="3"/>
        <charset val="136"/>
      </rPr>
      <t>)</t>
    </r>
    <phoneticPr fontId="4" type="noConversion"/>
  </si>
  <si>
    <r>
      <rPr>
        <b/>
        <sz val="18"/>
        <color indexed="8"/>
        <rFont val="細明體"/>
        <family val="3"/>
        <charset val="136"/>
      </rPr>
      <t xml:space="preserve">ODBC_DataInput
</t>
    </r>
    <r>
      <rPr>
        <sz val="12"/>
        <color indexed="8"/>
        <rFont val="細明體"/>
        <family val="3"/>
        <charset val="136"/>
      </rPr>
      <t>路徑及檔名
(輸入檔名</t>
    </r>
    <r>
      <rPr>
        <sz val="18"/>
        <color indexed="8"/>
        <rFont val="細明體"/>
        <family val="3"/>
        <charset val="136"/>
      </rPr>
      <t>DSN</t>
    </r>
    <r>
      <rPr>
        <sz val="12"/>
        <color indexed="8"/>
        <rFont val="細明體"/>
        <family val="3"/>
        <charset val="136"/>
      </rPr>
      <t>)</t>
    </r>
    <phoneticPr fontId="4" type="noConversion"/>
  </si>
  <si>
    <t>tnoinput</t>
    <phoneticPr fontId="4" type="noConversion"/>
  </si>
  <si>
    <t>PrintPath</t>
    <phoneticPr fontId="4" type="noConversion"/>
  </si>
  <si>
    <t>pic</t>
    <phoneticPr fontId="4" type="noConversion"/>
  </si>
  <si>
    <t>APA</t>
    <phoneticPr fontId="4" type="noConversion"/>
  </si>
  <si>
    <t>CheckNum</t>
    <phoneticPr fontId="4" type="noConversion"/>
  </si>
  <si>
    <t>Product</t>
    <phoneticPr fontId="4" type="noConversion"/>
  </si>
  <si>
    <t>SPLT_CNT</t>
  </si>
  <si>
    <t>ZIP_MPG</t>
    <phoneticPr fontId="4" type="noConversion"/>
  </si>
  <si>
    <t>OPname</t>
    <phoneticPr fontId="4" type="noConversion"/>
  </si>
  <si>
    <t>OPnumber</t>
    <phoneticPr fontId="4" type="noConversion"/>
  </si>
  <si>
    <t>CHKnumber</t>
    <phoneticPr fontId="4" type="noConversion"/>
  </si>
  <si>
    <t>CHKtime</t>
    <phoneticPr fontId="4" type="noConversion"/>
  </si>
  <si>
    <t>OPtime</t>
    <phoneticPr fontId="4" type="noConversion"/>
  </si>
  <si>
    <t>CHKtimePT</t>
    <phoneticPr fontId="4" type="noConversion"/>
  </si>
  <si>
    <t>OPtimePT</t>
    <phoneticPr fontId="4" type="noConversion"/>
  </si>
  <si>
    <t>POST</t>
    <phoneticPr fontId="4" type="noConversion"/>
  </si>
  <si>
    <t>time1</t>
    <phoneticPr fontId="4" type="noConversion"/>
  </si>
  <si>
    <t>time2</t>
    <phoneticPr fontId="4" type="noConversion"/>
  </si>
  <si>
    <t>time3</t>
    <phoneticPr fontId="4" type="noConversion"/>
  </si>
  <si>
    <t>time4</t>
    <phoneticPr fontId="4" type="noConversion"/>
  </si>
  <si>
    <t>time5</t>
    <phoneticPr fontId="4" type="noConversion"/>
  </si>
  <si>
    <t>PRG</t>
    <phoneticPr fontId="4" type="noConversion"/>
  </si>
  <si>
    <t>APP</t>
    <phoneticPr fontId="4" type="noConversion"/>
  </si>
  <si>
    <t>NOTE</t>
    <phoneticPr fontId="4" type="noConversion"/>
  </si>
  <si>
    <t>POSTdate</t>
    <phoneticPr fontId="4" type="noConversion"/>
  </si>
  <si>
    <t>POSTcompany</t>
    <phoneticPr fontId="4" type="noConversion"/>
  </si>
  <si>
    <t>POSTname</t>
    <phoneticPr fontId="4" type="noConversion"/>
  </si>
  <si>
    <t>POSTaddress</t>
    <phoneticPr fontId="4" type="noConversion"/>
  </si>
  <si>
    <t>TTE</t>
    <phoneticPr fontId="4" type="noConversion"/>
  </si>
  <si>
    <t>Repeat1</t>
    <phoneticPr fontId="4" type="noConversion"/>
  </si>
  <si>
    <t>Repeat2</t>
    <phoneticPr fontId="4" type="noConversion"/>
  </si>
  <si>
    <t>ExtraWord</t>
    <phoneticPr fontId="4" type="noConversion"/>
  </si>
  <si>
    <t>PostTable</t>
    <phoneticPr fontId="4" type="noConversion"/>
  </si>
  <si>
    <t>C:\Program Files (x86)\GMC\Inspire Designer\PNetTC.exe</t>
  </si>
  <si>
    <t>DataInput1</t>
  </si>
  <si>
    <t>PDF</t>
    <phoneticPr fontId="22" type="noConversion"/>
  </si>
  <si>
    <t>LIST</t>
    <phoneticPr fontId="22" type="noConversion"/>
  </si>
  <si>
    <t>IAN</t>
    <phoneticPr fontId="22" type="noConversion"/>
  </si>
  <si>
    <t>201797A003-004</t>
    <phoneticPr fontId="4" type="noConversion"/>
  </si>
  <si>
    <r>
      <t>A</t>
    </r>
    <r>
      <rPr>
        <sz val="12"/>
        <color theme="1"/>
        <rFont val="新細明體"/>
        <family val="1"/>
        <charset val="136"/>
        <scheme val="minor"/>
      </rPr>
      <t>LL</t>
    </r>
    <phoneticPr fontId="22" type="noConversion"/>
  </si>
  <si>
    <t>000001</t>
  </si>
  <si>
    <t>000002</t>
  </si>
  <si>
    <t>000003</t>
  </si>
  <si>
    <t>000004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</si>
  <si>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</si>
  <si>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</si>
  <si>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</si>
  <si>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</si>
  <si>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</si>
  <si>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</si>
  <si>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</si>
  <si>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</si>
  <si>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</si>
  <si>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</si>
  <si>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</si>
  <si>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</si>
  <si>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</si>
  <si>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</si>
  <si>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</si>
  <si>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</si>
  <si>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</si>
  <si>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</si>
  <si>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</si>
  <si>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</si>
  <si>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</si>
  <si>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000026</t>
  </si>
  <si>
    <t>000027</t>
  </si>
  <si>
    <t>000028</t>
  </si>
  <si>
    <t>000029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</si>
  <si>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</si>
  <si>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</si>
  <si>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</si>
  <si>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</si>
  <si>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</si>
  <si>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</si>
  <si>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</si>
  <si>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</si>
  <si>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</si>
  <si>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</si>
  <si>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</si>
  <si>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</si>
  <si>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</si>
  <si>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</si>
  <si>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</si>
  <si>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</si>
  <si>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</si>
  <si>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</si>
  <si>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</si>
  <si>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</si>
  <si>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</si>
  <si>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</si>
  <si>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</si>
  <si>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</si>
  <si>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</si>
  <si>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</si>
  <si>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</si>
  <si>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</si>
  <si>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</si>
  <si>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</si>
  <si>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</si>
  <si>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</si>
  <si>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</si>
  <si>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</si>
  <si>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</si>
  <si>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</si>
  <si>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</si>
  <si>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</si>
  <si>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</si>
  <si>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</si>
  <si>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</si>
  <si>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</si>
  <si>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</si>
  <si>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</si>
  <si>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</si>
  <si>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</si>
  <si>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</si>
  <si>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</si>
  <si>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</si>
  <si>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</si>
  <si>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</si>
  <si>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</si>
  <si>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</si>
  <si>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</si>
  <si>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</si>
  <si>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</si>
  <si>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</si>
  <si>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</si>
  <si>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</si>
  <si>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</si>
  <si>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</si>
  <si>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</si>
  <si>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</si>
  <si>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</si>
  <si>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</si>
  <si>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</si>
  <si>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</si>
  <si>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</si>
  <si>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</si>
  <si>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</si>
  <si>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</si>
  <si>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</si>
  <si>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</si>
  <si>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</si>
  <si>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</si>
  <si>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</si>
  <si>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</si>
  <si>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</si>
  <si>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</si>
  <si>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</si>
  <si>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</si>
  <si>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</si>
  <si>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</si>
  <si>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</si>
  <si>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</si>
  <si>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</si>
  <si>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</si>
  <si>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</si>
  <si>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</si>
  <si>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</si>
  <si>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</si>
  <si>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</si>
  <si>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</si>
  <si>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</si>
  <si>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</si>
  <si>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</si>
  <si>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</si>
  <si>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</si>
  <si>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</si>
  <si>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</si>
  <si>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</si>
  <si>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</si>
  <si>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</si>
  <si>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</si>
  <si>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</si>
  <si>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</si>
  <si>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</si>
  <si>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</si>
  <si>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</si>
  <si>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</si>
  <si>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</si>
  <si>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</si>
  <si>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</si>
  <si>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</si>
  <si>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</si>
  <si>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</si>
  <si>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000146</t>
  </si>
  <si>
    <t>000147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</si>
  <si>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</si>
  <si>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</si>
  <si>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</si>
  <si>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</si>
  <si>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</si>
  <si>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</si>
  <si>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</si>
  <si>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</si>
  <si>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</si>
  <si>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</si>
  <si>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</si>
  <si>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</si>
  <si>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000160</t>
  </si>
  <si>
    <t>000161</t>
  </si>
  <si>
    <t>000162</t>
  </si>
  <si>
    <t>000163</t>
  </si>
  <si>
    <t>000164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</si>
  <si>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</si>
  <si>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</si>
  <si>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</si>
  <si>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</si>
  <si>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</si>
  <si>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</si>
  <si>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</si>
  <si>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</si>
  <si>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</si>
  <si>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</si>
  <si>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000175</t>
  </si>
  <si>
    <t>000176</t>
  </si>
  <si>
    <t>000177</t>
  </si>
  <si>
    <t>000178</t>
  </si>
  <si>
    <t>000179</t>
  </si>
  <si>
    <t>000180</t>
  </si>
  <si>
    <t>000181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</si>
  <si>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</si>
  <si>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</si>
  <si>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</si>
  <si>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</si>
  <si>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</si>
  <si>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</si>
  <si>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</si>
  <si>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</si>
  <si>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</si>
  <si>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</si>
  <si>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</si>
  <si>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</si>
  <si>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</si>
  <si>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</si>
  <si>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</si>
  <si>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</si>
  <si>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</si>
  <si>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</si>
  <si>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</si>
  <si>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</si>
  <si>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</si>
  <si>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</si>
  <si>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</si>
  <si>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</si>
  <si>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</si>
  <si>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</si>
  <si>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</si>
  <si>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</si>
  <si>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</si>
  <si>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</si>
  <si>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000212</t>
  </si>
  <si>
    <t>000213</t>
  </si>
  <si>
    <t>000214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</si>
  <si>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</si>
  <si>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</si>
  <si>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</si>
  <si>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</si>
  <si>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</si>
  <si>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</si>
  <si>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</si>
  <si>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</si>
  <si>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</si>
  <si>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</si>
  <si>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</si>
  <si>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</si>
  <si>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</si>
  <si>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</si>
  <si>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</si>
  <si>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</si>
  <si>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</si>
  <si>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</si>
  <si>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</si>
  <si>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</si>
  <si>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</si>
  <si>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</si>
  <si>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</si>
  <si>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</si>
  <si>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</si>
  <si>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</si>
  <si>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</si>
  <si>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</si>
  <si>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</si>
  <si>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</si>
  <si>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</si>
  <si>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</si>
  <si>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</si>
  <si>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</si>
  <si>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</si>
  <si>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</si>
  <si>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</si>
  <si>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</si>
  <si>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000253</t>
  </si>
  <si>
    <t>000254</t>
  </si>
  <si>
    <t>000255</t>
  </si>
  <si>
    <t>000256</t>
  </si>
  <si>
    <t>000257</t>
  </si>
  <si>
    <t>000258</t>
  </si>
  <si>
    <t>000259</t>
  </si>
  <si>
    <t>000260</t>
  </si>
  <si>
    <t>000261</t>
  </si>
  <si>
    <t>000262</t>
  </si>
  <si>
    <t>000263</t>
  </si>
  <si>
    <t>000264</t>
  </si>
  <si>
    <t>000265</t>
  </si>
  <si>
    <t>000266</t>
  </si>
  <si>
    <t>000267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</si>
  <si>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</si>
  <si>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</si>
  <si>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</si>
  <si>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</si>
  <si>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</si>
  <si>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</si>
  <si>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</si>
  <si>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</si>
  <si>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000276</t>
  </si>
  <si>
    <t>000277</t>
  </si>
  <si>
    <t>000278</t>
  </si>
  <si>
    <t>000279</t>
  </si>
  <si>
    <t>000280</t>
  </si>
  <si>
    <t>000281</t>
  </si>
  <si>
    <t>000282</t>
  </si>
  <si>
    <t>000283</t>
  </si>
  <si>
    <t>000284</t>
  </si>
  <si>
    <t>000285</t>
  </si>
  <si>
    <t>000286</t>
  </si>
  <si>
    <t>000287</t>
  </si>
  <si>
    <t>000288</t>
  </si>
  <si>
    <t>000289</t>
  </si>
  <si>
    <t>000290</t>
  </si>
  <si>
    <t>000291</t>
  </si>
  <si>
    <t>000292</t>
  </si>
  <si>
    <t>000293</t>
  </si>
  <si>
    <t>000294</t>
  </si>
  <si>
    <t>000295</t>
  </si>
  <si>
    <t>000296</t>
  </si>
  <si>
    <t>000297</t>
  </si>
  <si>
    <t>000298</t>
  </si>
  <si>
    <t>000299</t>
  </si>
  <si>
    <t>000300</t>
  </si>
  <si>
    <t>000301</t>
  </si>
  <si>
    <t>000302</t>
  </si>
  <si>
    <t>000303</t>
  </si>
  <si>
    <t>000304</t>
  </si>
  <si>
    <t>000305</t>
  </si>
  <si>
    <t>000306</t>
  </si>
  <si>
    <t>000307</t>
  </si>
  <si>
    <t>000308</t>
  </si>
  <si>
    <t>000309</t>
  </si>
  <si>
    <t>000310</t>
  </si>
  <si>
    <t>000311</t>
  </si>
  <si>
    <t>000312</t>
  </si>
  <si>
    <t>000313</t>
  </si>
  <si>
    <t>000314</t>
  </si>
  <si>
    <t>000315</t>
  </si>
  <si>
    <t>000316</t>
  </si>
  <si>
    <t>000317</t>
  </si>
  <si>
    <t>000318</t>
  </si>
  <si>
    <t>000319</t>
  </si>
  <si>
    <t>000320</t>
  </si>
  <si>
    <t>000321</t>
  </si>
  <si>
    <t>000322</t>
  </si>
  <si>
    <t>000323</t>
  </si>
  <si>
    <t>000324</t>
  </si>
  <si>
    <t>000325</t>
  </si>
  <si>
    <t>000326</t>
  </si>
  <si>
    <t>000327</t>
  </si>
  <si>
    <t>000328</t>
  </si>
  <si>
    <t>000329</t>
  </si>
  <si>
    <t>000330</t>
  </si>
  <si>
    <t>000331</t>
  </si>
  <si>
    <t>000332</t>
  </si>
  <si>
    <t>000333</t>
  </si>
  <si>
    <t>000334</t>
  </si>
  <si>
    <t>000335</t>
  </si>
  <si>
    <t>000336</t>
  </si>
  <si>
    <t>000337</t>
  </si>
  <si>
    <t>000338</t>
  </si>
  <si>
    <t>000339</t>
  </si>
  <si>
    <t>000340</t>
  </si>
  <si>
    <t>000341</t>
  </si>
  <si>
    <t>000342</t>
  </si>
  <si>
    <t>000343</t>
  </si>
  <si>
    <t>000344</t>
  </si>
  <si>
    <t>000345</t>
  </si>
  <si>
    <t>000346</t>
  </si>
  <si>
    <t>000347</t>
  </si>
  <si>
    <t>000348</t>
  </si>
  <si>
    <t>000349</t>
  </si>
  <si>
    <t>000350</t>
  </si>
  <si>
    <t>000351</t>
  </si>
  <si>
    <t>000352</t>
  </si>
  <si>
    <t>000353</t>
  </si>
  <si>
    <t>000354</t>
  </si>
  <si>
    <t>000355</t>
  </si>
  <si>
    <t>000356</t>
  </si>
  <si>
    <t>000357</t>
  </si>
  <si>
    <t>000358</t>
  </si>
  <si>
    <t>000359</t>
  </si>
  <si>
    <t>000360</t>
  </si>
  <si>
    <t>000361</t>
  </si>
  <si>
    <t>000362</t>
  </si>
  <si>
    <t>000363</t>
  </si>
  <si>
    <t>000364</t>
  </si>
  <si>
    <t>000365</t>
  </si>
  <si>
    <t>000366</t>
  </si>
  <si>
    <t>000367</t>
  </si>
  <si>
    <t>000368</t>
  </si>
  <si>
    <t>000369</t>
  </si>
  <si>
    <t>000370</t>
  </si>
  <si>
    <t>000371</t>
  </si>
  <si>
    <t>000372</t>
  </si>
  <si>
    <t>000373</t>
  </si>
  <si>
    <t>000374</t>
  </si>
  <si>
    <t>000375</t>
  </si>
  <si>
    <t>000376</t>
  </si>
  <si>
    <t>000377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</si>
  <si>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</si>
  <si>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</si>
  <si>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</si>
  <si>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</si>
  <si>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</si>
  <si>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</si>
  <si>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</si>
  <si>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</si>
  <si>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</si>
  <si>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</si>
  <si>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</si>
  <si>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</si>
  <si>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</si>
  <si>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</si>
  <si>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000392</t>
  </si>
  <si>
    <t>000393</t>
  </si>
  <si>
    <t>000394</t>
  </si>
  <si>
    <t>000395</t>
  </si>
  <si>
    <t>000396</t>
  </si>
  <si>
    <t>000397</t>
  </si>
  <si>
    <t>000398</t>
  </si>
  <si>
    <t>000399</t>
  </si>
  <si>
    <t>000400</t>
  </si>
  <si>
    <t>000401</t>
  </si>
  <si>
    <t>000402</t>
  </si>
  <si>
    <t>000403</t>
  </si>
  <si>
    <t>000404</t>
  </si>
  <si>
    <t>000405</t>
  </si>
  <si>
    <t>000406</t>
  </si>
  <si>
    <t>000407</t>
  </si>
  <si>
    <t>000408</t>
  </si>
  <si>
    <t>000409</t>
  </si>
  <si>
    <t>000410</t>
  </si>
  <si>
    <t>000411</t>
  </si>
  <si>
    <t>000412</t>
  </si>
  <si>
    <t>000413</t>
  </si>
  <si>
    <t>000414</t>
  </si>
  <si>
    <t>000415</t>
  </si>
  <si>
    <t>000416</t>
  </si>
  <si>
    <t>000417</t>
  </si>
  <si>
    <t>000418</t>
  </si>
  <si>
    <t>000419</t>
  </si>
  <si>
    <t>000420</t>
  </si>
  <si>
    <t>000421</t>
  </si>
  <si>
    <t>000422</t>
  </si>
  <si>
    <t>000423</t>
  </si>
  <si>
    <t>000424</t>
  </si>
  <si>
    <t>000425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</si>
  <si>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</si>
  <si>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</si>
  <si>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</si>
  <si>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</si>
  <si>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</si>
  <si>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</si>
  <si>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</si>
  <si>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</si>
  <si>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000434</t>
  </si>
  <si>
    <t>000435</t>
  </si>
  <si>
    <t>000436</t>
  </si>
  <si>
    <t>000437</t>
  </si>
  <si>
    <t>000438</t>
  </si>
  <si>
    <t>000439</t>
  </si>
  <si>
    <t>000440</t>
  </si>
  <si>
    <t>000441</t>
  </si>
  <si>
    <t>000442</t>
  </si>
  <si>
    <t>000443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</si>
  <si>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</si>
  <si>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</si>
  <si>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</si>
  <si>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</si>
  <si>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</si>
  <si>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</si>
  <si>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</si>
  <si>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</si>
  <si>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</si>
  <si>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</si>
  <si>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</si>
  <si>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</si>
  <si>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</si>
  <si>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</si>
  <si>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</si>
  <si>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</si>
  <si>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</si>
  <si>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</si>
  <si>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</si>
  <si>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</si>
  <si>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</si>
  <si>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000465</t>
  </si>
  <si>
    <t>000466</t>
  </si>
  <si>
    <t>000467</t>
  </si>
  <si>
    <t>000468</t>
  </si>
  <si>
    <t>000469</t>
  </si>
  <si>
    <t>000470</t>
  </si>
  <si>
    <t>000471</t>
  </si>
  <si>
    <t>000472</t>
  </si>
  <si>
    <t>000473</t>
  </si>
  <si>
    <t>000474</t>
  </si>
  <si>
    <t>000475</t>
  </si>
  <si>
    <t>000476</t>
  </si>
  <si>
    <t>000477</t>
  </si>
  <si>
    <t>000478</t>
  </si>
  <si>
    <t>000479</t>
  </si>
  <si>
    <t>000480</t>
  </si>
  <si>
    <t>000481</t>
  </si>
  <si>
    <t>000482</t>
  </si>
  <si>
    <t>000483</t>
  </si>
  <si>
    <t>000484</t>
  </si>
  <si>
    <t>000485</t>
  </si>
  <si>
    <t>000486</t>
  </si>
  <si>
    <t>000487</t>
  </si>
  <si>
    <t>000488</t>
  </si>
  <si>
    <t>000489</t>
  </si>
  <si>
    <t>000490</t>
  </si>
  <si>
    <t>000491</t>
  </si>
  <si>
    <t>000492</t>
  </si>
  <si>
    <t>000493</t>
  </si>
  <si>
    <t>000494</t>
  </si>
  <si>
    <t>000495</t>
  </si>
  <si>
    <t>000496</t>
  </si>
  <si>
    <t>000497</t>
  </si>
  <si>
    <t>000498</t>
  </si>
  <si>
    <t>000499</t>
  </si>
  <si>
    <t>000500</t>
  </si>
  <si>
    <t>000501</t>
  </si>
  <si>
    <t>000502</t>
  </si>
  <si>
    <t>000503</t>
  </si>
  <si>
    <t>000504</t>
  </si>
  <si>
    <t>000505</t>
  </si>
  <si>
    <t>000506</t>
  </si>
  <si>
    <t>000507</t>
  </si>
  <si>
    <t>000508</t>
  </si>
  <si>
    <t>000509</t>
  </si>
  <si>
    <t>000510</t>
  </si>
  <si>
    <t>000511</t>
  </si>
  <si>
    <t>000512</t>
  </si>
  <si>
    <t>000513</t>
  </si>
  <si>
    <t>000514</t>
  </si>
  <si>
    <t>000515</t>
  </si>
  <si>
    <t>000516</t>
  </si>
  <si>
    <t>000517</t>
  </si>
  <si>
    <t>000518</t>
  </si>
  <si>
    <t>000519</t>
  </si>
  <si>
    <t>000520</t>
  </si>
  <si>
    <t>000521</t>
  </si>
  <si>
    <t>000522</t>
  </si>
  <si>
    <t>000523</t>
  </si>
  <si>
    <t>000524</t>
  </si>
  <si>
    <t>000525</t>
  </si>
  <si>
    <t>000526</t>
  </si>
  <si>
    <t>000527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</si>
  <si>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</si>
  <si>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</si>
  <si>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</si>
  <si>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</si>
  <si>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</si>
  <si>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</si>
  <si>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</si>
  <si>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</si>
  <si>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</si>
  <si>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</si>
  <si>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</si>
  <si>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</si>
  <si>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</si>
  <si>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000541</t>
  </si>
  <si>
    <t>000542</t>
  </si>
  <si>
    <t>000543</t>
  </si>
  <si>
    <t>000544</t>
  </si>
  <si>
    <t>000545</t>
  </si>
  <si>
    <t>000546</t>
  </si>
  <si>
    <t>000547</t>
  </si>
  <si>
    <t>000548</t>
  </si>
  <si>
    <t>000549</t>
  </si>
  <si>
    <t>000550</t>
  </si>
  <si>
    <t>000551</t>
  </si>
  <si>
    <t>000552</t>
  </si>
  <si>
    <t>000553</t>
  </si>
  <si>
    <t>000554</t>
  </si>
  <si>
    <t>000555</t>
  </si>
  <si>
    <t>000556</t>
  </si>
  <si>
    <t>000557</t>
  </si>
  <si>
    <t>000558</t>
  </si>
  <si>
    <t>000559</t>
  </si>
  <si>
    <t>000560</t>
  </si>
  <si>
    <t>000561</t>
  </si>
  <si>
    <t>000562</t>
  </si>
  <si>
    <t>000563</t>
  </si>
  <si>
    <t>000564</t>
  </si>
  <si>
    <t>000565</t>
  </si>
  <si>
    <t>000566</t>
  </si>
  <si>
    <t>000567</t>
  </si>
  <si>
    <t>000568</t>
  </si>
  <si>
    <t>000569</t>
  </si>
  <si>
    <t>000570</t>
  </si>
  <si>
    <t>000571</t>
  </si>
  <si>
    <t>000572</t>
  </si>
  <si>
    <t>000573</t>
  </si>
  <si>
    <t>000574</t>
  </si>
  <si>
    <t>000575</t>
  </si>
  <si>
    <t>000576</t>
  </si>
  <si>
    <t>000577</t>
  </si>
  <si>
    <t>000578</t>
  </si>
  <si>
    <t>000579</t>
  </si>
  <si>
    <t>000580</t>
  </si>
  <si>
    <t>000581</t>
  </si>
  <si>
    <t>000582</t>
  </si>
  <si>
    <t>000583</t>
  </si>
  <si>
    <t>000584</t>
  </si>
  <si>
    <t>000585</t>
  </si>
  <si>
    <t>000586</t>
  </si>
  <si>
    <t>000587</t>
  </si>
  <si>
    <t>000588</t>
  </si>
  <si>
    <t>000589</t>
  </si>
  <si>
    <t>000590</t>
  </si>
  <si>
    <t>000591</t>
  </si>
  <si>
    <t>000592</t>
  </si>
  <si>
    <t>000593</t>
  </si>
  <si>
    <t>000594</t>
  </si>
  <si>
    <t>000595</t>
  </si>
  <si>
    <t>000596</t>
  </si>
  <si>
    <t>000597</t>
  </si>
  <si>
    <t>000598</t>
  </si>
  <si>
    <t>000599</t>
  </si>
  <si>
    <t>000600</t>
  </si>
  <si>
    <t>000601</t>
  </si>
  <si>
    <t>000602</t>
  </si>
  <si>
    <t>000603</t>
  </si>
  <si>
    <t>000604</t>
  </si>
  <si>
    <t>000605</t>
  </si>
  <si>
    <t>000606</t>
  </si>
  <si>
    <t>000607</t>
  </si>
  <si>
    <t>000608</t>
  </si>
  <si>
    <t>000609</t>
  </si>
  <si>
    <t>000610</t>
  </si>
  <si>
    <t>000611</t>
  </si>
  <si>
    <t>000612</t>
  </si>
  <si>
    <t>000613</t>
  </si>
  <si>
    <t>000614</t>
  </si>
  <si>
    <t>000615</t>
  </si>
  <si>
    <t>000616</t>
  </si>
  <si>
    <t>000617</t>
  </si>
  <si>
    <t>000618</t>
  </si>
  <si>
    <t>000619</t>
  </si>
  <si>
    <t>000620</t>
  </si>
  <si>
    <t>000621</t>
  </si>
  <si>
    <t>000622</t>
  </si>
  <si>
    <t>000623</t>
  </si>
  <si>
    <t>000624</t>
  </si>
  <si>
    <t>000625</t>
  </si>
  <si>
    <t>000626</t>
  </si>
  <si>
    <t>000627</t>
  </si>
  <si>
    <t>000628</t>
  </si>
  <si>
    <t>000629</t>
  </si>
  <si>
    <t>000630</t>
  </si>
  <si>
    <t>000631</t>
  </si>
  <si>
    <t>000632</t>
  </si>
  <si>
    <t>000633</t>
  </si>
  <si>
    <t>000634</t>
  </si>
  <si>
    <t>000635</t>
  </si>
  <si>
    <t>000636</t>
  </si>
  <si>
    <t>000637</t>
  </si>
  <si>
    <t>000638</t>
  </si>
  <si>
    <t>000639</t>
  </si>
  <si>
    <t>000640</t>
  </si>
  <si>
    <t>000641</t>
  </si>
  <si>
    <t>000642</t>
  </si>
  <si>
    <t>000643</t>
  </si>
  <si>
    <t>000644</t>
  </si>
  <si>
    <t>000645</t>
  </si>
  <si>
    <t>000646</t>
  </si>
  <si>
    <t>000647</t>
  </si>
  <si>
    <t>000648</t>
  </si>
  <si>
    <t>000649</t>
  </si>
  <si>
    <t>000650</t>
  </si>
  <si>
    <t>000651</t>
  </si>
  <si>
    <t>000652</t>
  </si>
  <si>
    <t>000653</t>
  </si>
  <si>
    <t>000654</t>
  </si>
  <si>
    <t>000655</t>
  </si>
  <si>
    <t>000656</t>
  </si>
  <si>
    <t>000657</t>
  </si>
  <si>
    <t>000658</t>
  </si>
  <si>
    <t>000659</t>
  </si>
  <si>
    <t>000660</t>
  </si>
  <si>
    <t>000661</t>
  </si>
  <si>
    <t>000662</t>
  </si>
  <si>
    <t>000663</t>
  </si>
  <si>
    <t>000664</t>
  </si>
  <si>
    <t>000665</t>
  </si>
  <si>
    <t>000666</t>
  </si>
  <si>
    <t>000667</t>
  </si>
  <si>
    <t>000668</t>
  </si>
  <si>
    <t>000669</t>
  </si>
  <si>
    <t>000670</t>
  </si>
  <si>
    <t>000671</t>
  </si>
  <si>
    <t>000672</t>
  </si>
  <si>
    <t>000673</t>
  </si>
  <si>
    <t>000674</t>
  </si>
  <si>
    <t>000675</t>
  </si>
  <si>
    <t>000676</t>
  </si>
  <si>
    <t>000677</t>
  </si>
  <si>
    <t>000678</t>
  </si>
  <si>
    <t>000679</t>
  </si>
  <si>
    <t>000680</t>
  </si>
  <si>
    <t>000681</t>
  </si>
  <si>
    <t>000682</t>
  </si>
  <si>
    <t>000683</t>
  </si>
  <si>
    <t>000684</t>
  </si>
  <si>
    <t>000685</t>
  </si>
  <si>
    <t>000686</t>
  </si>
  <si>
    <t>000687</t>
  </si>
  <si>
    <t>000688</t>
  </si>
  <si>
    <t>000689</t>
  </si>
  <si>
    <t>000690</t>
  </si>
  <si>
    <t>000691</t>
  </si>
  <si>
    <t>000692</t>
  </si>
  <si>
    <t>000693</t>
  </si>
  <si>
    <t>000694</t>
  </si>
  <si>
    <t>000695</t>
  </si>
  <si>
    <t>000696</t>
  </si>
  <si>
    <t>000697</t>
  </si>
  <si>
    <t>000698</t>
  </si>
  <si>
    <t>000699</t>
  </si>
  <si>
    <t>000700</t>
  </si>
  <si>
    <t>000701</t>
  </si>
  <si>
    <t>000702</t>
  </si>
  <si>
    <t>000703</t>
  </si>
  <si>
    <t>000704</t>
  </si>
  <si>
    <t>000705</t>
  </si>
  <si>
    <t>000706</t>
  </si>
  <si>
    <t>000707</t>
  </si>
  <si>
    <t>000708</t>
  </si>
  <si>
    <t>000709</t>
  </si>
  <si>
    <t>000710</t>
  </si>
  <si>
    <t>000711</t>
  </si>
  <si>
    <t>000712</t>
  </si>
  <si>
    <t>000713</t>
  </si>
  <si>
    <t>000714</t>
  </si>
  <si>
    <t>000715</t>
  </si>
  <si>
    <t>000716</t>
  </si>
  <si>
    <t>000717</t>
  </si>
  <si>
    <t>000718</t>
  </si>
  <si>
    <t>000719</t>
  </si>
  <si>
    <t>000720</t>
  </si>
  <si>
    <t>000721</t>
  </si>
  <si>
    <t>000722</t>
  </si>
  <si>
    <t>000723</t>
  </si>
  <si>
    <t>000724</t>
  </si>
  <si>
    <t>000725</t>
  </si>
  <si>
    <t>000726</t>
  </si>
  <si>
    <t>000727</t>
  </si>
  <si>
    <t>000728</t>
  </si>
  <si>
    <t>000729</t>
  </si>
  <si>
    <t>000730</t>
  </si>
  <si>
    <t>000731</t>
  </si>
  <si>
    <t>000732</t>
  </si>
  <si>
    <t>000733</t>
  </si>
  <si>
    <t>000734</t>
  </si>
  <si>
    <t>000735</t>
  </si>
  <si>
    <t>000736</t>
  </si>
  <si>
    <t>000737</t>
  </si>
  <si>
    <t>000738</t>
  </si>
  <si>
    <t>000739</t>
  </si>
  <si>
    <t>000740</t>
  </si>
  <si>
    <t>000741</t>
  </si>
  <si>
    <t>000742</t>
  </si>
  <si>
    <t>000743</t>
  </si>
  <si>
    <t>000744</t>
  </si>
  <si>
    <t>000745</t>
  </si>
  <si>
    <t>000746</t>
  </si>
  <si>
    <t>000747</t>
  </si>
  <si>
    <t>000748</t>
  </si>
  <si>
    <t>000749</t>
  </si>
  <si>
    <t>000750</t>
  </si>
  <si>
    <t>000751</t>
  </si>
  <si>
    <t>000752</t>
  </si>
  <si>
    <t>000753</t>
  </si>
  <si>
    <t>000754</t>
  </si>
  <si>
    <t>000755</t>
  </si>
  <si>
    <t>000756</t>
  </si>
  <si>
    <t>000757</t>
  </si>
  <si>
    <t>000758</t>
  </si>
  <si>
    <t>000759</t>
  </si>
  <si>
    <t>000760</t>
  </si>
  <si>
    <t>000761</t>
  </si>
  <si>
    <t>000762</t>
  </si>
  <si>
    <t>000763</t>
  </si>
  <si>
    <t>000764</t>
  </si>
  <si>
    <t>000765</t>
  </si>
  <si>
    <t>000766</t>
  </si>
  <si>
    <t>000767</t>
  </si>
  <si>
    <t>000768</t>
  </si>
  <si>
    <t>000769</t>
  </si>
  <si>
    <t>000770</t>
  </si>
  <si>
    <t>000771</t>
  </si>
  <si>
    <t>000772</t>
  </si>
  <si>
    <t>000773</t>
  </si>
  <si>
    <t>000774</t>
  </si>
  <si>
    <t>000775</t>
  </si>
  <si>
    <t>000776</t>
  </si>
  <si>
    <t>000777</t>
  </si>
  <si>
    <t>000778</t>
  </si>
  <si>
    <t>000779</t>
  </si>
  <si>
    <t>000780</t>
  </si>
  <si>
    <t>000781</t>
  </si>
  <si>
    <t>000782</t>
  </si>
  <si>
    <t>000783</t>
  </si>
  <si>
    <t>000784</t>
  </si>
  <si>
    <t>000785</t>
  </si>
  <si>
    <t>000786</t>
  </si>
  <si>
    <t>000787</t>
  </si>
  <si>
    <t>000788</t>
  </si>
  <si>
    <t>000789</t>
  </si>
  <si>
    <t>000790</t>
  </si>
  <si>
    <t>000791</t>
  </si>
  <si>
    <t>000792</t>
  </si>
  <si>
    <t>000793</t>
  </si>
  <si>
    <t>000794</t>
  </si>
  <si>
    <t>000795</t>
  </si>
  <si>
    <t>000796</t>
  </si>
  <si>
    <t>000797</t>
  </si>
  <si>
    <t>000798</t>
  </si>
  <si>
    <t>000799</t>
  </si>
  <si>
    <t>000800</t>
  </si>
  <si>
    <t>000801</t>
  </si>
  <si>
    <t>000802</t>
  </si>
  <si>
    <t>000803</t>
  </si>
  <si>
    <t>000804</t>
  </si>
  <si>
    <t>000805</t>
  </si>
  <si>
    <t>000806</t>
  </si>
  <si>
    <t>000807</t>
  </si>
  <si>
    <t>000808</t>
  </si>
  <si>
    <t>000809</t>
  </si>
  <si>
    <t>000810</t>
  </si>
  <si>
    <t>000811</t>
  </si>
  <si>
    <t>000812</t>
  </si>
  <si>
    <t>000813</t>
  </si>
  <si>
    <t>000814</t>
  </si>
  <si>
    <t>000815</t>
  </si>
  <si>
    <t>000816</t>
  </si>
  <si>
    <t>000817</t>
  </si>
  <si>
    <t>000818</t>
  </si>
  <si>
    <t>000819</t>
  </si>
  <si>
    <t>000820</t>
  </si>
  <si>
    <t>000821</t>
  </si>
  <si>
    <t>000822</t>
  </si>
  <si>
    <t>000823</t>
  </si>
  <si>
    <t>000824</t>
  </si>
  <si>
    <t>000825</t>
  </si>
  <si>
    <t>000826</t>
  </si>
  <si>
    <t>000827</t>
  </si>
  <si>
    <t>000828</t>
  </si>
  <si>
    <t>000829</t>
  </si>
  <si>
    <t>000830</t>
  </si>
  <si>
    <t>000831</t>
  </si>
  <si>
    <t>000832</t>
  </si>
  <si>
    <t>000833</t>
  </si>
  <si>
    <t>000834</t>
  </si>
  <si>
    <t>000835</t>
  </si>
  <si>
    <t>000836</t>
  </si>
  <si>
    <t>000837</t>
  </si>
  <si>
    <t>000838</t>
  </si>
  <si>
    <t>000839</t>
  </si>
  <si>
    <t>000840</t>
  </si>
  <si>
    <t>000841</t>
  </si>
  <si>
    <t>000842</t>
  </si>
  <si>
    <t>000843</t>
  </si>
  <si>
    <t>000844</t>
  </si>
  <si>
    <t>000845</t>
  </si>
  <si>
    <t>000846</t>
  </si>
  <si>
    <t>000847</t>
  </si>
  <si>
    <t>000848</t>
  </si>
  <si>
    <t>000849</t>
  </si>
  <si>
    <t>000850</t>
  </si>
  <si>
    <t>000851</t>
  </si>
  <si>
    <t>000852</t>
  </si>
  <si>
    <t>000853</t>
  </si>
  <si>
    <t>000854</t>
  </si>
  <si>
    <t>000855</t>
  </si>
  <si>
    <t>000856</t>
  </si>
  <si>
    <t>000857</t>
  </si>
  <si>
    <t>000858</t>
  </si>
  <si>
    <t>000859</t>
  </si>
  <si>
    <t>000860</t>
  </si>
  <si>
    <t>000861</t>
  </si>
  <si>
    <t>000862</t>
  </si>
  <si>
    <t>000863</t>
  </si>
  <si>
    <t>000864</t>
  </si>
  <si>
    <t>000865</t>
  </si>
  <si>
    <t>000866</t>
  </si>
  <si>
    <t>000867</t>
  </si>
  <si>
    <t>000868</t>
  </si>
  <si>
    <t>000869</t>
  </si>
  <si>
    <t>000870</t>
  </si>
  <si>
    <t>000871</t>
  </si>
  <si>
    <t>000872</t>
  </si>
  <si>
    <t>000873</t>
  </si>
  <si>
    <t>000874</t>
  </si>
  <si>
    <t>000875</t>
  </si>
  <si>
    <t>000876</t>
  </si>
  <si>
    <t>000877</t>
  </si>
  <si>
    <t>000878</t>
  </si>
  <si>
    <t>000879</t>
  </si>
  <si>
    <t>000880</t>
  </si>
  <si>
    <t>000881</t>
  </si>
  <si>
    <t>000882</t>
  </si>
  <si>
    <t>000883</t>
  </si>
  <si>
    <t>000884</t>
  </si>
  <si>
    <t>000885</t>
  </si>
  <si>
    <t>000886</t>
  </si>
  <si>
    <t>000887</t>
  </si>
  <si>
    <t>000888</t>
  </si>
  <si>
    <t>000889</t>
  </si>
  <si>
    <t>000890</t>
  </si>
  <si>
    <t>000891</t>
  </si>
  <si>
    <t>000892</t>
  </si>
  <si>
    <t>000893</t>
  </si>
  <si>
    <t>000894</t>
  </si>
  <si>
    <t>000895</t>
  </si>
  <si>
    <t>000896</t>
  </si>
  <si>
    <t>000897</t>
  </si>
  <si>
    <t>000898</t>
  </si>
  <si>
    <t>000899</t>
  </si>
  <si>
    <t>000900</t>
  </si>
  <si>
    <t>000901</t>
  </si>
  <si>
    <t>000902</t>
  </si>
  <si>
    <t>000903</t>
  </si>
  <si>
    <t>000904</t>
  </si>
  <si>
    <t>000905</t>
  </si>
  <si>
    <t>000906</t>
  </si>
  <si>
    <t>000907</t>
  </si>
  <si>
    <t>000908</t>
  </si>
  <si>
    <t>000909</t>
  </si>
  <si>
    <t>000910</t>
  </si>
  <si>
    <t>000911</t>
  </si>
  <si>
    <t>000912</t>
  </si>
  <si>
    <t>000913</t>
  </si>
  <si>
    <t>000914</t>
  </si>
  <si>
    <t>000915</t>
  </si>
  <si>
    <t>000916</t>
  </si>
  <si>
    <t>000917</t>
  </si>
  <si>
    <t>000918</t>
  </si>
  <si>
    <t>000919</t>
  </si>
  <si>
    <t>000920</t>
  </si>
  <si>
    <t>000921</t>
  </si>
  <si>
    <t>000922</t>
  </si>
  <si>
    <t>000923</t>
  </si>
  <si>
    <t>000924</t>
  </si>
  <si>
    <t>000925</t>
  </si>
  <si>
    <t>000926</t>
  </si>
  <si>
    <t>000927</t>
  </si>
  <si>
    <t>000928</t>
  </si>
  <si>
    <t>000929</t>
  </si>
  <si>
    <t>000930</t>
  </si>
  <si>
    <t>000931</t>
  </si>
  <si>
    <t>000932</t>
  </si>
  <si>
    <t>000933</t>
  </si>
  <si>
    <t>000934</t>
  </si>
  <si>
    <t>000935</t>
  </si>
  <si>
    <t>000936</t>
  </si>
  <si>
    <t>000937</t>
  </si>
  <si>
    <t>000938</t>
  </si>
  <si>
    <t>000939</t>
  </si>
  <si>
    <t>000940</t>
  </si>
  <si>
    <t>000941</t>
  </si>
  <si>
    <t>000942</t>
  </si>
  <si>
    <t>000943</t>
  </si>
  <si>
    <t>000944</t>
  </si>
  <si>
    <t>000945</t>
  </si>
  <si>
    <t>000946</t>
  </si>
  <si>
    <t>000947</t>
  </si>
  <si>
    <t>000948</t>
  </si>
  <si>
    <t>000949</t>
  </si>
  <si>
    <t>000950</t>
  </si>
  <si>
    <t>000951</t>
  </si>
  <si>
    <t>000952</t>
  </si>
  <si>
    <t>000953</t>
  </si>
  <si>
    <t>000954</t>
  </si>
  <si>
    <t>000955</t>
  </si>
  <si>
    <t>000956</t>
  </si>
  <si>
    <t>000957</t>
  </si>
  <si>
    <t>000958</t>
  </si>
  <si>
    <t>000959</t>
  </si>
  <si>
    <t>000960</t>
  </si>
  <si>
    <t>000961</t>
  </si>
  <si>
    <t>000962</t>
  </si>
  <si>
    <t>000963</t>
  </si>
  <si>
    <t>000964</t>
  </si>
  <si>
    <t>000965</t>
  </si>
  <si>
    <t>000966</t>
  </si>
  <si>
    <t>000967</t>
  </si>
  <si>
    <t>000968</t>
  </si>
  <si>
    <t>000969</t>
  </si>
  <si>
    <t>000970</t>
  </si>
  <si>
    <t>000971</t>
  </si>
  <si>
    <t>000972</t>
  </si>
  <si>
    <t>000973</t>
  </si>
  <si>
    <t>000974</t>
  </si>
  <si>
    <t>000975</t>
  </si>
  <si>
    <t>000976</t>
  </si>
  <si>
    <t>000977</t>
  </si>
  <si>
    <t>000978</t>
  </si>
  <si>
    <t>000979</t>
  </si>
  <si>
    <t>000980</t>
  </si>
  <si>
    <t>000981</t>
  </si>
  <si>
    <t>000982</t>
  </si>
  <si>
    <t>000983</t>
  </si>
  <si>
    <t>000984</t>
  </si>
  <si>
    <t>000985</t>
  </si>
  <si>
    <t>000986</t>
  </si>
  <si>
    <t>000987</t>
  </si>
  <si>
    <t>000988</t>
  </si>
  <si>
    <t>000989</t>
  </si>
  <si>
    <t>000990</t>
  </si>
  <si>
    <t>000991</t>
  </si>
  <si>
    <t>000992</t>
  </si>
  <si>
    <t>000993</t>
  </si>
  <si>
    <t>000994</t>
  </si>
  <si>
    <t>000995</t>
  </si>
  <si>
    <t>000996</t>
  </si>
  <si>
    <t>000997</t>
  </si>
  <si>
    <t>000998</t>
  </si>
  <si>
    <t>000999</t>
  </si>
  <si>
    <t>001000</t>
  </si>
  <si>
    <t>001001</t>
  </si>
  <si>
    <t>001002</t>
  </si>
  <si>
    <t>001003</t>
  </si>
  <si>
    <t>001004</t>
  </si>
  <si>
    <t>001005</t>
  </si>
  <si>
    <t>001006</t>
  </si>
  <si>
    <t>001007</t>
  </si>
  <si>
    <t>001008</t>
  </si>
  <si>
    <t>001009</t>
  </si>
  <si>
    <t>001010</t>
  </si>
  <si>
    <t>001011</t>
  </si>
  <si>
    <t>001012</t>
  </si>
  <si>
    <t>001013</t>
  </si>
  <si>
    <t>001014</t>
  </si>
  <si>
    <t>001015</t>
  </si>
  <si>
    <t>001016</t>
  </si>
  <si>
    <t>001017</t>
  </si>
  <si>
    <t>001018</t>
  </si>
  <si>
    <t>001019</t>
  </si>
  <si>
    <t>001020</t>
  </si>
  <si>
    <t>001021</t>
  </si>
  <si>
    <t>001022</t>
  </si>
  <si>
    <t>001023</t>
  </si>
  <si>
    <t>001024</t>
  </si>
  <si>
    <t>001025</t>
  </si>
  <si>
    <t>001026</t>
  </si>
  <si>
    <t>001027</t>
  </si>
  <si>
    <t>001028</t>
  </si>
  <si>
    <t>001029</t>
  </si>
  <si>
    <t>001030</t>
  </si>
  <si>
    <t>001031</t>
  </si>
  <si>
    <t>001032</t>
  </si>
  <si>
    <t>001033</t>
  </si>
  <si>
    <t>001034</t>
  </si>
  <si>
    <t>001035</t>
  </si>
  <si>
    <t>001036</t>
  </si>
  <si>
    <t>001037</t>
  </si>
  <si>
    <t>001038</t>
  </si>
  <si>
    <t>001039</t>
  </si>
  <si>
    <t>001040</t>
  </si>
  <si>
    <t>001041</t>
  </si>
  <si>
    <t>001042</t>
  </si>
  <si>
    <t>001043</t>
  </si>
  <si>
    <t>001044</t>
  </si>
  <si>
    <t>001045</t>
  </si>
  <si>
    <t>001046</t>
  </si>
  <si>
    <t>001047</t>
  </si>
  <si>
    <t>001048</t>
  </si>
  <si>
    <t>001049</t>
  </si>
  <si>
    <t>001050</t>
  </si>
  <si>
    <t>001051</t>
  </si>
  <si>
    <t>001052</t>
  </si>
  <si>
    <t>001053</t>
  </si>
  <si>
    <t>001054</t>
  </si>
  <si>
    <t>001055</t>
  </si>
  <si>
    <t>001056</t>
  </si>
  <si>
    <t>001057</t>
  </si>
  <si>
    <t>001058</t>
  </si>
  <si>
    <t>001059</t>
  </si>
  <si>
    <t>001060</t>
  </si>
  <si>
    <t>001061</t>
  </si>
  <si>
    <t>001062</t>
  </si>
  <si>
    <t>001063</t>
  </si>
  <si>
    <t>001064</t>
  </si>
  <si>
    <t>001065</t>
  </si>
  <si>
    <t>001066</t>
  </si>
  <si>
    <t>001067</t>
  </si>
  <si>
    <t>001068</t>
  </si>
  <si>
    <t>001069</t>
  </si>
  <si>
    <t>001070</t>
  </si>
  <si>
    <t>001071</t>
  </si>
  <si>
    <t>001072</t>
  </si>
  <si>
    <t>001073</t>
  </si>
  <si>
    <t>001074</t>
  </si>
  <si>
    <t>001075</t>
  </si>
  <si>
    <t>001076</t>
  </si>
  <si>
    <t>001077</t>
  </si>
  <si>
    <t>001078</t>
  </si>
  <si>
    <t>001079</t>
  </si>
  <si>
    <t>001080</t>
  </si>
  <si>
    <t>001081</t>
  </si>
  <si>
    <t>001082</t>
  </si>
  <si>
    <t>001083</t>
  </si>
  <si>
    <t>001084</t>
  </si>
  <si>
    <t>001085</t>
  </si>
  <si>
    <t>001086</t>
  </si>
  <si>
    <t>001087</t>
  </si>
  <si>
    <t>001088</t>
  </si>
  <si>
    <t>001089</t>
  </si>
  <si>
    <t>001090</t>
  </si>
  <si>
    <t>001091</t>
  </si>
  <si>
    <t>001092</t>
  </si>
  <si>
    <t>001093</t>
  </si>
  <si>
    <t>001094</t>
  </si>
  <si>
    <t>001095</t>
  </si>
  <si>
    <t>001096</t>
  </si>
  <si>
    <t>001097</t>
  </si>
  <si>
    <t>001098</t>
  </si>
  <si>
    <t>001099</t>
  </si>
  <si>
    <t>001100</t>
  </si>
  <si>
    <t>001101</t>
  </si>
  <si>
    <t>001102</t>
  </si>
  <si>
    <t>001103</t>
  </si>
  <si>
    <t>001104</t>
  </si>
  <si>
    <t>001105</t>
  </si>
  <si>
    <t>001106</t>
  </si>
  <si>
    <t>001107</t>
  </si>
  <si>
    <t>001108</t>
  </si>
  <si>
    <t>001109</t>
  </si>
  <si>
    <t>001110</t>
  </si>
  <si>
    <t>001111</t>
  </si>
  <si>
    <t>001112</t>
  </si>
  <si>
    <t>001113</t>
  </si>
  <si>
    <t>001114</t>
  </si>
  <si>
    <t>001115</t>
  </si>
  <si>
    <t>001116</t>
  </si>
  <si>
    <t>001117</t>
  </si>
  <si>
    <t>001118</t>
  </si>
  <si>
    <t>001119</t>
  </si>
  <si>
    <t>001120</t>
  </si>
  <si>
    <t>001121</t>
  </si>
  <si>
    <t>001122</t>
  </si>
  <si>
    <t>001123</t>
  </si>
  <si>
    <t>001124</t>
  </si>
  <si>
    <t>001125</t>
  </si>
  <si>
    <t>001126</t>
  </si>
  <si>
    <t>001127</t>
  </si>
  <si>
    <t>001128</t>
  </si>
  <si>
    <t>001129</t>
  </si>
  <si>
    <t>001130</t>
  </si>
  <si>
    <t>001131</t>
  </si>
  <si>
    <t>001132</t>
  </si>
  <si>
    <t>001133</t>
  </si>
  <si>
    <t>001134</t>
  </si>
  <si>
    <t>001135</t>
  </si>
  <si>
    <t>001136</t>
  </si>
  <si>
    <t>001137</t>
  </si>
  <si>
    <t>001138</t>
  </si>
  <si>
    <t>001139</t>
  </si>
  <si>
    <t>001140</t>
  </si>
  <si>
    <t>001141</t>
  </si>
  <si>
    <t>001142</t>
  </si>
  <si>
    <t>001143</t>
  </si>
  <si>
    <t>001144</t>
  </si>
  <si>
    <t>001145</t>
  </si>
  <si>
    <t>001146</t>
  </si>
  <si>
    <t>001147</t>
  </si>
  <si>
    <t>001148</t>
  </si>
  <si>
    <t>001149</t>
  </si>
  <si>
    <t>001150</t>
  </si>
  <si>
    <t>001151</t>
  </si>
  <si>
    <t>001152</t>
  </si>
  <si>
    <t>001153</t>
  </si>
  <si>
    <t>001154</t>
  </si>
  <si>
    <t>001155</t>
  </si>
  <si>
    <t>001156</t>
  </si>
  <si>
    <t>001157</t>
  </si>
  <si>
    <t>001158</t>
  </si>
  <si>
    <t>001159</t>
  </si>
  <si>
    <t>001160</t>
  </si>
  <si>
    <t>001161</t>
  </si>
  <si>
    <t>001162</t>
  </si>
  <si>
    <t>001163</t>
  </si>
  <si>
    <t>001164</t>
  </si>
  <si>
    <t>001165</t>
  </si>
  <si>
    <t>001166</t>
  </si>
  <si>
    <t>001167</t>
  </si>
  <si>
    <t>001168</t>
  </si>
  <si>
    <t>001169</t>
  </si>
  <si>
    <t>001170</t>
  </si>
  <si>
    <t>001171</t>
  </si>
  <si>
    <t>001172</t>
  </si>
  <si>
    <t>001173</t>
  </si>
  <si>
    <t>001174</t>
  </si>
  <si>
    <t>001175</t>
  </si>
  <si>
    <t>001176</t>
  </si>
  <si>
    <t>001177</t>
  </si>
  <si>
    <t>001178</t>
  </si>
  <si>
    <t>001179</t>
  </si>
  <si>
    <t>001180</t>
  </si>
  <si>
    <t>001181</t>
  </si>
  <si>
    <t>001182</t>
  </si>
  <si>
    <t>001183</t>
  </si>
  <si>
    <t>001184</t>
  </si>
  <si>
    <t>001185</t>
  </si>
  <si>
    <t>001186</t>
  </si>
  <si>
    <t>001187</t>
  </si>
  <si>
    <t>001188</t>
  </si>
  <si>
    <t>001189</t>
  </si>
  <si>
    <t>001190</t>
  </si>
  <si>
    <t>001191</t>
  </si>
  <si>
    <t>001192</t>
  </si>
  <si>
    <t>001193</t>
  </si>
  <si>
    <t>001194</t>
  </si>
  <si>
    <t>001195</t>
  </si>
  <si>
    <t>001196</t>
  </si>
  <si>
    <t>001197</t>
  </si>
  <si>
    <t>001198</t>
  </si>
  <si>
    <t>001199</t>
  </si>
  <si>
    <t>001200</t>
  </si>
  <si>
    <t>001201</t>
  </si>
  <si>
    <t>001202</t>
  </si>
  <si>
    <t>001203</t>
  </si>
  <si>
    <t>001204</t>
  </si>
  <si>
    <t>001205</t>
  </si>
  <si>
    <t>001206</t>
  </si>
  <si>
    <t>001207</t>
  </si>
  <si>
    <t>001208</t>
  </si>
  <si>
    <t>001209</t>
  </si>
  <si>
    <t>001210</t>
  </si>
  <si>
    <t>001211</t>
  </si>
  <si>
    <t>001212</t>
  </si>
  <si>
    <t>001213</t>
  </si>
  <si>
    <t>001214</t>
  </si>
  <si>
    <t>001215</t>
  </si>
  <si>
    <t>001216</t>
  </si>
  <si>
    <t>001217</t>
  </si>
  <si>
    <t>001218</t>
  </si>
  <si>
    <t>001219</t>
  </si>
  <si>
    <t>001220</t>
  </si>
  <si>
    <t>001221</t>
  </si>
  <si>
    <t>001222</t>
  </si>
  <si>
    <t>001223</t>
  </si>
  <si>
    <t>001224</t>
  </si>
  <si>
    <t>001225</t>
  </si>
  <si>
    <t>001226</t>
  </si>
  <si>
    <t>001227</t>
  </si>
  <si>
    <t>001228</t>
  </si>
  <si>
    <t>001229</t>
  </si>
  <si>
    <t>001230</t>
  </si>
  <si>
    <t>001231</t>
  </si>
  <si>
    <t>001232</t>
  </si>
  <si>
    <t>001233</t>
  </si>
  <si>
    <t>001234</t>
  </si>
  <si>
    <t>001235</t>
  </si>
  <si>
    <t>001236</t>
  </si>
  <si>
    <t>001237</t>
  </si>
  <si>
    <t>001238</t>
  </si>
  <si>
    <t>001239</t>
  </si>
  <si>
    <t>001240</t>
  </si>
  <si>
    <t>001241</t>
  </si>
  <si>
    <t>001242</t>
  </si>
  <si>
    <t>001243</t>
  </si>
  <si>
    <t>001244</t>
  </si>
  <si>
    <t>001245</t>
  </si>
  <si>
    <t>001246</t>
  </si>
  <si>
    <t>001247</t>
  </si>
  <si>
    <t>001248</t>
  </si>
  <si>
    <t>001249</t>
  </si>
  <si>
    <t>001250</t>
  </si>
  <si>
    <t>001251</t>
  </si>
  <si>
    <t>001252</t>
  </si>
  <si>
    <t>001253</t>
  </si>
  <si>
    <t>001254</t>
  </si>
  <si>
    <t>001255</t>
  </si>
  <si>
    <t>001256</t>
  </si>
  <si>
    <t>001257</t>
  </si>
  <si>
    <t>001258</t>
  </si>
  <si>
    <t>001259</t>
  </si>
  <si>
    <t>001260</t>
  </si>
  <si>
    <t>001261</t>
  </si>
  <si>
    <t>001262</t>
  </si>
  <si>
    <t>001263</t>
  </si>
  <si>
    <t>001264</t>
  </si>
  <si>
    <t>001265</t>
  </si>
  <si>
    <t>001266</t>
  </si>
  <si>
    <t>001267</t>
  </si>
  <si>
    <t>001268</t>
  </si>
  <si>
    <t>001269</t>
  </si>
  <si>
    <t>001270</t>
  </si>
  <si>
    <t>001271</t>
  </si>
  <si>
    <t>001272</t>
  </si>
  <si>
    <t>001273</t>
  </si>
  <si>
    <t>001274</t>
  </si>
  <si>
    <t>001275</t>
  </si>
  <si>
    <t>001276</t>
  </si>
  <si>
    <t>001277</t>
  </si>
  <si>
    <t>001278</t>
  </si>
  <si>
    <t>001279</t>
  </si>
  <si>
    <t>001280</t>
  </si>
  <si>
    <t>001281</t>
  </si>
  <si>
    <t>001282</t>
  </si>
  <si>
    <t>001283</t>
  </si>
  <si>
    <t>001284</t>
  </si>
  <si>
    <t>001285</t>
  </si>
  <si>
    <t>001286</t>
  </si>
  <si>
    <t>001287</t>
  </si>
  <si>
    <t>001288</t>
  </si>
  <si>
    <t>001289</t>
  </si>
  <si>
    <t>001290</t>
  </si>
  <si>
    <t>001291</t>
  </si>
  <si>
    <t>001292</t>
  </si>
  <si>
    <t>001293</t>
  </si>
  <si>
    <t>001294</t>
  </si>
  <si>
    <t>001295</t>
  </si>
  <si>
    <t>001296</t>
  </si>
  <si>
    <t>001297</t>
  </si>
  <si>
    <t>001298</t>
  </si>
  <si>
    <t>001299</t>
  </si>
  <si>
    <t>001300</t>
  </si>
  <si>
    <t>001301</t>
  </si>
  <si>
    <t>001302</t>
  </si>
  <si>
    <t>001303</t>
  </si>
  <si>
    <t>001304</t>
  </si>
  <si>
    <t>001305</t>
  </si>
  <si>
    <t>001306</t>
  </si>
  <si>
    <t>001307</t>
  </si>
  <si>
    <t>001308</t>
  </si>
  <si>
    <t>001309</t>
  </si>
  <si>
    <t>001310</t>
  </si>
  <si>
    <t>001311</t>
  </si>
  <si>
    <t>001312</t>
  </si>
  <si>
    <t>001313</t>
  </si>
  <si>
    <t>001314</t>
  </si>
  <si>
    <t>001315</t>
  </si>
  <si>
    <t>001316</t>
  </si>
  <si>
    <t>001317</t>
  </si>
  <si>
    <t>001318</t>
  </si>
  <si>
    <t>001319</t>
  </si>
  <si>
    <t>001320</t>
  </si>
  <si>
    <t>001321</t>
  </si>
  <si>
    <t>001322</t>
  </si>
  <si>
    <t>001323</t>
  </si>
  <si>
    <t>001324</t>
  </si>
  <si>
    <t>001325</t>
  </si>
  <si>
    <t>001326</t>
  </si>
  <si>
    <t>001327</t>
  </si>
  <si>
    <t>001328</t>
  </si>
  <si>
    <t>001329</t>
  </si>
  <si>
    <t>001330</t>
  </si>
  <si>
    <t>001331</t>
  </si>
  <si>
    <t>001332</t>
  </si>
  <si>
    <t>001333</t>
  </si>
  <si>
    <t>001334</t>
  </si>
  <si>
    <t>001335</t>
  </si>
  <si>
    <t>001336</t>
  </si>
  <si>
    <t>001337</t>
  </si>
  <si>
    <t>001338</t>
  </si>
  <si>
    <t>001339</t>
  </si>
  <si>
    <t>001340</t>
  </si>
  <si>
    <t>001341</t>
  </si>
  <si>
    <t>001342</t>
  </si>
  <si>
    <t>001343</t>
  </si>
  <si>
    <t>001344</t>
  </si>
  <si>
    <t>001345</t>
  </si>
  <si>
    <t>001346</t>
  </si>
  <si>
    <t>001347</t>
  </si>
  <si>
    <t>001348</t>
  </si>
  <si>
    <t>001349</t>
  </si>
  <si>
    <t>001350</t>
  </si>
  <si>
    <t>001351</t>
  </si>
  <si>
    <t>001352</t>
  </si>
  <si>
    <t>001353</t>
  </si>
  <si>
    <t>001354</t>
  </si>
  <si>
    <t>001355</t>
  </si>
  <si>
    <t>001356</t>
  </si>
  <si>
    <t>001357</t>
  </si>
  <si>
    <t>001358</t>
  </si>
  <si>
    <t>001359</t>
  </si>
  <si>
    <t>001360</t>
  </si>
  <si>
    <t>001361</t>
  </si>
  <si>
    <t>001362</t>
  </si>
  <si>
    <t>001363</t>
  </si>
  <si>
    <t>001364</t>
  </si>
  <si>
    <t>001365</t>
  </si>
  <si>
    <t>001366</t>
  </si>
  <si>
    <t>001367</t>
  </si>
  <si>
    <t>001368</t>
  </si>
  <si>
    <t>001369</t>
  </si>
  <si>
    <t>001370</t>
  </si>
  <si>
    <t>001371</t>
  </si>
  <si>
    <t>001372</t>
  </si>
  <si>
    <t>001373</t>
  </si>
  <si>
    <t>001374</t>
  </si>
  <si>
    <t>001375</t>
  </si>
  <si>
    <t>001376</t>
  </si>
  <si>
    <t>001377</t>
  </si>
  <si>
    <t>001378</t>
  </si>
  <si>
    <t>001379</t>
  </si>
  <si>
    <t>001380</t>
  </si>
  <si>
    <t>001381</t>
  </si>
  <si>
    <t>001382</t>
  </si>
  <si>
    <t>001383</t>
  </si>
  <si>
    <t>001384</t>
  </si>
  <si>
    <t>001385</t>
  </si>
  <si>
    <t>001386</t>
  </si>
  <si>
    <t>001387</t>
  </si>
  <si>
    <t>001388</t>
  </si>
  <si>
    <t>001389</t>
  </si>
  <si>
    <t>001390</t>
  </si>
  <si>
    <t>001391</t>
  </si>
  <si>
    <t>001392</t>
  </si>
  <si>
    <t>001393</t>
  </si>
  <si>
    <t>001394</t>
  </si>
  <si>
    <t>001395</t>
  </si>
  <si>
    <t>001396</t>
  </si>
  <si>
    <t>001397</t>
  </si>
  <si>
    <t>001398</t>
  </si>
  <si>
    <t>001399</t>
  </si>
  <si>
    <t>001400</t>
  </si>
  <si>
    <t>001401</t>
  </si>
  <si>
    <t>001402</t>
  </si>
  <si>
    <t>001403</t>
  </si>
  <si>
    <t>001404</t>
  </si>
  <si>
    <t>001405</t>
  </si>
  <si>
    <t>001406</t>
  </si>
  <si>
    <t>001407</t>
  </si>
  <si>
    <t>001408</t>
  </si>
  <si>
    <t>001409</t>
  </si>
  <si>
    <t>001410</t>
  </si>
  <si>
    <t>001411</t>
  </si>
  <si>
    <t>001412</t>
  </si>
  <si>
    <t>001413</t>
  </si>
  <si>
    <t>001414</t>
  </si>
  <si>
    <t>001415</t>
  </si>
  <si>
    <t>001416</t>
  </si>
  <si>
    <t>001417</t>
  </si>
  <si>
    <t>001418</t>
  </si>
  <si>
    <t>001419</t>
  </si>
  <si>
    <t>001420</t>
  </si>
  <si>
    <t>001421</t>
  </si>
  <si>
    <t>001422</t>
  </si>
  <si>
    <t>001423</t>
  </si>
  <si>
    <t>001424</t>
  </si>
  <si>
    <t>001425</t>
  </si>
  <si>
    <t>001426</t>
  </si>
  <si>
    <t>001427</t>
  </si>
  <si>
    <t>001428</t>
  </si>
  <si>
    <t>001429</t>
  </si>
  <si>
    <t>001430</t>
  </si>
  <si>
    <t>001431</t>
  </si>
  <si>
    <t>001432</t>
  </si>
  <si>
    <t>001433</t>
  </si>
  <si>
    <t>001434</t>
  </si>
  <si>
    <t>001435</t>
  </si>
  <si>
    <t>001436</t>
  </si>
  <si>
    <t>001437</t>
  </si>
  <si>
    <t>001438</t>
  </si>
  <si>
    <t>001439</t>
  </si>
  <si>
    <t>001440</t>
  </si>
  <si>
    <t>001441</t>
  </si>
  <si>
    <t>001442</t>
  </si>
  <si>
    <t>001443</t>
  </si>
  <si>
    <t>001444</t>
  </si>
  <si>
    <t>001445</t>
  </si>
  <si>
    <t>001446</t>
  </si>
  <si>
    <t>001447</t>
  </si>
  <si>
    <t>001448</t>
  </si>
  <si>
    <t>001449</t>
  </si>
  <si>
    <t>001450</t>
  </si>
  <si>
    <t>001451</t>
  </si>
  <si>
    <t>001452</t>
  </si>
  <si>
    <t>001453</t>
  </si>
  <si>
    <t>001454</t>
  </si>
  <si>
    <t>001455</t>
  </si>
  <si>
    <t>001456</t>
  </si>
  <si>
    <t>001457</t>
  </si>
  <si>
    <t>001458</t>
  </si>
  <si>
    <t>001459</t>
  </si>
  <si>
    <t>001460</t>
  </si>
  <si>
    <t>001461</t>
  </si>
  <si>
    <t>001462</t>
  </si>
  <si>
    <t>001463</t>
  </si>
  <si>
    <t>001464</t>
  </si>
  <si>
    <t>001465</t>
  </si>
  <si>
    <t>001466</t>
  </si>
  <si>
    <t>001467</t>
  </si>
  <si>
    <t>001468</t>
  </si>
  <si>
    <t>001469</t>
  </si>
  <si>
    <t>001470</t>
  </si>
  <si>
    <t>001471</t>
  </si>
  <si>
    <t>001472</t>
  </si>
  <si>
    <t>001473</t>
  </si>
  <si>
    <t>001474</t>
  </si>
  <si>
    <t>001475</t>
  </si>
  <si>
    <t>001476</t>
  </si>
  <si>
    <t>001477</t>
  </si>
  <si>
    <t>001478</t>
  </si>
  <si>
    <t>001479</t>
  </si>
  <si>
    <t>001480</t>
  </si>
  <si>
    <t>001481</t>
  </si>
  <si>
    <t>001482</t>
  </si>
  <si>
    <t>001483</t>
  </si>
  <si>
    <t>001484</t>
  </si>
  <si>
    <t>001485</t>
  </si>
  <si>
    <t>001486</t>
  </si>
  <si>
    <t>001487</t>
  </si>
  <si>
    <t>001488</t>
  </si>
  <si>
    <t>001489</t>
  </si>
  <si>
    <t>001490</t>
  </si>
  <si>
    <t>001491</t>
  </si>
  <si>
    <t>001492</t>
  </si>
  <si>
    <t>001493</t>
  </si>
  <si>
    <t>001494</t>
  </si>
  <si>
    <t>001495</t>
  </si>
  <si>
    <t>001496</t>
  </si>
  <si>
    <t>001497</t>
  </si>
  <si>
    <t>001498</t>
  </si>
  <si>
    <t>001499</t>
  </si>
  <si>
    <t>001500</t>
  </si>
  <si>
    <t>001501</t>
  </si>
  <si>
    <t>001502</t>
  </si>
  <si>
    <t>001503</t>
  </si>
  <si>
    <t>001504</t>
  </si>
  <si>
    <t>001505</t>
  </si>
  <si>
    <t>001506</t>
  </si>
  <si>
    <t>001507</t>
  </si>
  <si>
    <t>001508</t>
  </si>
  <si>
    <t>001509</t>
  </si>
  <si>
    <t>001510</t>
  </si>
  <si>
    <t>001511</t>
  </si>
  <si>
    <t>001512</t>
  </si>
  <si>
    <t>001513</t>
  </si>
  <si>
    <t>001514</t>
  </si>
  <si>
    <t>001515</t>
  </si>
  <si>
    <t>001516</t>
  </si>
  <si>
    <t>001517</t>
  </si>
  <si>
    <t>001518</t>
  </si>
  <si>
    <t>001519</t>
  </si>
  <si>
    <t>001520</t>
  </si>
  <si>
    <t>001521</t>
  </si>
  <si>
    <t>001522</t>
  </si>
  <si>
    <t>001523</t>
  </si>
  <si>
    <t>001524</t>
  </si>
  <si>
    <t>001525</t>
  </si>
  <si>
    <t>001526</t>
  </si>
  <si>
    <t>001527</t>
  </si>
  <si>
    <t>001528</t>
  </si>
  <si>
    <t>001529</t>
  </si>
  <si>
    <t>001530</t>
  </si>
  <si>
    <t>001531</t>
  </si>
  <si>
    <t>001532</t>
  </si>
  <si>
    <t>001533</t>
  </si>
  <si>
    <t>001534</t>
  </si>
  <si>
    <t>001535</t>
  </si>
  <si>
    <t>001536</t>
  </si>
  <si>
    <t>001537</t>
  </si>
  <si>
    <t>001538</t>
  </si>
  <si>
    <t>001539</t>
  </si>
  <si>
    <t>001540</t>
  </si>
  <si>
    <t>001541</t>
  </si>
  <si>
    <t>001542</t>
  </si>
  <si>
    <t>001543</t>
  </si>
  <si>
    <t>001544</t>
  </si>
  <si>
    <t>001545</t>
  </si>
  <si>
    <t>001546</t>
  </si>
  <si>
    <t>001547</t>
  </si>
  <si>
    <t>001548</t>
  </si>
  <si>
    <t>001549</t>
  </si>
  <si>
    <t>001550</t>
  </si>
  <si>
    <t>001551</t>
  </si>
  <si>
    <t>001552</t>
  </si>
  <si>
    <t>001553</t>
  </si>
  <si>
    <t>001554</t>
  </si>
  <si>
    <t>001555</t>
  </si>
  <si>
    <t>001556</t>
  </si>
  <si>
    <t>001557</t>
  </si>
  <si>
    <t>001558</t>
  </si>
  <si>
    <t>001559</t>
  </si>
  <si>
    <t>001560</t>
  </si>
  <si>
    <t>001561</t>
  </si>
  <si>
    <t>001562</t>
  </si>
  <si>
    <t>001563</t>
  </si>
  <si>
    <t>001564</t>
  </si>
  <si>
    <t>001565</t>
  </si>
  <si>
    <t>001566</t>
  </si>
  <si>
    <t>001567</t>
  </si>
  <si>
    <t>001568</t>
  </si>
  <si>
    <t>001569</t>
  </si>
  <si>
    <t>001570</t>
  </si>
  <si>
    <t>001571</t>
  </si>
  <si>
    <t>001572</t>
  </si>
  <si>
    <t>001573</t>
  </si>
  <si>
    <t>001574</t>
  </si>
  <si>
    <t>001575</t>
  </si>
  <si>
    <t>001576</t>
  </si>
  <si>
    <t>001577</t>
  </si>
  <si>
    <t>001578</t>
  </si>
  <si>
    <t>001579</t>
  </si>
  <si>
    <t>001580</t>
  </si>
  <si>
    <t>001581</t>
  </si>
  <si>
    <t>001582</t>
  </si>
  <si>
    <t>001583</t>
  </si>
  <si>
    <t>001584</t>
  </si>
  <si>
    <t>001585</t>
  </si>
  <si>
    <t>001586</t>
  </si>
  <si>
    <t>001587</t>
  </si>
  <si>
    <t>001588</t>
  </si>
  <si>
    <t>001589</t>
  </si>
  <si>
    <t>001590</t>
  </si>
  <si>
    <t>001591</t>
  </si>
  <si>
    <t>001592</t>
  </si>
  <si>
    <t>001593</t>
  </si>
  <si>
    <t>001594</t>
  </si>
  <si>
    <t>001595</t>
  </si>
  <si>
    <t>001596</t>
  </si>
  <si>
    <t>001597</t>
  </si>
  <si>
    <t>001598</t>
  </si>
  <si>
    <t>001599</t>
  </si>
  <si>
    <t>001600</t>
  </si>
  <si>
    <t>001601</t>
  </si>
  <si>
    <t>001602</t>
  </si>
  <si>
    <t>001603</t>
  </si>
  <si>
    <t>001604</t>
  </si>
  <si>
    <t>001605</t>
  </si>
  <si>
    <t>001606</t>
  </si>
  <si>
    <t>001607</t>
  </si>
  <si>
    <t>001608</t>
  </si>
  <si>
    <t>001609</t>
  </si>
  <si>
    <t>001610</t>
  </si>
  <si>
    <t>001611</t>
  </si>
  <si>
    <t>001612</t>
  </si>
  <si>
    <t>001613</t>
  </si>
  <si>
    <t>001614</t>
  </si>
  <si>
    <t>001615</t>
  </si>
  <si>
    <t>001616</t>
  </si>
  <si>
    <t>001617</t>
  </si>
  <si>
    <t>001618</t>
  </si>
  <si>
    <t>001619</t>
  </si>
  <si>
    <t>001620</t>
  </si>
  <si>
    <t>001621</t>
  </si>
  <si>
    <t>001622</t>
  </si>
  <si>
    <t>001623</t>
  </si>
  <si>
    <t>001624</t>
  </si>
  <si>
    <t>001625</t>
  </si>
  <si>
    <t>001626</t>
  </si>
  <si>
    <t>001627</t>
  </si>
  <si>
    <t>001628</t>
  </si>
  <si>
    <t>001629</t>
  </si>
  <si>
    <t>001630</t>
  </si>
  <si>
    <t>001631</t>
  </si>
  <si>
    <t>001632</t>
  </si>
  <si>
    <t>001633</t>
  </si>
  <si>
    <t>001634</t>
  </si>
  <si>
    <t>001635</t>
  </si>
  <si>
    <t>001636</t>
  </si>
  <si>
    <t>001637</t>
  </si>
  <si>
    <t>001638</t>
  </si>
  <si>
    <t>001639</t>
  </si>
  <si>
    <t>001640</t>
  </si>
  <si>
    <t>001641</t>
  </si>
  <si>
    <t>001642</t>
  </si>
  <si>
    <t>001643</t>
  </si>
  <si>
    <t>001644</t>
  </si>
  <si>
    <t>001645</t>
  </si>
  <si>
    <t>001646</t>
  </si>
  <si>
    <t>001647</t>
  </si>
  <si>
    <t>001648</t>
  </si>
  <si>
    <t>001649</t>
  </si>
  <si>
    <t>001650</t>
  </si>
  <si>
    <t>001651</t>
  </si>
  <si>
    <t>001652</t>
  </si>
  <si>
    <t>001653</t>
  </si>
  <si>
    <t>001654</t>
  </si>
  <si>
    <t>001655</t>
  </si>
  <si>
    <t>001656</t>
  </si>
  <si>
    <t>001657</t>
  </si>
  <si>
    <t>001658</t>
  </si>
  <si>
    <t>001659</t>
  </si>
  <si>
    <t>001660</t>
  </si>
  <si>
    <t>001661</t>
  </si>
  <si>
    <t>001662</t>
  </si>
  <si>
    <t>001663</t>
  </si>
  <si>
    <t>001664</t>
  </si>
  <si>
    <t>001665</t>
  </si>
  <si>
    <t>001666</t>
  </si>
  <si>
    <t>001667</t>
  </si>
  <si>
    <t>001668</t>
  </si>
  <si>
    <t>001669</t>
  </si>
  <si>
    <t>001670</t>
  </si>
  <si>
    <t>001671</t>
  </si>
  <si>
    <t>001672</t>
  </si>
  <si>
    <t>001673</t>
  </si>
  <si>
    <t>001674</t>
  </si>
  <si>
    <t>001675</t>
  </si>
  <si>
    <t>001676</t>
  </si>
  <si>
    <t>001677</t>
  </si>
  <si>
    <t>001678</t>
  </si>
  <si>
    <t>001679</t>
  </si>
  <si>
    <t>001680</t>
  </si>
  <si>
    <t>001681</t>
  </si>
  <si>
    <t>001682</t>
  </si>
  <si>
    <t>001683</t>
  </si>
  <si>
    <t>001684</t>
  </si>
  <si>
    <t>001685</t>
  </si>
  <si>
    <t>001686</t>
  </si>
  <si>
    <t>001687</t>
  </si>
  <si>
    <t>001688</t>
  </si>
  <si>
    <t>001689</t>
  </si>
  <si>
    <t>001690</t>
  </si>
  <si>
    <t>001691</t>
  </si>
  <si>
    <t>001692</t>
  </si>
  <si>
    <t>001693</t>
  </si>
  <si>
    <t>001694</t>
  </si>
  <si>
    <t>001695</t>
  </si>
  <si>
    <t>001696</t>
  </si>
  <si>
    <t>001697</t>
  </si>
  <si>
    <t>001698</t>
  </si>
  <si>
    <t>001699</t>
  </si>
  <si>
    <t>001700</t>
  </si>
  <si>
    <t>001701</t>
  </si>
  <si>
    <t>001702</t>
  </si>
  <si>
    <t>001703</t>
  </si>
  <si>
    <t>001704</t>
  </si>
  <si>
    <t>001705</t>
  </si>
  <si>
    <t>001706</t>
  </si>
  <si>
    <t>001707</t>
  </si>
  <si>
    <t>001708</t>
  </si>
  <si>
    <t>001709</t>
  </si>
  <si>
    <t>001710</t>
  </si>
  <si>
    <t>001711</t>
  </si>
  <si>
    <t>001712</t>
  </si>
  <si>
    <t>001713</t>
  </si>
  <si>
    <t>001714</t>
  </si>
  <si>
    <t>001715</t>
  </si>
  <si>
    <t>001716</t>
  </si>
  <si>
    <t>001717</t>
  </si>
  <si>
    <t>001718</t>
  </si>
  <si>
    <t>001719</t>
  </si>
  <si>
    <t>001720</t>
  </si>
  <si>
    <t>001721</t>
  </si>
  <si>
    <t>001722</t>
  </si>
  <si>
    <t>001723</t>
  </si>
  <si>
    <t>001724</t>
  </si>
  <si>
    <t>001725</t>
  </si>
  <si>
    <t>001726</t>
  </si>
  <si>
    <t>001727</t>
  </si>
  <si>
    <t>001728</t>
  </si>
  <si>
    <t>001729</t>
  </si>
  <si>
    <t>001730</t>
  </si>
  <si>
    <t>001731</t>
  </si>
  <si>
    <t>001732</t>
  </si>
  <si>
    <t>001733</t>
  </si>
  <si>
    <t>001734</t>
  </si>
  <si>
    <t>001735</t>
  </si>
  <si>
    <t>001736</t>
  </si>
  <si>
    <t>001737</t>
  </si>
  <si>
    <t>001738</t>
  </si>
  <si>
    <t>001739</t>
  </si>
  <si>
    <t>001740</t>
  </si>
  <si>
    <t>001741</t>
  </si>
  <si>
    <t>001742</t>
  </si>
  <si>
    <t>001743</t>
  </si>
  <si>
    <t>001744</t>
  </si>
  <si>
    <t>001745</t>
  </si>
  <si>
    <t>001746</t>
  </si>
  <si>
    <t>001747</t>
  </si>
  <si>
    <t>001748</t>
  </si>
  <si>
    <t>001749</t>
  </si>
  <si>
    <t>001750</t>
  </si>
  <si>
    <t>001751</t>
  </si>
  <si>
    <t>001752</t>
  </si>
  <si>
    <t>001753</t>
  </si>
  <si>
    <t>001754</t>
  </si>
  <si>
    <t>001755</t>
  </si>
  <si>
    <t>001756</t>
  </si>
  <si>
    <t>001757</t>
  </si>
  <si>
    <t>001758</t>
  </si>
  <si>
    <t>001759</t>
  </si>
  <si>
    <t>001760</t>
  </si>
  <si>
    <t>001761</t>
  </si>
  <si>
    <t>001762</t>
  </si>
  <si>
    <t>001763</t>
  </si>
  <si>
    <t>001764</t>
  </si>
  <si>
    <t>001765</t>
  </si>
  <si>
    <t>001766</t>
  </si>
  <si>
    <t>001767</t>
  </si>
  <si>
    <t>001768</t>
  </si>
  <si>
    <t>001769</t>
  </si>
  <si>
    <t>001770</t>
  </si>
  <si>
    <t>001771</t>
  </si>
  <si>
    <t>001772</t>
  </si>
  <si>
    <t>001773</t>
  </si>
  <si>
    <t>001774</t>
  </si>
  <si>
    <t>001775</t>
  </si>
  <si>
    <t>001776</t>
  </si>
  <si>
    <t>001777</t>
  </si>
  <si>
    <t>001778</t>
  </si>
  <si>
    <t>001779</t>
  </si>
  <si>
    <t>001780</t>
  </si>
  <si>
    <t>001781</t>
  </si>
  <si>
    <t>001782</t>
  </si>
  <si>
    <t>001783</t>
  </si>
  <si>
    <t>001784</t>
  </si>
  <si>
    <t>001785</t>
  </si>
  <si>
    <t>001786</t>
  </si>
  <si>
    <t>001787</t>
  </si>
  <si>
    <t>001788</t>
  </si>
  <si>
    <t>001789</t>
  </si>
  <si>
    <t>001790</t>
  </si>
  <si>
    <t>001791</t>
  </si>
  <si>
    <t>001792</t>
  </si>
  <si>
    <t>001793</t>
  </si>
  <si>
    <t>001794</t>
  </si>
  <si>
    <t>001795</t>
  </si>
  <si>
    <t>001796</t>
  </si>
  <si>
    <t>001797</t>
  </si>
  <si>
    <t>001798</t>
  </si>
  <si>
    <t>001799</t>
  </si>
  <si>
    <t>001800</t>
  </si>
  <si>
    <t>001801</t>
  </si>
  <si>
    <t>001802</t>
  </si>
  <si>
    <t>001803</t>
  </si>
  <si>
    <t>001804</t>
  </si>
  <si>
    <t>001805</t>
  </si>
  <si>
    <t>001806</t>
  </si>
  <si>
    <t>001807</t>
  </si>
  <si>
    <t>001808</t>
  </si>
  <si>
    <t>001809</t>
  </si>
  <si>
    <t>001810</t>
  </si>
  <si>
    <t>001811</t>
  </si>
  <si>
    <t>001812</t>
  </si>
  <si>
    <t>001813</t>
  </si>
  <si>
    <t>001814</t>
  </si>
  <si>
    <t>001815</t>
  </si>
  <si>
    <t>001816</t>
  </si>
  <si>
    <t>001817</t>
  </si>
  <si>
    <t>001818</t>
  </si>
  <si>
    <t>001819</t>
  </si>
  <si>
    <t>001820</t>
  </si>
  <si>
    <t>001821</t>
  </si>
  <si>
    <t>001822</t>
  </si>
  <si>
    <t>001823</t>
  </si>
  <si>
    <t>001824</t>
  </si>
  <si>
    <t>001825</t>
  </si>
  <si>
    <t>001826</t>
  </si>
  <si>
    <t>001827</t>
  </si>
  <si>
    <t>001828</t>
  </si>
  <si>
    <t>001829</t>
  </si>
  <si>
    <t>001830</t>
  </si>
  <si>
    <t>001831</t>
  </si>
  <si>
    <t>001832</t>
  </si>
  <si>
    <t>001833</t>
  </si>
  <si>
    <t>001834</t>
  </si>
  <si>
    <t>001835</t>
  </si>
  <si>
    <t>001836</t>
  </si>
  <si>
    <t>001837</t>
  </si>
  <si>
    <t>001838</t>
  </si>
  <si>
    <t>001839</t>
  </si>
  <si>
    <t>001840</t>
  </si>
  <si>
    <t>001841</t>
  </si>
  <si>
    <t>001842</t>
  </si>
  <si>
    <t>001843</t>
  </si>
  <si>
    <t>001844</t>
  </si>
  <si>
    <t>001845</t>
  </si>
  <si>
    <t>001846</t>
  </si>
  <si>
    <t>001847</t>
  </si>
  <si>
    <t>001848</t>
  </si>
  <si>
    <t>001849</t>
  </si>
  <si>
    <t>001850</t>
  </si>
  <si>
    <t>001851</t>
  </si>
  <si>
    <t>001852</t>
  </si>
  <si>
    <t>001853</t>
  </si>
  <si>
    <t>001854</t>
  </si>
  <si>
    <t>001855</t>
  </si>
  <si>
    <t>001856</t>
  </si>
  <si>
    <t>001857</t>
  </si>
  <si>
    <t>001858</t>
  </si>
  <si>
    <t>001859</t>
  </si>
  <si>
    <t>001860</t>
  </si>
  <si>
    <t>001861</t>
  </si>
  <si>
    <t>001862</t>
  </si>
  <si>
    <t>001863</t>
  </si>
  <si>
    <t>001864</t>
  </si>
  <si>
    <t>001865</t>
  </si>
  <si>
    <t>001866</t>
  </si>
  <si>
    <t>001867</t>
  </si>
  <si>
    <t>001868</t>
  </si>
  <si>
    <t>001869</t>
  </si>
  <si>
    <t>001870</t>
  </si>
  <si>
    <t>001871</t>
  </si>
  <si>
    <t>001872</t>
  </si>
  <si>
    <t>001873</t>
  </si>
  <si>
    <t>001874</t>
  </si>
  <si>
    <t>001875</t>
  </si>
  <si>
    <t>001876</t>
  </si>
  <si>
    <t>001877</t>
  </si>
  <si>
    <t>001878</t>
  </si>
  <si>
    <t>001879</t>
  </si>
  <si>
    <t>001880</t>
  </si>
  <si>
    <t>001881</t>
  </si>
  <si>
    <t>001882</t>
  </si>
  <si>
    <t>001883</t>
  </si>
  <si>
    <t>001884</t>
  </si>
  <si>
    <t>001885</t>
  </si>
  <si>
    <t>001886</t>
  </si>
  <si>
    <t>001887</t>
  </si>
  <si>
    <t>001888</t>
  </si>
  <si>
    <t>001889</t>
  </si>
  <si>
    <t>001890</t>
  </si>
  <si>
    <t>001891</t>
  </si>
  <si>
    <t>001892</t>
  </si>
  <si>
    <t>001893</t>
  </si>
  <si>
    <t>001894</t>
  </si>
  <si>
    <t>001895</t>
  </si>
  <si>
    <t>001896</t>
  </si>
  <si>
    <t>001897</t>
  </si>
  <si>
    <t>001898</t>
  </si>
  <si>
    <t>001899</t>
  </si>
  <si>
    <t>001900</t>
  </si>
  <si>
    <t>001901</t>
  </si>
  <si>
    <t>001902</t>
  </si>
  <si>
    <t>001903</t>
  </si>
  <si>
    <t>001904</t>
  </si>
  <si>
    <t>001905</t>
  </si>
  <si>
    <t>001906</t>
  </si>
  <si>
    <t>001907</t>
  </si>
  <si>
    <t>001908</t>
  </si>
  <si>
    <t>001909</t>
  </si>
  <si>
    <t>001910</t>
  </si>
  <si>
    <t>001911</t>
  </si>
  <si>
    <t>001912</t>
  </si>
  <si>
    <t>001913</t>
  </si>
  <si>
    <t>001914</t>
  </si>
  <si>
    <t>001915</t>
  </si>
  <si>
    <t>001916</t>
  </si>
  <si>
    <t>001917</t>
  </si>
  <si>
    <t>001918</t>
  </si>
  <si>
    <t>001919</t>
  </si>
  <si>
    <t>001920</t>
  </si>
  <si>
    <t>001921</t>
  </si>
  <si>
    <t>001922</t>
  </si>
  <si>
    <t>001923</t>
  </si>
  <si>
    <t>001924</t>
  </si>
  <si>
    <t>001925</t>
  </si>
  <si>
    <t>001926</t>
  </si>
  <si>
    <t>001927</t>
  </si>
  <si>
    <t>001928</t>
  </si>
  <si>
    <t>001929</t>
  </si>
  <si>
    <t>001930</t>
  </si>
  <si>
    <t>001931</t>
  </si>
  <si>
    <t>001932</t>
  </si>
  <si>
    <t>001933</t>
  </si>
  <si>
    <t>001934</t>
  </si>
  <si>
    <t>001935</t>
  </si>
  <si>
    <t>001936</t>
  </si>
  <si>
    <t>001937</t>
  </si>
  <si>
    <t>001938</t>
  </si>
  <si>
    <t>001939</t>
  </si>
  <si>
    <t>001940</t>
  </si>
  <si>
    <t>001941</t>
  </si>
  <si>
    <t>001942</t>
  </si>
  <si>
    <t>001943</t>
  </si>
  <si>
    <t>001944</t>
  </si>
  <si>
    <t>001945</t>
  </si>
  <si>
    <t>001946</t>
  </si>
  <si>
    <t>001947</t>
  </si>
  <si>
    <t>001948</t>
  </si>
  <si>
    <t>001949</t>
  </si>
  <si>
    <t>001950</t>
  </si>
  <si>
    <t>001951</t>
  </si>
  <si>
    <t>001952</t>
  </si>
  <si>
    <t>001953</t>
  </si>
  <si>
    <t>001954</t>
  </si>
  <si>
    <t>001955</t>
  </si>
  <si>
    <t>001956</t>
  </si>
  <si>
    <t>001957</t>
  </si>
  <si>
    <t>001958</t>
  </si>
  <si>
    <t>001959</t>
  </si>
  <si>
    <t>001960</t>
  </si>
  <si>
    <t>001961</t>
  </si>
  <si>
    <t>001962</t>
  </si>
  <si>
    <t>001963</t>
  </si>
  <si>
    <t>001964</t>
  </si>
  <si>
    <t>001965</t>
  </si>
  <si>
    <t>001966</t>
  </si>
  <si>
    <t>001967</t>
  </si>
  <si>
    <t>001968</t>
  </si>
  <si>
    <t>001969</t>
  </si>
  <si>
    <t>001970</t>
  </si>
  <si>
    <t>001971</t>
  </si>
  <si>
    <t>001972</t>
  </si>
  <si>
    <t>001973</t>
  </si>
  <si>
    <t>001974</t>
  </si>
  <si>
    <t>001975</t>
  </si>
  <si>
    <t>001976</t>
  </si>
  <si>
    <t>001977</t>
  </si>
  <si>
    <t>001978</t>
  </si>
  <si>
    <t>001979</t>
  </si>
  <si>
    <t>001980</t>
  </si>
  <si>
    <t>001981</t>
  </si>
  <si>
    <t>001982</t>
  </si>
  <si>
    <t>001983</t>
  </si>
  <si>
    <t>001984</t>
  </si>
  <si>
    <t>001985</t>
  </si>
  <si>
    <t>001986</t>
  </si>
  <si>
    <t>001987</t>
  </si>
  <si>
    <t>001988</t>
  </si>
  <si>
    <t>001989</t>
  </si>
  <si>
    <t>001990</t>
  </si>
  <si>
    <t>001991</t>
  </si>
  <si>
    <t>001992</t>
  </si>
  <si>
    <t>001993</t>
  </si>
  <si>
    <t>001994</t>
  </si>
  <si>
    <t>001995</t>
  </si>
  <si>
    <t>001996</t>
  </si>
  <si>
    <t>001997</t>
  </si>
  <si>
    <t>001998</t>
  </si>
  <si>
    <t>001999</t>
  </si>
  <si>
    <t>002000</t>
  </si>
  <si>
    <t>002001</t>
  </si>
  <si>
    <t>002002</t>
  </si>
  <si>
    <t>002003</t>
  </si>
  <si>
    <t>002004</t>
  </si>
  <si>
    <t>002005</t>
  </si>
  <si>
    <t>002006</t>
  </si>
  <si>
    <t>002007</t>
  </si>
  <si>
    <t>002008</t>
  </si>
  <si>
    <t>002009</t>
  </si>
  <si>
    <t>002010</t>
  </si>
  <si>
    <t>002011</t>
  </si>
  <si>
    <t>002012</t>
  </si>
  <si>
    <t>002013</t>
  </si>
  <si>
    <t>002014</t>
  </si>
  <si>
    <t>002015</t>
  </si>
  <si>
    <t>002016</t>
  </si>
  <si>
    <t>002017</t>
  </si>
  <si>
    <t>002018</t>
  </si>
  <si>
    <t>002019</t>
  </si>
  <si>
    <t>002020</t>
  </si>
  <si>
    <t>002021</t>
  </si>
  <si>
    <t>002022</t>
  </si>
  <si>
    <t>002023</t>
  </si>
  <si>
    <t>002024</t>
  </si>
  <si>
    <t>002025</t>
  </si>
  <si>
    <t>002026</t>
  </si>
  <si>
    <t>002027</t>
  </si>
  <si>
    <t>002028</t>
  </si>
  <si>
    <t>002029</t>
  </si>
  <si>
    <t>002030</t>
  </si>
  <si>
    <t>002031</t>
  </si>
  <si>
    <t>002032</t>
  </si>
  <si>
    <t>002033</t>
  </si>
  <si>
    <t>002034</t>
  </si>
  <si>
    <t>002035</t>
  </si>
  <si>
    <t>002036</t>
  </si>
  <si>
    <t>002037</t>
  </si>
  <si>
    <t>002038</t>
  </si>
  <si>
    <t>002039</t>
  </si>
  <si>
    <t>002040</t>
  </si>
  <si>
    <t>002041</t>
  </si>
  <si>
    <t>002042</t>
  </si>
  <si>
    <t>002043</t>
  </si>
  <si>
    <t>002044</t>
  </si>
  <si>
    <t>002045</t>
  </si>
  <si>
    <t>002046</t>
  </si>
  <si>
    <t>002047</t>
  </si>
  <si>
    <t>002048</t>
  </si>
  <si>
    <t>002049</t>
  </si>
  <si>
    <t>002050</t>
  </si>
  <si>
    <t>002051</t>
  </si>
  <si>
    <t>002052</t>
  </si>
  <si>
    <t>002053</t>
  </si>
  <si>
    <t>002054</t>
  </si>
  <si>
    <t>002055</t>
  </si>
  <si>
    <t>002056</t>
  </si>
  <si>
    <t>002057</t>
  </si>
  <si>
    <t>002058</t>
  </si>
  <si>
    <t>002059</t>
  </si>
  <si>
    <t>002060</t>
  </si>
  <si>
    <t>002061</t>
  </si>
  <si>
    <t>002062</t>
  </si>
  <si>
    <t>002063</t>
  </si>
  <si>
    <t>002064</t>
  </si>
  <si>
    <t>002065</t>
  </si>
  <si>
    <t>002066</t>
  </si>
  <si>
    <t>002067</t>
  </si>
  <si>
    <t>002068</t>
  </si>
  <si>
    <t>002069</t>
  </si>
  <si>
    <t>002070</t>
  </si>
  <si>
    <t>002071</t>
  </si>
  <si>
    <t>002072</t>
  </si>
  <si>
    <t>002073</t>
  </si>
  <si>
    <t>002074</t>
  </si>
  <si>
    <t>002075</t>
  </si>
  <si>
    <t>002076</t>
  </si>
  <si>
    <t>002077</t>
  </si>
  <si>
    <t>002078</t>
  </si>
  <si>
    <t>002079</t>
  </si>
  <si>
    <t>002080</t>
  </si>
  <si>
    <t>002081</t>
  </si>
  <si>
    <t>002082</t>
  </si>
  <si>
    <t>002083</t>
  </si>
  <si>
    <t>002084</t>
  </si>
  <si>
    <t>002085</t>
  </si>
  <si>
    <t>002086</t>
  </si>
  <si>
    <t>002087</t>
  </si>
  <si>
    <t>002088</t>
  </si>
  <si>
    <t>002089</t>
  </si>
  <si>
    <t>002090</t>
  </si>
  <si>
    <t>002091</t>
  </si>
  <si>
    <t>002092</t>
  </si>
  <si>
    <t>002093</t>
  </si>
  <si>
    <t>002094</t>
  </si>
  <si>
    <t>002095</t>
  </si>
  <si>
    <t>002096</t>
  </si>
  <si>
    <t>002097</t>
  </si>
  <si>
    <t>002098</t>
  </si>
  <si>
    <t>002099</t>
  </si>
  <si>
    <t>002100</t>
  </si>
  <si>
    <t>002101</t>
  </si>
  <si>
    <t>002102</t>
  </si>
  <si>
    <t>002103</t>
  </si>
  <si>
    <t>002104</t>
  </si>
  <si>
    <t>002105</t>
  </si>
  <si>
    <t>002106</t>
  </si>
  <si>
    <t>002107</t>
  </si>
  <si>
    <t>002108</t>
  </si>
  <si>
    <t>002109</t>
  </si>
  <si>
    <t>002110</t>
  </si>
  <si>
    <t>002111</t>
  </si>
  <si>
    <t>002112</t>
  </si>
  <si>
    <t>002113</t>
  </si>
  <si>
    <t>002114</t>
  </si>
  <si>
    <t>002115</t>
  </si>
  <si>
    <t>002116</t>
  </si>
  <si>
    <t>002117</t>
  </si>
  <si>
    <t>002118</t>
  </si>
  <si>
    <t>002119</t>
  </si>
  <si>
    <t>002120</t>
  </si>
  <si>
    <t>002121</t>
  </si>
  <si>
    <t>002122</t>
  </si>
  <si>
    <t>002123</t>
  </si>
  <si>
    <t>002124</t>
  </si>
  <si>
    <t>002125</t>
  </si>
  <si>
    <t>002126</t>
  </si>
  <si>
    <t>002127</t>
  </si>
  <si>
    <t>002128</t>
  </si>
  <si>
    <t>002129</t>
  </si>
  <si>
    <t>002130</t>
  </si>
  <si>
    <t>002131</t>
  </si>
  <si>
    <t>002132</t>
  </si>
  <si>
    <t>002133</t>
  </si>
  <si>
    <t>002134</t>
  </si>
  <si>
    <t>002135</t>
  </si>
  <si>
    <t>002136</t>
  </si>
  <si>
    <t>002137</t>
  </si>
  <si>
    <t>002138</t>
  </si>
  <si>
    <t>002139</t>
  </si>
  <si>
    <t>002140</t>
  </si>
  <si>
    <t>002141</t>
  </si>
  <si>
    <t>002142</t>
  </si>
  <si>
    <t>002143</t>
  </si>
  <si>
    <t>002144</t>
  </si>
  <si>
    <t>002145</t>
  </si>
  <si>
    <t>002146</t>
  </si>
  <si>
    <t>002147</t>
  </si>
  <si>
    <t>002148</t>
  </si>
  <si>
    <t>002149</t>
  </si>
  <si>
    <t>002150</t>
  </si>
  <si>
    <t>002151</t>
  </si>
  <si>
    <t>002152</t>
  </si>
  <si>
    <t>002153</t>
  </si>
  <si>
    <t>002154</t>
  </si>
  <si>
    <t>002155</t>
  </si>
  <si>
    <t>002156</t>
  </si>
  <si>
    <t>002157</t>
  </si>
  <si>
    <t>002158</t>
  </si>
  <si>
    <t>002159</t>
  </si>
  <si>
    <t>002160</t>
  </si>
  <si>
    <t>002161</t>
  </si>
  <si>
    <t>002162</t>
  </si>
  <si>
    <t>002163</t>
  </si>
  <si>
    <t>002164</t>
  </si>
  <si>
    <t>002165</t>
  </si>
  <si>
    <t>002166</t>
  </si>
  <si>
    <t>002167</t>
  </si>
  <si>
    <t>002168</t>
  </si>
  <si>
    <t>002169</t>
  </si>
  <si>
    <t>002170</t>
  </si>
  <si>
    <t>002171</t>
  </si>
  <si>
    <t>002172</t>
  </si>
  <si>
    <t>002173</t>
  </si>
  <si>
    <t>002174</t>
  </si>
  <si>
    <t>002175</t>
  </si>
  <si>
    <t>002176</t>
  </si>
  <si>
    <t>002177</t>
  </si>
  <si>
    <t>002178</t>
  </si>
  <si>
    <t>002179</t>
  </si>
  <si>
    <t>002180</t>
  </si>
  <si>
    <t>002181</t>
  </si>
  <si>
    <t>002182</t>
  </si>
  <si>
    <t>002183</t>
  </si>
  <si>
    <t>002184</t>
  </si>
  <si>
    <t>002185</t>
  </si>
  <si>
    <t>002186</t>
  </si>
  <si>
    <t>002187</t>
  </si>
  <si>
    <t>002188</t>
  </si>
  <si>
    <t>002189</t>
  </si>
  <si>
    <t>002190</t>
  </si>
  <si>
    <t>002191</t>
  </si>
  <si>
    <t>002192</t>
  </si>
  <si>
    <t>002193</t>
  </si>
  <si>
    <t>002194</t>
  </si>
  <si>
    <t>002195</t>
  </si>
  <si>
    <t>002196</t>
  </si>
  <si>
    <t>002197</t>
  </si>
  <si>
    <t>002198</t>
  </si>
  <si>
    <t>002199</t>
  </si>
  <si>
    <t>002200</t>
  </si>
  <si>
    <t>002201</t>
  </si>
  <si>
    <t>002202</t>
  </si>
  <si>
    <t>002203</t>
  </si>
  <si>
    <t>002204</t>
  </si>
  <si>
    <t>002205</t>
  </si>
  <si>
    <t>002206</t>
  </si>
  <si>
    <t>002207</t>
  </si>
  <si>
    <t>002208</t>
  </si>
  <si>
    <t>002209</t>
  </si>
  <si>
    <t>002210</t>
  </si>
  <si>
    <t>002211</t>
  </si>
  <si>
    <t>002212</t>
  </si>
  <si>
    <t>002213</t>
  </si>
  <si>
    <t>002214</t>
  </si>
  <si>
    <t>002215</t>
  </si>
  <si>
    <t>002216</t>
  </si>
  <si>
    <t>002217</t>
  </si>
  <si>
    <t>002218</t>
  </si>
  <si>
    <t>002219</t>
  </si>
  <si>
    <t>002220</t>
  </si>
  <si>
    <t>002221</t>
  </si>
  <si>
    <t>002222</t>
  </si>
  <si>
    <t>002223</t>
  </si>
  <si>
    <t>002224</t>
  </si>
  <si>
    <t>002225</t>
  </si>
  <si>
    <t>002226</t>
  </si>
  <si>
    <t>002227</t>
  </si>
  <si>
    <t>002228</t>
  </si>
  <si>
    <t>002229</t>
  </si>
  <si>
    <t>002230</t>
  </si>
  <si>
    <t>002231</t>
  </si>
  <si>
    <t>002232</t>
  </si>
  <si>
    <t>002233</t>
  </si>
  <si>
    <t>002234</t>
  </si>
  <si>
    <t>002235</t>
  </si>
  <si>
    <t>002236</t>
  </si>
  <si>
    <t>002237</t>
  </si>
  <si>
    <t>002238</t>
  </si>
  <si>
    <t>002239</t>
  </si>
  <si>
    <t>002240</t>
  </si>
  <si>
    <t>002241</t>
  </si>
  <si>
    <t>002242</t>
  </si>
  <si>
    <t>002243</t>
  </si>
  <si>
    <t>002244</t>
  </si>
  <si>
    <t>002245</t>
  </si>
  <si>
    <t>002246</t>
  </si>
  <si>
    <t>002247</t>
  </si>
  <si>
    <t>002248</t>
  </si>
  <si>
    <t>002249</t>
  </si>
  <si>
    <t>002250</t>
  </si>
  <si>
    <t>002251</t>
  </si>
  <si>
    <t>002252</t>
  </si>
  <si>
    <t>002253</t>
  </si>
  <si>
    <t>002254</t>
  </si>
  <si>
    <t>002255</t>
  </si>
  <si>
    <t>002256</t>
  </si>
  <si>
    <t>002257</t>
  </si>
  <si>
    <t>002258</t>
  </si>
  <si>
    <t>002259</t>
  </si>
  <si>
    <t>002260</t>
  </si>
  <si>
    <t>002261</t>
  </si>
  <si>
    <t>002262</t>
  </si>
  <si>
    <t>002263</t>
  </si>
  <si>
    <t>002264</t>
  </si>
  <si>
    <t>002265</t>
  </si>
  <si>
    <t>002266</t>
  </si>
  <si>
    <t>002267</t>
  </si>
  <si>
    <t>002268</t>
  </si>
  <si>
    <t>002269</t>
  </si>
  <si>
    <t>002270</t>
  </si>
  <si>
    <t>002271</t>
  </si>
  <si>
    <t>002272</t>
  </si>
  <si>
    <t>002273</t>
  </si>
  <si>
    <t>002274</t>
  </si>
  <si>
    <t>002275</t>
  </si>
  <si>
    <t>002276</t>
  </si>
  <si>
    <t>002277</t>
  </si>
  <si>
    <t>002278</t>
  </si>
  <si>
    <t>002279</t>
  </si>
  <si>
    <t>002280</t>
  </si>
  <si>
    <t>002281</t>
  </si>
  <si>
    <t>002282</t>
  </si>
  <si>
    <t>002283</t>
  </si>
  <si>
    <t>002284</t>
  </si>
  <si>
    <t>002285</t>
  </si>
  <si>
    <t>002286</t>
  </si>
  <si>
    <t>002287</t>
  </si>
  <si>
    <t>002288</t>
  </si>
  <si>
    <t>002289</t>
  </si>
  <si>
    <t>002290</t>
  </si>
  <si>
    <t>002291</t>
  </si>
  <si>
    <t>002292</t>
  </si>
  <si>
    <t>002293</t>
  </si>
  <si>
    <t>002294</t>
  </si>
  <si>
    <t>002295</t>
  </si>
  <si>
    <t>002296</t>
  </si>
  <si>
    <t>002297</t>
  </si>
  <si>
    <t>002298</t>
  </si>
  <si>
    <t>002299</t>
  </si>
  <si>
    <t>002300</t>
  </si>
  <si>
    <t>002301</t>
  </si>
  <si>
    <t>002302</t>
  </si>
  <si>
    <t>002303</t>
  </si>
  <si>
    <t>002304</t>
  </si>
  <si>
    <t>002305</t>
  </si>
  <si>
    <t>002306</t>
  </si>
  <si>
    <t>002307</t>
  </si>
  <si>
    <t>002308</t>
  </si>
  <si>
    <t>002309</t>
  </si>
  <si>
    <t>002310</t>
  </si>
  <si>
    <t>002311</t>
  </si>
  <si>
    <t>002312</t>
  </si>
  <si>
    <t>002313</t>
  </si>
  <si>
    <t>002314</t>
  </si>
  <si>
    <t>002315</t>
  </si>
  <si>
    <t>002316</t>
  </si>
  <si>
    <t>002317</t>
  </si>
  <si>
    <t>002318</t>
  </si>
  <si>
    <t>002319</t>
  </si>
  <si>
    <t>002320</t>
  </si>
  <si>
    <t>002321</t>
  </si>
  <si>
    <t>002322</t>
  </si>
  <si>
    <t>002323</t>
  </si>
  <si>
    <t>002324</t>
  </si>
  <si>
    <t>002325</t>
  </si>
  <si>
    <t>002326</t>
  </si>
  <si>
    <t>002327</t>
  </si>
  <si>
    <t>002328</t>
  </si>
  <si>
    <t>002329</t>
  </si>
  <si>
    <t>002330</t>
  </si>
  <si>
    <t>002331</t>
  </si>
  <si>
    <t>002332</t>
  </si>
  <si>
    <t>002333</t>
  </si>
  <si>
    <t>002334</t>
  </si>
  <si>
    <t>002335</t>
  </si>
  <si>
    <t>002336</t>
  </si>
  <si>
    <t>002337</t>
  </si>
  <si>
    <t>002338</t>
  </si>
  <si>
    <t>002339</t>
  </si>
  <si>
    <t>002340</t>
  </si>
  <si>
    <t>002341</t>
  </si>
  <si>
    <t>002342</t>
  </si>
  <si>
    <t>002343</t>
  </si>
  <si>
    <t>002344</t>
  </si>
  <si>
    <t>002345</t>
  </si>
  <si>
    <t>002346</t>
  </si>
  <si>
    <t>002347</t>
  </si>
  <si>
    <t>002348</t>
  </si>
  <si>
    <t>002349</t>
  </si>
  <si>
    <t>002350</t>
  </si>
  <si>
    <t>002351</t>
  </si>
  <si>
    <t>002352</t>
  </si>
  <si>
    <t>002353</t>
  </si>
  <si>
    <t>002354</t>
  </si>
  <si>
    <t>002355</t>
  </si>
  <si>
    <t>002356</t>
  </si>
  <si>
    <t>002357</t>
  </si>
  <si>
    <t>002358</t>
  </si>
  <si>
    <t>002359</t>
  </si>
  <si>
    <t>002360</t>
  </si>
  <si>
    <t>002361</t>
  </si>
  <si>
    <t>002362</t>
  </si>
  <si>
    <t>002363</t>
  </si>
  <si>
    <t>002364</t>
  </si>
  <si>
    <t>002365</t>
  </si>
  <si>
    <t>002366</t>
  </si>
  <si>
    <t>002367</t>
  </si>
  <si>
    <t>002368</t>
  </si>
  <si>
    <t>002369</t>
  </si>
  <si>
    <t>002370</t>
  </si>
  <si>
    <t>002371</t>
  </si>
  <si>
    <t>002372</t>
  </si>
  <si>
    <t>002373</t>
  </si>
  <si>
    <t>002374</t>
  </si>
  <si>
    <t>002375</t>
  </si>
  <si>
    <t>002376</t>
  </si>
  <si>
    <t>002377</t>
  </si>
  <si>
    <t>002378</t>
  </si>
  <si>
    <t>002379</t>
  </si>
  <si>
    <t>002380</t>
  </si>
  <si>
    <t>002381</t>
  </si>
  <si>
    <t>002382</t>
  </si>
  <si>
    <t>002383</t>
  </si>
  <si>
    <t>002384</t>
  </si>
  <si>
    <t>002385</t>
  </si>
  <si>
    <t>002386</t>
  </si>
  <si>
    <t>002387</t>
  </si>
  <si>
    <t>002388</t>
  </si>
  <si>
    <t>002389</t>
  </si>
  <si>
    <t>002390</t>
  </si>
  <si>
    <t>002391</t>
  </si>
  <si>
    <t>002392</t>
  </si>
  <si>
    <t>002393</t>
  </si>
  <si>
    <t>002394</t>
  </si>
  <si>
    <t>002395</t>
  </si>
  <si>
    <t>002396</t>
  </si>
  <si>
    <t>002397</t>
  </si>
  <si>
    <t>002398</t>
  </si>
  <si>
    <t>002399</t>
  </si>
  <si>
    <t>002400</t>
  </si>
  <si>
    <t>002401</t>
  </si>
  <si>
    <t>002402</t>
  </si>
  <si>
    <t>002403</t>
  </si>
  <si>
    <t>002404</t>
  </si>
  <si>
    <t>002405</t>
  </si>
  <si>
    <t>002406</t>
  </si>
  <si>
    <t>002407</t>
  </si>
  <si>
    <t>002408</t>
  </si>
  <si>
    <t>002409</t>
  </si>
  <si>
    <t>002410</t>
  </si>
  <si>
    <t>002411</t>
  </si>
  <si>
    <t>002412</t>
  </si>
  <si>
    <t>002413</t>
  </si>
  <si>
    <t>002414</t>
  </si>
  <si>
    <t>002415</t>
  </si>
  <si>
    <t>002416</t>
  </si>
  <si>
    <t>002417</t>
  </si>
  <si>
    <t>002418</t>
  </si>
  <si>
    <t>002419</t>
  </si>
  <si>
    <t>002420</t>
  </si>
  <si>
    <t>002421</t>
  </si>
  <si>
    <t>002422</t>
  </si>
  <si>
    <t>002423</t>
  </si>
  <si>
    <t>002424</t>
  </si>
  <si>
    <t>002425</t>
  </si>
  <si>
    <t>002426</t>
  </si>
  <si>
    <t>002427</t>
  </si>
  <si>
    <t>002428</t>
  </si>
  <si>
    <t>002429</t>
  </si>
  <si>
    <t>002430</t>
  </si>
  <si>
    <t>002431</t>
  </si>
  <si>
    <t>002432</t>
  </si>
  <si>
    <t>002433</t>
  </si>
  <si>
    <t>002434</t>
  </si>
  <si>
    <t>002435</t>
  </si>
  <si>
    <t>002436</t>
  </si>
  <si>
    <t>002437</t>
  </si>
  <si>
    <t>002438</t>
  </si>
  <si>
    <t>002439</t>
  </si>
  <si>
    <t>002440</t>
  </si>
  <si>
    <t>002441</t>
  </si>
  <si>
    <t>002442</t>
  </si>
  <si>
    <t>002443</t>
  </si>
  <si>
    <t>002444</t>
  </si>
  <si>
    <t>002445</t>
  </si>
  <si>
    <t>002446</t>
  </si>
  <si>
    <t>002447</t>
  </si>
  <si>
    <t>002448</t>
  </si>
  <si>
    <t>002449</t>
  </si>
  <si>
    <t>002450</t>
  </si>
  <si>
    <t>002451</t>
  </si>
  <si>
    <t>002452</t>
  </si>
  <si>
    <t>002453</t>
  </si>
  <si>
    <t>002454</t>
  </si>
  <si>
    <t>002455</t>
  </si>
  <si>
    <t>002456</t>
  </si>
  <si>
    <t>002457</t>
  </si>
  <si>
    <t>002458</t>
  </si>
  <si>
    <t>002459</t>
  </si>
  <si>
    <t>002460</t>
  </si>
  <si>
    <t>002461</t>
  </si>
  <si>
    <t>002462</t>
  </si>
  <si>
    <t>002463</t>
  </si>
  <si>
    <t>002464</t>
  </si>
  <si>
    <t>002465</t>
  </si>
  <si>
    <t>002466</t>
  </si>
  <si>
    <t>002467</t>
  </si>
  <si>
    <t>002468</t>
  </si>
  <si>
    <t>002469</t>
  </si>
  <si>
    <t>002470</t>
  </si>
  <si>
    <t>002471</t>
  </si>
  <si>
    <t>002472</t>
  </si>
  <si>
    <t>002473</t>
  </si>
  <si>
    <t>002474</t>
  </si>
  <si>
    <t>002475</t>
  </si>
  <si>
    <t>002476</t>
  </si>
  <si>
    <t>002477</t>
  </si>
  <si>
    <t>002478</t>
  </si>
  <si>
    <t>002479</t>
  </si>
  <si>
    <t>002480</t>
  </si>
  <si>
    <t>002481</t>
  </si>
  <si>
    <t>002482</t>
  </si>
  <si>
    <t>002483</t>
  </si>
  <si>
    <t>002484</t>
  </si>
  <si>
    <t>002485</t>
  </si>
  <si>
    <t>002486</t>
  </si>
  <si>
    <t>002487</t>
  </si>
  <si>
    <t>002488</t>
  </si>
  <si>
    <t>002489</t>
  </si>
  <si>
    <t>002490</t>
  </si>
  <si>
    <t>002491</t>
  </si>
  <si>
    <t>002492</t>
  </si>
  <si>
    <t>002493</t>
  </si>
  <si>
    <t>002494</t>
  </si>
  <si>
    <t>002495</t>
  </si>
  <si>
    <t>002496</t>
  </si>
  <si>
    <t>002497</t>
  </si>
  <si>
    <t>002498</t>
  </si>
  <si>
    <t>002499</t>
  </si>
  <si>
    <t>002500</t>
  </si>
  <si>
    <t>002501</t>
  </si>
  <si>
    <t>002502</t>
  </si>
  <si>
    <t>002503</t>
  </si>
  <si>
    <t>002504</t>
  </si>
  <si>
    <t>002505</t>
  </si>
  <si>
    <t>002506</t>
  </si>
  <si>
    <t>002507</t>
  </si>
  <si>
    <t>002508</t>
  </si>
  <si>
    <t>002509</t>
  </si>
  <si>
    <t>002510</t>
  </si>
  <si>
    <t>002511</t>
  </si>
  <si>
    <t>002512</t>
  </si>
  <si>
    <t>002513</t>
  </si>
  <si>
    <t>002514</t>
  </si>
  <si>
    <t>002515</t>
  </si>
  <si>
    <t>002516</t>
  </si>
  <si>
    <t>002517</t>
  </si>
  <si>
    <t>002518</t>
  </si>
  <si>
    <t>002519</t>
  </si>
  <si>
    <t>002520</t>
  </si>
  <si>
    <t>002521</t>
  </si>
  <si>
    <t>002522</t>
  </si>
  <si>
    <t>002523</t>
  </si>
  <si>
    <t>002524</t>
  </si>
  <si>
    <t>002525</t>
  </si>
  <si>
    <t>002526</t>
  </si>
  <si>
    <t>002527</t>
  </si>
  <si>
    <t>002528</t>
  </si>
  <si>
    <t>002529</t>
  </si>
  <si>
    <t>002530</t>
  </si>
  <si>
    <t>002531</t>
  </si>
  <si>
    <t>002532</t>
  </si>
  <si>
    <t>002533</t>
  </si>
  <si>
    <t>002534</t>
  </si>
  <si>
    <t>002535</t>
  </si>
  <si>
    <t>002536</t>
  </si>
  <si>
    <t>002537</t>
  </si>
  <si>
    <t>002538</t>
  </si>
  <si>
    <t>002539</t>
  </si>
  <si>
    <t>002540</t>
  </si>
  <si>
    <t>002541</t>
  </si>
  <si>
    <t>002542</t>
  </si>
  <si>
    <t>002543</t>
  </si>
  <si>
    <t>002544</t>
  </si>
  <si>
    <t>002545</t>
  </si>
  <si>
    <t>002546</t>
  </si>
  <si>
    <t>002547</t>
  </si>
  <si>
    <t>002548</t>
  </si>
  <si>
    <t>002549</t>
  </si>
  <si>
    <t>002550</t>
  </si>
  <si>
    <t>002551</t>
  </si>
  <si>
    <t>002552</t>
  </si>
  <si>
    <t>002553</t>
  </si>
  <si>
    <t>002554</t>
  </si>
  <si>
    <t>002555</t>
  </si>
  <si>
    <t>002556</t>
  </si>
  <si>
    <t>002557</t>
  </si>
  <si>
    <t>002558</t>
  </si>
  <si>
    <t>002559</t>
  </si>
  <si>
    <t>002560</t>
  </si>
  <si>
    <t>002561</t>
  </si>
  <si>
    <t>002562</t>
  </si>
  <si>
    <t>002563</t>
  </si>
  <si>
    <t>002564</t>
  </si>
  <si>
    <t>002565</t>
  </si>
  <si>
    <t>002566</t>
  </si>
  <si>
    <t>002567</t>
  </si>
  <si>
    <t>002568</t>
  </si>
  <si>
    <t>002569</t>
  </si>
  <si>
    <t>002570</t>
  </si>
  <si>
    <t>002571</t>
  </si>
  <si>
    <t>002572</t>
  </si>
  <si>
    <t>002573</t>
  </si>
  <si>
    <t>002574</t>
  </si>
  <si>
    <t>002575</t>
  </si>
  <si>
    <t>002576</t>
  </si>
  <si>
    <t>002577</t>
  </si>
  <si>
    <t>002578</t>
  </si>
  <si>
    <t>002579</t>
  </si>
  <si>
    <t>002580</t>
  </si>
  <si>
    <t>002581</t>
  </si>
  <si>
    <t>002582</t>
  </si>
  <si>
    <t>002583</t>
  </si>
  <si>
    <t>002584</t>
  </si>
  <si>
    <t>002585</t>
  </si>
  <si>
    <t>002586</t>
  </si>
  <si>
    <t>002587</t>
  </si>
  <si>
    <t>002588</t>
  </si>
  <si>
    <t>002589</t>
  </si>
  <si>
    <t>002590</t>
  </si>
  <si>
    <t>002591</t>
  </si>
  <si>
    <t>002592</t>
  </si>
  <si>
    <t>002593</t>
  </si>
  <si>
    <t>002594</t>
  </si>
  <si>
    <t>002595</t>
  </si>
  <si>
    <t>002596</t>
  </si>
  <si>
    <t>002597</t>
  </si>
  <si>
    <t>002598</t>
  </si>
  <si>
    <t>002599</t>
  </si>
  <si>
    <t>002600</t>
  </si>
  <si>
    <t>002601</t>
  </si>
  <si>
    <t>002602</t>
  </si>
  <si>
    <t>002603</t>
  </si>
  <si>
    <t>002604</t>
  </si>
  <si>
    <t>002605</t>
  </si>
  <si>
    <t>002606</t>
  </si>
  <si>
    <t>002607</t>
  </si>
  <si>
    <t>002608</t>
  </si>
  <si>
    <t>002609</t>
  </si>
  <si>
    <t>002610</t>
  </si>
  <si>
    <t>002611</t>
  </si>
  <si>
    <t>002612</t>
  </si>
  <si>
    <t>002613</t>
  </si>
  <si>
    <t>002614</t>
  </si>
  <si>
    <t>002615</t>
  </si>
  <si>
    <t>002616</t>
  </si>
  <si>
    <t>002617</t>
  </si>
  <si>
    <t>002618</t>
  </si>
  <si>
    <t>002619</t>
  </si>
  <si>
    <t>002620</t>
  </si>
  <si>
    <t>002621</t>
  </si>
  <si>
    <t>002622</t>
  </si>
  <si>
    <t>002623</t>
  </si>
  <si>
    <t>002624</t>
  </si>
  <si>
    <t>002625</t>
  </si>
  <si>
    <t>002626</t>
  </si>
  <si>
    <t>002627</t>
  </si>
  <si>
    <t>002628</t>
  </si>
  <si>
    <t>002629</t>
  </si>
  <si>
    <t>002630</t>
  </si>
  <si>
    <t>002631</t>
  </si>
  <si>
    <t>002632</t>
  </si>
  <si>
    <t>002633</t>
  </si>
  <si>
    <t>002634</t>
  </si>
  <si>
    <t>002635</t>
  </si>
  <si>
    <t>002636</t>
  </si>
  <si>
    <t>002637</t>
  </si>
  <si>
    <t>002638</t>
  </si>
  <si>
    <t>002639</t>
  </si>
  <si>
    <t>002640</t>
  </si>
  <si>
    <t>002641</t>
  </si>
  <si>
    <t>002642</t>
  </si>
  <si>
    <t>002643</t>
  </si>
  <si>
    <t>002644</t>
  </si>
  <si>
    <t>002645</t>
  </si>
  <si>
    <t>002646</t>
  </si>
  <si>
    <t>002647</t>
  </si>
  <si>
    <t>002648</t>
  </si>
  <si>
    <t>002649</t>
  </si>
  <si>
    <t>002650</t>
  </si>
  <si>
    <t>002651</t>
  </si>
  <si>
    <t>002652</t>
  </si>
  <si>
    <t>002653</t>
  </si>
  <si>
    <t>002654</t>
  </si>
  <si>
    <t>002655</t>
  </si>
  <si>
    <t>002656</t>
  </si>
  <si>
    <t>002657</t>
  </si>
  <si>
    <t>002658</t>
  </si>
  <si>
    <t>002659</t>
  </si>
  <si>
    <t>002660</t>
  </si>
  <si>
    <t>002661</t>
  </si>
  <si>
    <t>002662</t>
  </si>
  <si>
    <t>002663</t>
  </si>
  <si>
    <t>002664</t>
  </si>
  <si>
    <t>002665</t>
  </si>
  <si>
    <t>002666</t>
  </si>
  <si>
    <t>002667</t>
  </si>
  <si>
    <t>002668</t>
  </si>
  <si>
    <t>002669</t>
  </si>
  <si>
    <t>002670</t>
  </si>
  <si>
    <t>002671</t>
  </si>
  <si>
    <t>002672</t>
  </si>
  <si>
    <t>002673</t>
  </si>
  <si>
    <t>002674</t>
  </si>
  <si>
    <t>002675</t>
  </si>
  <si>
    <t>002676</t>
  </si>
  <si>
    <t>002677</t>
  </si>
  <si>
    <t>002678</t>
  </si>
  <si>
    <t>002679</t>
  </si>
  <si>
    <t>002680</t>
  </si>
  <si>
    <t>002681</t>
  </si>
  <si>
    <t>002682</t>
  </si>
  <si>
    <t>002683</t>
  </si>
  <si>
    <t>002684</t>
  </si>
  <si>
    <t>002685</t>
  </si>
  <si>
    <t>002686</t>
  </si>
  <si>
    <t>002687</t>
  </si>
  <si>
    <t>002688</t>
  </si>
  <si>
    <t>002689</t>
  </si>
  <si>
    <t>002690</t>
  </si>
  <si>
    <t>002691</t>
  </si>
  <si>
    <t>002692</t>
  </si>
  <si>
    <t>002693</t>
  </si>
  <si>
    <t>002694</t>
  </si>
  <si>
    <t>002695</t>
  </si>
  <si>
    <t>002696</t>
  </si>
  <si>
    <t>002697</t>
  </si>
  <si>
    <t>002698</t>
  </si>
  <si>
    <t>002699</t>
  </si>
  <si>
    <t>002700</t>
  </si>
  <si>
    <t>002701</t>
  </si>
  <si>
    <t>002702</t>
  </si>
  <si>
    <t>002703</t>
  </si>
  <si>
    <t>002704</t>
  </si>
  <si>
    <t>002705</t>
  </si>
  <si>
    <t>002706</t>
  </si>
  <si>
    <t>002707</t>
  </si>
  <si>
    <t>002708</t>
  </si>
  <si>
    <t>002709</t>
  </si>
  <si>
    <t>002710</t>
  </si>
  <si>
    <t>002711</t>
  </si>
  <si>
    <t>002712</t>
  </si>
  <si>
    <t>002713</t>
  </si>
  <si>
    <t>002714</t>
  </si>
  <si>
    <t>002715</t>
  </si>
  <si>
    <t>002716</t>
  </si>
  <si>
    <t>002717</t>
  </si>
  <si>
    <t>002718</t>
  </si>
  <si>
    <t>002719</t>
  </si>
  <si>
    <t>002720</t>
  </si>
  <si>
    <t>002721</t>
  </si>
  <si>
    <t>002722</t>
  </si>
  <si>
    <t>002723</t>
  </si>
  <si>
    <t>002724</t>
  </si>
  <si>
    <t>002725</t>
  </si>
  <si>
    <t>002726</t>
  </si>
  <si>
    <t>002727</t>
  </si>
  <si>
    <t>002728</t>
  </si>
  <si>
    <t>002729</t>
  </si>
  <si>
    <t>002730</t>
  </si>
  <si>
    <t>002731</t>
  </si>
  <si>
    <t>002732</t>
  </si>
  <si>
    <t>002733</t>
  </si>
  <si>
    <t>002734</t>
  </si>
  <si>
    <t>002735</t>
  </si>
  <si>
    <t>002736</t>
  </si>
  <si>
    <t>002737</t>
  </si>
  <si>
    <t>002738</t>
  </si>
  <si>
    <t>002739</t>
  </si>
  <si>
    <t>002740</t>
  </si>
  <si>
    <t>002741</t>
  </si>
  <si>
    <t>002742</t>
  </si>
  <si>
    <t>002743</t>
  </si>
  <si>
    <t>002744</t>
  </si>
  <si>
    <t>002745</t>
  </si>
  <si>
    <t>002746</t>
  </si>
  <si>
    <t>002747</t>
  </si>
  <si>
    <t>002748</t>
  </si>
  <si>
    <t>002749</t>
  </si>
  <si>
    <t>002750</t>
  </si>
  <si>
    <t>002751</t>
  </si>
  <si>
    <t>002752</t>
  </si>
  <si>
    <t>002753</t>
  </si>
  <si>
    <t>002754</t>
  </si>
  <si>
    <t>002755</t>
  </si>
  <si>
    <t>002756</t>
  </si>
  <si>
    <t>002757</t>
  </si>
  <si>
    <t>002758</t>
  </si>
  <si>
    <t>002759</t>
  </si>
  <si>
    <t>002760</t>
  </si>
  <si>
    <t>002761</t>
  </si>
  <si>
    <t>002762</t>
  </si>
  <si>
    <t>002763</t>
  </si>
  <si>
    <t>002764</t>
  </si>
  <si>
    <t>002765</t>
  </si>
  <si>
    <t>002766</t>
  </si>
  <si>
    <t>002767</t>
  </si>
  <si>
    <t>002768</t>
  </si>
  <si>
    <t>002769</t>
  </si>
  <si>
    <t>002770</t>
  </si>
  <si>
    <t>002771</t>
  </si>
  <si>
    <t>002772</t>
  </si>
  <si>
    <t>002773</t>
  </si>
  <si>
    <t>002774</t>
  </si>
  <si>
    <t>002775</t>
  </si>
  <si>
    <t>002776</t>
  </si>
  <si>
    <t>002777</t>
  </si>
  <si>
    <t>002778</t>
  </si>
  <si>
    <t>002779</t>
  </si>
  <si>
    <t>002780</t>
  </si>
  <si>
    <t>002781</t>
  </si>
  <si>
    <t>002782</t>
  </si>
  <si>
    <t>002783</t>
  </si>
  <si>
    <t>002784</t>
  </si>
  <si>
    <t>002785</t>
  </si>
  <si>
    <t>002786</t>
  </si>
  <si>
    <t>002787</t>
  </si>
  <si>
    <t>002788</t>
  </si>
  <si>
    <t>002789</t>
  </si>
  <si>
    <t>002790</t>
  </si>
  <si>
    <t>002791</t>
  </si>
  <si>
    <t>002792</t>
  </si>
  <si>
    <t>002793</t>
  </si>
  <si>
    <t>002794</t>
  </si>
  <si>
    <t>002795</t>
  </si>
  <si>
    <t>002796</t>
  </si>
  <si>
    <t>002797</t>
  </si>
  <si>
    <t>002798</t>
  </si>
  <si>
    <t>002799</t>
  </si>
  <si>
    <t>002800</t>
  </si>
  <si>
    <t>002801</t>
  </si>
  <si>
    <t>002802</t>
  </si>
  <si>
    <t>002803</t>
  </si>
  <si>
    <t>002804</t>
  </si>
  <si>
    <t>002805</t>
  </si>
  <si>
    <t>002806</t>
  </si>
  <si>
    <t>002807</t>
  </si>
  <si>
    <t>002808</t>
  </si>
  <si>
    <t>002809</t>
  </si>
  <si>
    <t>002810</t>
  </si>
  <si>
    <t>002811</t>
  </si>
  <si>
    <t>002812</t>
  </si>
  <si>
    <t>002813</t>
  </si>
  <si>
    <t>002814</t>
  </si>
  <si>
    <t>002815</t>
  </si>
  <si>
    <t>002816</t>
  </si>
  <si>
    <t>002817</t>
  </si>
  <si>
    <t>002818</t>
  </si>
  <si>
    <t>002819</t>
  </si>
  <si>
    <t>002820</t>
  </si>
  <si>
    <t>002821</t>
  </si>
  <si>
    <t>002822</t>
  </si>
  <si>
    <t>002823</t>
  </si>
  <si>
    <t>002824</t>
  </si>
  <si>
    <t>002825</t>
  </si>
  <si>
    <t>002826</t>
  </si>
  <si>
    <t>002827</t>
  </si>
  <si>
    <t>002828</t>
  </si>
  <si>
    <t>002829</t>
  </si>
  <si>
    <t>002830</t>
  </si>
  <si>
    <t>002831</t>
  </si>
  <si>
    <t>002832</t>
  </si>
  <si>
    <t>002833</t>
  </si>
  <si>
    <t>002834</t>
  </si>
  <si>
    <t>002835</t>
  </si>
  <si>
    <t>002836</t>
  </si>
  <si>
    <t>002837</t>
  </si>
  <si>
    <t>002838</t>
  </si>
  <si>
    <t>002839</t>
  </si>
  <si>
    <t>002840</t>
  </si>
  <si>
    <t>002841</t>
  </si>
  <si>
    <t>002842</t>
  </si>
  <si>
    <t>002843</t>
  </si>
  <si>
    <t>002844</t>
  </si>
  <si>
    <t>002845</t>
  </si>
  <si>
    <t>002846</t>
  </si>
  <si>
    <t>002847</t>
  </si>
  <si>
    <t>002848</t>
  </si>
  <si>
    <t>002849</t>
  </si>
  <si>
    <t>002850</t>
  </si>
  <si>
    <t>002851</t>
  </si>
  <si>
    <t>002852</t>
  </si>
  <si>
    <t>002853</t>
  </si>
  <si>
    <t>002854</t>
  </si>
  <si>
    <t>002855</t>
  </si>
  <si>
    <t>002856</t>
  </si>
  <si>
    <t>002857</t>
  </si>
  <si>
    <t>002858</t>
  </si>
  <si>
    <t>002859</t>
  </si>
  <si>
    <t>002860</t>
  </si>
  <si>
    <t>002861</t>
  </si>
  <si>
    <t>002862</t>
  </si>
  <si>
    <t>002863</t>
  </si>
  <si>
    <t>002864</t>
  </si>
  <si>
    <t>002865</t>
  </si>
  <si>
    <t>002866</t>
  </si>
  <si>
    <t>002867</t>
  </si>
  <si>
    <t>002868</t>
  </si>
  <si>
    <t>002869</t>
  </si>
  <si>
    <t>002870</t>
  </si>
  <si>
    <t>002871</t>
  </si>
  <si>
    <t>002872</t>
  </si>
  <si>
    <t>002873</t>
  </si>
  <si>
    <t>002874</t>
  </si>
  <si>
    <t>002875</t>
  </si>
  <si>
    <t>002876</t>
  </si>
  <si>
    <t>002877</t>
  </si>
  <si>
    <t>002878</t>
  </si>
  <si>
    <t>002879</t>
  </si>
  <si>
    <t>002880</t>
  </si>
  <si>
    <t>002881</t>
  </si>
  <si>
    <t>002882</t>
  </si>
  <si>
    <t>002883</t>
  </si>
  <si>
    <t>002884</t>
  </si>
  <si>
    <t>002885</t>
  </si>
  <si>
    <t>002886</t>
  </si>
  <si>
    <t>002887</t>
  </si>
  <si>
    <t>002888</t>
  </si>
  <si>
    <t>002889</t>
  </si>
  <si>
    <t>002890</t>
  </si>
  <si>
    <t>002891</t>
  </si>
  <si>
    <t>002892</t>
  </si>
  <si>
    <t>002893</t>
  </si>
  <si>
    <t>002894</t>
  </si>
  <si>
    <t>002895</t>
  </si>
  <si>
    <t>002896</t>
  </si>
  <si>
    <t>002897</t>
  </si>
  <si>
    <t>002898</t>
  </si>
  <si>
    <t>002899</t>
  </si>
  <si>
    <t>002900</t>
  </si>
  <si>
    <t>002901</t>
  </si>
  <si>
    <t>002902</t>
  </si>
  <si>
    <t>002903</t>
  </si>
  <si>
    <t>002904</t>
  </si>
  <si>
    <t>002905</t>
  </si>
  <si>
    <t>002906</t>
  </si>
  <si>
    <t>002907</t>
  </si>
  <si>
    <t>002908</t>
  </si>
  <si>
    <t>002909</t>
  </si>
  <si>
    <t>002910</t>
  </si>
  <si>
    <t>002911</t>
  </si>
  <si>
    <t>002912</t>
  </si>
  <si>
    <t>002913</t>
  </si>
  <si>
    <t>002914</t>
  </si>
  <si>
    <t>002915</t>
  </si>
  <si>
    <t>002916</t>
  </si>
  <si>
    <t>002917</t>
  </si>
  <si>
    <t>002918</t>
  </si>
  <si>
    <t>002919</t>
  </si>
  <si>
    <t>002920</t>
  </si>
  <si>
    <t>002921</t>
  </si>
  <si>
    <t>002922</t>
  </si>
  <si>
    <t>002923</t>
  </si>
  <si>
    <t>002924</t>
  </si>
  <si>
    <t>002925</t>
  </si>
  <si>
    <t>002926</t>
  </si>
  <si>
    <t>002927</t>
  </si>
  <si>
    <t>002928</t>
  </si>
  <si>
    <t>002929</t>
  </si>
  <si>
    <t>002930</t>
  </si>
  <si>
    <t>002931</t>
  </si>
  <si>
    <t>002932</t>
  </si>
  <si>
    <t>002933</t>
  </si>
  <si>
    <t>002934</t>
  </si>
  <si>
    <t>002935</t>
  </si>
  <si>
    <t>002936</t>
  </si>
  <si>
    <t>002937</t>
  </si>
  <si>
    <t>002938</t>
  </si>
  <si>
    <t>002939</t>
  </si>
  <si>
    <t>002940</t>
  </si>
  <si>
    <t>002941</t>
  </si>
  <si>
    <t>002942</t>
  </si>
  <si>
    <t>002943</t>
  </si>
  <si>
    <t>002944</t>
  </si>
  <si>
    <t>002945</t>
  </si>
  <si>
    <t>002946</t>
  </si>
  <si>
    <t>002947</t>
  </si>
  <si>
    <t>002948</t>
  </si>
  <si>
    <t>002949</t>
  </si>
  <si>
    <t>002950</t>
  </si>
  <si>
    <t>002951</t>
  </si>
  <si>
    <t>002952</t>
  </si>
  <si>
    <t>002953</t>
  </si>
  <si>
    <t>002954</t>
  </si>
  <si>
    <t>002955</t>
  </si>
  <si>
    <t>002956</t>
  </si>
  <si>
    <t>002957</t>
  </si>
  <si>
    <t>002958</t>
  </si>
  <si>
    <t>002959</t>
  </si>
  <si>
    <t>002960</t>
  </si>
  <si>
    <t>002961</t>
  </si>
  <si>
    <t>002962</t>
  </si>
  <si>
    <t>002963</t>
  </si>
  <si>
    <t>002964</t>
  </si>
  <si>
    <t>002965</t>
  </si>
  <si>
    <t>002966</t>
  </si>
  <si>
    <t>002967</t>
  </si>
  <si>
    <t>002968</t>
  </si>
  <si>
    <t>002969</t>
  </si>
  <si>
    <t>002970</t>
  </si>
  <si>
    <t>002971</t>
  </si>
  <si>
    <t>002972</t>
  </si>
  <si>
    <t>002973</t>
  </si>
  <si>
    <t>002974</t>
  </si>
  <si>
    <t>002975</t>
  </si>
  <si>
    <t>002976</t>
  </si>
  <si>
    <t>002977</t>
  </si>
  <si>
    <t>002978</t>
  </si>
  <si>
    <t>002979</t>
  </si>
  <si>
    <t>002980</t>
  </si>
  <si>
    <t>002981</t>
  </si>
  <si>
    <t>002982</t>
  </si>
  <si>
    <t>002983</t>
  </si>
  <si>
    <t>002984</t>
  </si>
  <si>
    <t>002985</t>
  </si>
  <si>
    <t>002986</t>
  </si>
  <si>
    <t>002987</t>
  </si>
  <si>
    <t>002988</t>
  </si>
  <si>
    <t>002989</t>
  </si>
  <si>
    <t>002990</t>
  </si>
  <si>
    <t>002991</t>
  </si>
  <si>
    <t>002992</t>
  </si>
  <si>
    <t>002993</t>
  </si>
  <si>
    <t>002994</t>
  </si>
  <si>
    <t>002995</t>
  </si>
  <si>
    <t>002996</t>
  </si>
  <si>
    <t>002997</t>
  </si>
  <si>
    <t>002998</t>
  </si>
  <si>
    <t>002999</t>
  </si>
  <si>
    <t>003000</t>
  </si>
  <si>
    <t>003001</t>
  </si>
  <si>
    <t>003002</t>
  </si>
  <si>
    <t>003003</t>
  </si>
  <si>
    <t>003004</t>
  </si>
  <si>
    <t>003005</t>
  </si>
  <si>
    <t>003006</t>
  </si>
  <si>
    <t>003007</t>
  </si>
  <si>
    <t>003008</t>
  </si>
  <si>
    <t>003009</t>
  </si>
  <si>
    <t>003010</t>
  </si>
  <si>
    <t>003011</t>
  </si>
  <si>
    <t>003012</t>
  </si>
  <si>
    <t>003013</t>
  </si>
  <si>
    <t>003014</t>
  </si>
  <si>
    <t>003015</t>
  </si>
  <si>
    <t>003016</t>
  </si>
  <si>
    <t>003017</t>
  </si>
  <si>
    <t>003018</t>
  </si>
  <si>
    <t>003019</t>
  </si>
  <si>
    <t>003020</t>
  </si>
  <si>
    <t>003021</t>
  </si>
  <si>
    <t>003022</t>
  </si>
  <si>
    <t>003023</t>
  </si>
  <si>
    <t>003024</t>
  </si>
  <si>
    <t>003025</t>
  </si>
  <si>
    <t>003026</t>
  </si>
  <si>
    <t>003027</t>
  </si>
  <si>
    <t>003028</t>
  </si>
  <si>
    <t>003029</t>
  </si>
  <si>
    <t>003030</t>
  </si>
  <si>
    <t>003031</t>
  </si>
  <si>
    <t>003032</t>
  </si>
  <si>
    <t>003033</t>
  </si>
  <si>
    <t>003034</t>
  </si>
  <si>
    <t>003035</t>
  </si>
  <si>
    <t>003036</t>
  </si>
  <si>
    <t>003037</t>
  </si>
  <si>
    <t>003038</t>
  </si>
  <si>
    <t>003039</t>
  </si>
  <si>
    <t>003040</t>
  </si>
  <si>
    <t>003041</t>
  </si>
  <si>
    <t>003042</t>
  </si>
  <si>
    <t>003043</t>
  </si>
  <si>
    <t>003044</t>
  </si>
  <si>
    <t>003045</t>
  </si>
  <si>
    <t>003046</t>
  </si>
  <si>
    <t>003047</t>
  </si>
  <si>
    <t>003048</t>
  </si>
  <si>
    <t>003049</t>
  </si>
  <si>
    <t>003050</t>
  </si>
  <si>
    <t>003051</t>
  </si>
  <si>
    <t>003052</t>
  </si>
  <si>
    <t>003053</t>
  </si>
  <si>
    <t>003054</t>
  </si>
  <si>
    <t>003055</t>
  </si>
  <si>
    <t>003056</t>
  </si>
  <si>
    <t>003057</t>
  </si>
  <si>
    <t>003058</t>
  </si>
  <si>
    <t>003059</t>
  </si>
  <si>
    <t>003060</t>
  </si>
  <si>
    <t>003061</t>
  </si>
  <si>
    <t>003062</t>
  </si>
  <si>
    <t>003063</t>
  </si>
  <si>
    <t>003064</t>
  </si>
  <si>
    <t>003065</t>
  </si>
  <si>
    <t>003066</t>
  </si>
  <si>
    <t>003067</t>
  </si>
  <si>
    <t>003068</t>
  </si>
  <si>
    <t>003069</t>
  </si>
  <si>
    <t>003070</t>
  </si>
  <si>
    <t>003071</t>
  </si>
  <si>
    <t>003072</t>
  </si>
  <si>
    <t>003073</t>
  </si>
  <si>
    <t>003074</t>
  </si>
  <si>
    <t>003075</t>
  </si>
  <si>
    <t>003076</t>
  </si>
  <si>
    <t>003077</t>
  </si>
  <si>
    <t>003078</t>
  </si>
  <si>
    <t>003079</t>
  </si>
  <si>
    <t>003080</t>
  </si>
  <si>
    <t>003081</t>
  </si>
  <si>
    <t>003082</t>
  </si>
  <si>
    <t>003083</t>
  </si>
  <si>
    <t>003084</t>
  </si>
  <si>
    <t>003085</t>
  </si>
  <si>
    <t>003086</t>
  </si>
  <si>
    <t>003087</t>
  </si>
  <si>
    <t>003088</t>
  </si>
  <si>
    <t>003089</t>
  </si>
  <si>
    <t>003090</t>
  </si>
  <si>
    <t>003091</t>
  </si>
  <si>
    <t>003092</t>
  </si>
  <si>
    <t>003093</t>
  </si>
  <si>
    <t>003094</t>
  </si>
  <si>
    <t>003095</t>
  </si>
  <si>
    <t>003096</t>
  </si>
  <si>
    <t>003097</t>
  </si>
  <si>
    <t>003098</t>
  </si>
  <si>
    <t>003099</t>
  </si>
  <si>
    <t>003100</t>
  </si>
  <si>
    <t>003101</t>
  </si>
  <si>
    <t>003102</t>
  </si>
  <si>
    <t>003103</t>
  </si>
  <si>
    <t>003104</t>
  </si>
  <si>
    <t>003105</t>
  </si>
  <si>
    <t>003106</t>
  </si>
  <si>
    <t>003107</t>
  </si>
  <si>
    <t>003108</t>
  </si>
  <si>
    <t>003109</t>
  </si>
  <si>
    <t>003110</t>
  </si>
  <si>
    <t>003111</t>
  </si>
  <si>
    <t>003112</t>
  </si>
  <si>
    <t>003113</t>
  </si>
  <si>
    <t>003114</t>
  </si>
  <si>
    <t>003115</t>
  </si>
  <si>
    <t>003116</t>
  </si>
  <si>
    <t>003117</t>
  </si>
  <si>
    <t>003118</t>
  </si>
  <si>
    <t>003119</t>
  </si>
  <si>
    <t>003120</t>
  </si>
  <si>
    <t>003121</t>
  </si>
  <si>
    <t>003122</t>
  </si>
  <si>
    <t>003123</t>
  </si>
  <si>
    <t>003124</t>
  </si>
  <si>
    <t>003125</t>
  </si>
  <si>
    <t>003126</t>
  </si>
  <si>
    <t>003127</t>
  </si>
  <si>
    <t>003128</t>
  </si>
  <si>
    <t>003129</t>
  </si>
  <si>
    <t>003130</t>
  </si>
  <si>
    <t>003131</t>
  </si>
  <si>
    <t>003132</t>
  </si>
  <si>
    <t>003133</t>
  </si>
  <si>
    <t>003134</t>
  </si>
  <si>
    <t>003135</t>
  </si>
  <si>
    <t>003136</t>
  </si>
  <si>
    <t>003137</t>
  </si>
  <si>
    <t>003138</t>
  </si>
  <si>
    <t>003139</t>
  </si>
  <si>
    <t>003140</t>
  </si>
  <si>
    <t>003141</t>
  </si>
  <si>
    <t>003142</t>
  </si>
  <si>
    <t>003143</t>
  </si>
  <si>
    <t>003144</t>
  </si>
  <si>
    <t>003145</t>
  </si>
  <si>
    <t>003146</t>
  </si>
  <si>
    <t>003147</t>
  </si>
  <si>
    <t>003148</t>
  </si>
  <si>
    <t>003149</t>
  </si>
  <si>
    <t>003150</t>
  </si>
  <si>
    <t>003151</t>
  </si>
  <si>
    <t>003152</t>
  </si>
  <si>
    <t>003153</t>
  </si>
  <si>
    <t>003154</t>
  </si>
  <si>
    <t>003155</t>
  </si>
  <si>
    <t>003156</t>
  </si>
  <si>
    <t>003157</t>
  </si>
  <si>
    <t>003158</t>
  </si>
  <si>
    <t>003159</t>
  </si>
  <si>
    <t>003160</t>
  </si>
  <si>
    <t>003161</t>
  </si>
  <si>
    <t>003162</t>
  </si>
  <si>
    <t>003163</t>
  </si>
  <si>
    <t>003164</t>
  </si>
  <si>
    <t>003165</t>
  </si>
  <si>
    <t>003166</t>
  </si>
  <si>
    <t>003167</t>
  </si>
  <si>
    <t>003168</t>
  </si>
  <si>
    <t>003169</t>
  </si>
  <si>
    <t>003170</t>
  </si>
  <si>
    <t>003171</t>
  </si>
  <si>
    <t>003172</t>
  </si>
  <si>
    <t>003173</t>
  </si>
  <si>
    <t>003174</t>
  </si>
  <si>
    <t>003175</t>
  </si>
  <si>
    <t>003176</t>
  </si>
  <si>
    <t>003177</t>
  </si>
  <si>
    <t>003178</t>
  </si>
  <si>
    <t>003179</t>
  </si>
  <si>
    <t>003180</t>
  </si>
  <si>
    <t>003181</t>
  </si>
  <si>
    <t>003182</t>
  </si>
  <si>
    <t>003183</t>
  </si>
  <si>
    <t>003184</t>
  </si>
  <si>
    <t>003185</t>
  </si>
  <si>
    <t>003186</t>
  </si>
  <si>
    <t>003187</t>
  </si>
  <si>
    <t>003188</t>
  </si>
  <si>
    <t>003189</t>
  </si>
  <si>
    <t>003190</t>
  </si>
  <si>
    <t>003191</t>
  </si>
  <si>
    <t>003192</t>
  </si>
  <si>
    <t>003193</t>
  </si>
  <si>
    <t>003194</t>
  </si>
  <si>
    <t>003195</t>
  </si>
  <si>
    <t>003196</t>
  </si>
  <si>
    <t>003197</t>
  </si>
  <si>
    <t>003198</t>
  </si>
  <si>
    <t>003199</t>
  </si>
  <si>
    <t>003200</t>
  </si>
  <si>
    <t>003201</t>
  </si>
  <si>
    <t>003202</t>
  </si>
  <si>
    <t>003203</t>
  </si>
  <si>
    <t>003204</t>
  </si>
  <si>
    <t>003205</t>
  </si>
  <si>
    <t>003206</t>
  </si>
  <si>
    <t>003207</t>
  </si>
  <si>
    <t>003208</t>
  </si>
  <si>
    <t>003209</t>
  </si>
  <si>
    <t>003210</t>
  </si>
  <si>
    <t>003211</t>
  </si>
  <si>
    <t>003212</t>
  </si>
  <si>
    <t>003213</t>
  </si>
  <si>
    <t>003214</t>
  </si>
  <si>
    <t>003215</t>
  </si>
  <si>
    <t>003216</t>
  </si>
  <si>
    <t>003217</t>
  </si>
  <si>
    <t>003218</t>
  </si>
  <si>
    <t>003219</t>
  </si>
  <si>
    <t>003220</t>
  </si>
  <si>
    <t>003221</t>
  </si>
  <si>
    <t>003222</t>
  </si>
  <si>
    <t>003223</t>
  </si>
  <si>
    <t>003224</t>
  </si>
  <si>
    <t>003225</t>
  </si>
  <si>
    <t>003226</t>
  </si>
  <si>
    <t>003227</t>
  </si>
  <si>
    <t>003228</t>
  </si>
  <si>
    <t>003229</t>
  </si>
  <si>
    <t>003230</t>
  </si>
  <si>
    <t>003231</t>
  </si>
  <si>
    <t>003232</t>
  </si>
  <si>
    <t>003233</t>
  </si>
  <si>
    <t>003234</t>
  </si>
  <si>
    <t>003235</t>
  </si>
  <si>
    <t>003236</t>
  </si>
  <si>
    <t>003237</t>
  </si>
  <si>
    <t>003238</t>
  </si>
  <si>
    <t>003239</t>
  </si>
  <si>
    <t>003240</t>
  </si>
  <si>
    <t>003241</t>
  </si>
  <si>
    <t>003242</t>
  </si>
  <si>
    <t>003243</t>
  </si>
  <si>
    <t>003244</t>
  </si>
  <si>
    <t>003245</t>
  </si>
  <si>
    <t>003246</t>
  </si>
  <si>
    <t>003247</t>
  </si>
  <si>
    <t>003248</t>
  </si>
  <si>
    <t>003249</t>
  </si>
  <si>
    <t>003250</t>
  </si>
  <si>
    <t>003251</t>
  </si>
  <si>
    <t>003252</t>
  </si>
  <si>
    <t>003253</t>
  </si>
  <si>
    <t>003254</t>
  </si>
  <si>
    <t>003255</t>
  </si>
  <si>
    <t>003256</t>
  </si>
  <si>
    <t>003257</t>
  </si>
  <si>
    <t>003258</t>
  </si>
  <si>
    <t>003259</t>
  </si>
  <si>
    <t>003260</t>
  </si>
  <si>
    <t>003261</t>
  </si>
  <si>
    <t>003262</t>
  </si>
  <si>
    <t>003263</t>
  </si>
  <si>
    <t>003264</t>
  </si>
  <si>
    <t>003265</t>
  </si>
  <si>
    <t>003266</t>
  </si>
  <si>
    <t>003267</t>
  </si>
  <si>
    <t>003268</t>
  </si>
  <si>
    <t>003269</t>
  </si>
  <si>
    <t>003270</t>
  </si>
  <si>
    <t>003271</t>
  </si>
  <si>
    <t>003272</t>
  </si>
  <si>
    <t>003273</t>
  </si>
  <si>
    <t>003274</t>
  </si>
  <si>
    <t>003275</t>
  </si>
  <si>
    <t>003276</t>
  </si>
  <si>
    <t>003277</t>
  </si>
  <si>
    <t>003278</t>
  </si>
  <si>
    <t>003279</t>
  </si>
  <si>
    <t>003280</t>
  </si>
  <si>
    <t>003281</t>
  </si>
  <si>
    <t>003282</t>
  </si>
  <si>
    <t>003283</t>
  </si>
  <si>
    <t>003284</t>
  </si>
  <si>
    <t>003285</t>
  </si>
  <si>
    <t>003286</t>
  </si>
  <si>
    <t>003287</t>
  </si>
  <si>
    <t>003288</t>
  </si>
  <si>
    <t>003289</t>
  </si>
  <si>
    <t>003290</t>
  </si>
  <si>
    <t>003291</t>
  </si>
  <si>
    <t>003292</t>
  </si>
  <si>
    <t>003293</t>
  </si>
  <si>
    <t>003294</t>
  </si>
  <si>
    <t>003295</t>
  </si>
  <si>
    <t>003296</t>
  </si>
  <si>
    <t>003297</t>
  </si>
  <si>
    <t>003298</t>
  </si>
  <si>
    <t>003299</t>
  </si>
  <si>
    <t>003300</t>
  </si>
  <si>
    <t>003301</t>
  </si>
  <si>
    <t>003302</t>
  </si>
  <si>
    <t>003303</t>
  </si>
  <si>
    <t>003304</t>
  </si>
  <si>
    <t>003305</t>
  </si>
  <si>
    <t>003306</t>
  </si>
  <si>
    <t>003307</t>
  </si>
  <si>
    <t>003308</t>
  </si>
  <si>
    <t>003309</t>
  </si>
  <si>
    <t>003310</t>
  </si>
  <si>
    <t>003311</t>
  </si>
  <si>
    <t>003312</t>
  </si>
  <si>
    <t>003313</t>
  </si>
  <si>
    <t>003314</t>
  </si>
  <si>
    <t>003315</t>
  </si>
  <si>
    <t>003316</t>
  </si>
  <si>
    <t>003317</t>
  </si>
  <si>
    <t>003318</t>
  </si>
  <si>
    <t>003319</t>
  </si>
  <si>
    <t>003320</t>
  </si>
  <si>
    <t>003321</t>
  </si>
  <si>
    <t>003322</t>
  </si>
  <si>
    <t>003323</t>
  </si>
  <si>
    <t>003324</t>
  </si>
  <si>
    <t>003325</t>
  </si>
  <si>
    <t>003326</t>
  </si>
  <si>
    <t>003327</t>
  </si>
  <si>
    <t>003328</t>
  </si>
  <si>
    <t>003329</t>
  </si>
  <si>
    <t>003330</t>
  </si>
  <si>
    <t>003331</t>
  </si>
  <si>
    <t>003332</t>
  </si>
  <si>
    <t>003333</t>
  </si>
  <si>
    <t>003334</t>
  </si>
  <si>
    <t>003335</t>
  </si>
  <si>
    <t>003336</t>
  </si>
  <si>
    <t>003337</t>
  </si>
  <si>
    <t>003338</t>
  </si>
  <si>
    <t>003339</t>
  </si>
  <si>
    <t>003340</t>
  </si>
  <si>
    <t>003341</t>
  </si>
  <si>
    <t>003342</t>
  </si>
  <si>
    <t>003343</t>
  </si>
  <si>
    <t>003344</t>
  </si>
  <si>
    <t>003345</t>
  </si>
  <si>
    <t>003346</t>
  </si>
  <si>
    <t>003347</t>
  </si>
  <si>
    <t>003348</t>
  </si>
  <si>
    <t>003349</t>
  </si>
  <si>
    <t>003350</t>
  </si>
  <si>
    <t>003351</t>
  </si>
  <si>
    <t>003352</t>
  </si>
  <si>
    <t>003353</t>
  </si>
  <si>
    <t>003354</t>
  </si>
  <si>
    <t>003355</t>
  </si>
  <si>
    <t>003356</t>
  </si>
  <si>
    <t>003357</t>
  </si>
  <si>
    <t>003358</t>
  </si>
  <si>
    <t>003359</t>
  </si>
  <si>
    <t>003360</t>
  </si>
  <si>
    <t>003361</t>
  </si>
  <si>
    <t>003362</t>
  </si>
  <si>
    <t>003363</t>
  </si>
  <si>
    <t>003364</t>
  </si>
  <si>
    <t>003365</t>
  </si>
  <si>
    <t>003366</t>
  </si>
  <si>
    <t>003367</t>
  </si>
  <si>
    <t>003368</t>
  </si>
  <si>
    <t>003369</t>
  </si>
  <si>
    <t>003370</t>
  </si>
  <si>
    <t>003371</t>
  </si>
  <si>
    <t>003372</t>
  </si>
  <si>
    <t>003373</t>
  </si>
  <si>
    <t>003374</t>
  </si>
  <si>
    <t>003375</t>
  </si>
  <si>
    <t>003376</t>
  </si>
  <si>
    <t>003377</t>
  </si>
  <si>
    <t>003378</t>
  </si>
  <si>
    <t>003379</t>
  </si>
  <si>
    <t>003380</t>
  </si>
  <si>
    <t>003381</t>
  </si>
  <si>
    <t>003382</t>
  </si>
  <si>
    <t>003383</t>
  </si>
  <si>
    <t>003384</t>
  </si>
  <si>
    <t>003385</t>
  </si>
  <si>
    <t>003386</t>
  </si>
  <si>
    <t>003387</t>
  </si>
  <si>
    <t>003388</t>
  </si>
  <si>
    <t>003389</t>
  </si>
  <si>
    <t>003390</t>
  </si>
  <si>
    <t>003391</t>
  </si>
  <si>
    <t>003392</t>
  </si>
  <si>
    <t>003393</t>
  </si>
  <si>
    <t>003394</t>
  </si>
  <si>
    <t>003395</t>
  </si>
  <si>
    <t>003396</t>
  </si>
  <si>
    <t>003397</t>
  </si>
  <si>
    <t>003398</t>
  </si>
  <si>
    <t>003399</t>
  </si>
  <si>
    <t>003400</t>
  </si>
  <si>
    <t>003401</t>
  </si>
  <si>
    <t>003402</t>
  </si>
  <si>
    <t>003403</t>
  </si>
  <si>
    <t>003404</t>
  </si>
  <si>
    <t>003405</t>
  </si>
  <si>
    <t>003406</t>
  </si>
  <si>
    <t>003407</t>
  </si>
  <si>
    <t>003408</t>
  </si>
  <si>
    <t>003409</t>
  </si>
  <si>
    <t>003410</t>
  </si>
  <si>
    <t>003411</t>
  </si>
  <si>
    <t>003412</t>
  </si>
  <si>
    <t>003413</t>
  </si>
  <si>
    <t>003414</t>
  </si>
  <si>
    <t>003415</t>
  </si>
  <si>
    <t>003416</t>
  </si>
  <si>
    <t>003417</t>
  </si>
  <si>
    <t>003418</t>
  </si>
  <si>
    <t>003419</t>
  </si>
  <si>
    <t>003420</t>
  </si>
  <si>
    <t>003421</t>
  </si>
  <si>
    <t>003422</t>
  </si>
  <si>
    <t>003423</t>
  </si>
  <si>
    <t>003424</t>
  </si>
  <si>
    <t>003425</t>
  </si>
  <si>
    <t>003426</t>
  </si>
  <si>
    <t>003427</t>
  </si>
  <si>
    <t>003428</t>
  </si>
  <si>
    <t>003429</t>
  </si>
  <si>
    <t>003430</t>
  </si>
  <si>
    <t>003431</t>
  </si>
  <si>
    <t>003432</t>
  </si>
  <si>
    <t>003433</t>
  </si>
  <si>
    <t>003434</t>
  </si>
  <si>
    <t>003435</t>
  </si>
  <si>
    <t>003436</t>
  </si>
  <si>
    <t>003437</t>
  </si>
  <si>
    <t>003438</t>
  </si>
  <si>
    <t>003439</t>
  </si>
  <si>
    <t>003440</t>
  </si>
  <si>
    <t>003441</t>
  </si>
  <si>
    <t>003442</t>
  </si>
  <si>
    <t>003443</t>
  </si>
  <si>
    <t>003444</t>
  </si>
  <si>
    <t>003445</t>
  </si>
  <si>
    <t>003446</t>
  </si>
  <si>
    <t>003447</t>
  </si>
  <si>
    <t>003448</t>
  </si>
  <si>
    <t>003449</t>
  </si>
  <si>
    <t>003450</t>
  </si>
  <si>
    <t>003451</t>
  </si>
  <si>
    <t>003452</t>
  </si>
  <si>
    <t>003453</t>
  </si>
  <si>
    <t>003454</t>
  </si>
  <si>
    <t>003455</t>
  </si>
  <si>
    <t>003456</t>
  </si>
  <si>
    <t>003457</t>
  </si>
  <si>
    <t>003458</t>
  </si>
  <si>
    <t>003459</t>
  </si>
  <si>
    <t>003460</t>
  </si>
  <si>
    <t>003461</t>
  </si>
  <si>
    <t>003462</t>
  </si>
  <si>
    <t>003463</t>
  </si>
  <si>
    <t>003464</t>
  </si>
  <si>
    <t>003465</t>
  </si>
  <si>
    <t>003466</t>
  </si>
  <si>
    <t>003467</t>
  </si>
  <si>
    <t>003468</t>
  </si>
  <si>
    <t>003469</t>
  </si>
  <si>
    <t>003470</t>
  </si>
  <si>
    <t>003471</t>
  </si>
  <si>
    <t>003472</t>
  </si>
  <si>
    <t>003473</t>
  </si>
  <si>
    <t>003474</t>
  </si>
  <si>
    <t>003475</t>
  </si>
  <si>
    <t>003476</t>
  </si>
  <si>
    <t>003477</t>
  </si>
  <si>
    <t>003478</t>
  </si>
  <si>
    <t>003479</t>
  </si>
  <si>
    <t>003480</t>
  </si>
  <si>
    <t>003481</t>
  </si>
  <si>
    <t>003482</t>
  </si>
  <si>
    <t>003483</t>
  </si>
  <si>
    <t>003484</t>
  </si>
  <si>
    <t>003485</t>
  </si>
  <si>
    <t>003486</t>
  </si>
  <si>
    <t>003487</t>
  </si>
  <si>
    <t>003488</t>
  </si>
  <si>
    <t>003489</t>
  </si>
  <si>
    <t>003490</t>
  </si>
  <si>
    <t>003491</t>
  </si>
  <si>
    <t>003492</t>
  </si>
  <si>
    <t>003493</t>
  </si>
  <si>
    <t>003494</t>
  </si>
  <si>
    <t>003495</t>
  </si>
  <si>
    <t>003496</t>
  </si>
  <si>
    <t>003497</t>
  </si>
  <si>
    <t>003498</t>
  </si>
  <si>
    <t>003499</t>
  </si>
  <si>
    <t>003500</t>
  </si>
  <si>
    <t>003501</t>
  </si>
  <si>
    <t>003502</t>
  </si>
  <si>
    <t>003503</t>
  </si>
  <si>
    <t>003504</t>
  </si>
  <si>
    <t>003505</t>
  </si>
  <si>
    <t>003506</t>
  </si>
  <si>
    <t>003507</t>
  </si>
  <si>
    <t>003508</t>
  </si>
  <si>
    <t>003509</t>
  </si>
  <si>
    <t>003510</t>
  </si>
  <si>
    <t>003511</t>
  </si>
  <si>
    <t>003512</t>
  </si>
  <si>
    <t>003513</t>
  </si>
  <si>
    <t>003514</t>
  </si>
  <si>
    <t>003515</t>
  </si>
  <si>
    <t>003516</t>
  </si>
  <si>
    <t>003517</t>
  </si>
  <si>
    <t>003518</t>
  </si>
  <si>
    <t>003519</t>
  </si>
  <si>
    <t>003520</t>
  </si>
  <si>
    <t>003521</t>
  </si>
  <si>
    <t>003522</t>
  </si>
  <si>
    <t>003523</t>
  </si>
  <si>
    <t>003524</t>
  </si>
  <si>
    <t>003525</t>
  </si>
  <si>
    <t>003526</t>
  </si>
  <si>
    <t>003527</t>
  </si>
  <si>
    <t>003528</t>
  </si>
  <si>
    <t>003529</t>
  </si>
  <si>
    <t>003530</t>
  </si>
  <si>
    <t>003531</t>
  </si>
  <si>
    <t>003532</t>
  </si>
  <si>
    <t>003533</t>
  </si>
  <si>
    <t>003534</t>
  </si>
  <si>
    <t>003535</t>
  </si>
  <si>
    <t>003536</t>
  </si>
  <si>
    <t>003537</t>
  </si>
  <si>
    <t>003538</t>
  </si>
  <si>
    <t>003539</t>
  </si>
  <si>
    <t>003540</t>
  </si>
  <si>
    <t>003541</t>
  </si>
  <si>
    <t>003542</t>
  </si>
  <si>
    <t>003543</t>
  </si>
  <si>
    <t>003544</t>
  </si>
  <si>
    <t>003545</t>
  </si>
  <si>
    <t>003546</t>
  </si>
  <si>
    <t>003547</t>
  </si>
  <si>
    <t>003548</t>
  </si>
  <si>
    <t>003549</t>
  </si>
  <si>
    <t>003550</t>
  </si>
  <si>
    <t>003551</t>
  </si>
  <si>
    <t>003552</t>
  </si>
  <si>
    <t>003553</t>
  </si>
  <si>
    <t>003554</t>
  </si>
  <si>
    <t>003555</t>
  </si>
  <si>
    <t>003556</t>
  </si>
  <si>
    <t>003557</t>
  </si>
  <si>
    <t>003558</t>
  </si>
  <si>
    <t>003559</t>
  </si>
  <si>
    <t>003560</t>
  </si>
  <si>
    <t>003561</t>
  </si>
  <si>
    <t>003562</t>
  </si>
  <si>
    <t>003563</t>
  </si>
  <si>
    <t>003564</t>
  </si>
  <si>
    <t>003565</t>
  </si>
  <si>
    <t>003566</t>
  </si>
  <si>
    <t>003567</t>
  </si>
  <si>
    <t>003568</t>
  </si>
  <si>
    <t>003569</t>
  </si>
  <si>
    <t>003570</t>
  </si>
  <si>
    <t>003571</t>
  </si>
  <si>
    <t>003572</t>
  </si>
  <si>
    <t>003573</t>
  </si>
  <si>
    <t>003574</t>
  </si>
  <si>
    <t>003575</t>
  </si>
  <si>
    <t>003576</t>
  </si>
  <si>
    <t>003577</t>
  </si>
  <si>
    <t>003578</t>
  </si>
  <si>
    <t>003579</t>
  </si>
  <si>
    <t>003580</t>
  </si>
  <si>
    <t>003581</t>
  </si>
  <si>
    <t>003582</t>
  </si>
  <si>
    <t>003583</t>
  </si>
  <si>
    <t>003584</t>
  </si>
  <si>
    <t>003585</t>
  </si>
  <si>
    <t>003586</t>
  </si>
  <si>
    <t>003587</t>
  </si>
  <si>
    <t>003588</t>
  </si>
  <si>
    <t>003589</t>
  </si>
  <si>
    <t>003590</t>
  </si>
  <si>
    <t>003591</t>
  </si>
  <si>
    <t>003592</t>
  </si>
  <si>
    <t>003593</t>
  </si>
  <si>
    <t>003594</t>
  </si>
  <si>
    <t>003595</t>
  </si>
  <si>
    <t>003596</t>
  </si>
  <si>
    <t>003597</t>
  </si>
  <si>
    <t>003598</t>
  </si>
  <si>
    <t>003599</t>
  </si>
  <si>
    <t>003600</t>
  </si>
  <si>
    <t>003601</t>
  </si>
  <si>
    <t>003602</t>
  </si>
  <si>
    <t>003603</t>
  </si>
  <si>
    <t>003604</t>
  </si>
  <si>
    <t>003605</t>
  </si>
  <si>
    <t>003606</t>
  </si>
  <si>
    <t>003607</t>
  </si>
  <si>
    <t>003608</t>
  </si>
  <si>
    <t>003609</t>
  </si>
  <si>
    <t>003610</t>
  </si>
  <si>
    <t>003611</t>
  </si>
  <si>
    <t>003612</t>
  </si>
  <si>
    <t>003613</t>
  </si>
  <si>
    <t>003614</t>
  </si>
  <si>
    <t>003615</t>
  </si>
  <si>
    <t>003616</t>
  </si>
  <si>
    <t>003617</t>
  </si>
  <si>
    <t>003618</t>
  </si>
  <si>
    <t>003619</t>
  </si>
  <si>
    <t>003620</t>
  </si>
  <si>
    <t>003621</t>
  </si>
  <si>
    <t>003622</t>
  </si>
  <si>
    <t>003623</t>
  </si>
  <si>
    <t>003624</t>
  </si>
  <si>
    <t>003625</t>
  </si>
  <si>
    <t>003626</t>
  </si>
  <si>
    <t>003627</t>
  </si>
  <si>
    <t>003628</t>
  </si>
  <si>
    <t>003629</t>
  </si>
  <si>
    <t>003630</t>
  </si>
  <si>
    <t>003631</t>
  </si>
  <si>
    <t>003632</t>
  </si>
  <si>
    <t>003633</t>
  </si>
  <si>
    <t>003634</t>
  </si>
  <si>
    <t>003635</t>
  </si>
  <si>
    <t>003636</t>
  </si>
  <si>
    <t>003637</t>
  </si>
  <si>
    <t>003638</t>
  </si>
  <si>
    <t>003639</t>
  </si>
  <si>
    <t>003640</t>
  </si>
  <si>
    <t>003641</t>
  </si>
  <si>
    <t>003642</t>
  </si>
  <si>
    <t>003643</t>
  </si>
  <si>
    <t>003644</t>
  </si>
  <si>
    <t>003645</t>
  </si>
  <si>
    <t>003646</t>
  </si>
  <si>
    <t>003647</t>
  </si>
  <si>
    <t>003648</t>
  </si>
  <si>
    <t>003649</t>
  </si>
  <si>
    <t>003650</t>
  </si>
  <si>
    <t>003651</t>
  </si>
  <si>
    <t>003652</t>
  </si>
  <si>
    <t>003653</t>
  </si>
  <si>
    <t>003654</t>
  </si>
  <si>
    <t>003655</t>
  </si>
  <si>
    <t>003656</t>
  </si>
  <si>
    <t>003657</t>
  </si>
  <si>
    <t>003658</t>
  </si>
  <si>
    <t>003659</t>
  </si>
  <si>
    <t>003660</t>
  </si>
  <si>
    <t>003661</t>
  </si>
  <si>
    <t>003662</t>
  </si>
  <si>
    <t>003663</t>
  </si>
  <si>
    <t>003664</t>
  </si>
  <si>
    <t>003665</t>
  </si>
  <si>
    <t>003666</t>
  </si>
  <si>
    <t>003667</t>
  </si>
  <si>
    <t>003668</t>
  </si>
  <si>
    <t>003669</t>
  </si>
  <si>
    <t>003670</t>
  </si>
  <si>
    <t>003671</t>
  </si>
  <si>
    <t>003672</t>
  </si>
  <si>
    <t>003673</t>
  </si>
  <si>
    <t>003674</t>
  </si>
  <si>
    <t>003675</t>
  </si>
  <si>
    <t>003676</t>
  </si>
  <si>
    <t>003677</t>
  </si>
  <si>
    <t>003678</t>
  </si>
  <si>
    <t>003679</t>
  </si>
  <si>
    <t>003680</t>
  </si>
  <si>
    <t>003681</t>
  </si>
  <si>
    <t>003682</t>
  </si>
  <si>
    <t>003683</t>
  </si>
  <si>
    <t>003684</t>
  </si>
  <si>
    <t>003685</t>
  </si>
  <si>
    <t>003686</t>
  </si>
  <si>
    <t>003687</t>
  </si>
  <si>
    <t>003688</t>
  </si>
  <si>
    <t>003689</t>
  </si>
  <si>
    <t>003690</t>
  </si>
  <si>
    <t>003691</t>
  </si>
  <si>
    <t>003692</t>
  </si>
  <si>
    <t>003693</t>
  </si>
  <si>
    <t>003694</t>
  </si>
  <si>
    <t>003695</t>
  </si>
  <si>
    <t>003696</t>
  </si>
  <si>
    <t>003697</t>
  </si>
  <si>
    <t>003698</t>
  </si>
  <si>
    <t>003699</t>
  </si>
  <si>
    <t>003700</t>
  </si>
  <si>
    <t>003701</t>
  </si>
  <si>
    <t>003702</t>
  </si>
  <si>
    <t>003703</t>
  </si>
  <si>
    <t>003704</t>
  </si>
  <si>
    <t>003705</t>
  </si>
  <si>
    <t>003706</t>
  </si>
  <si>
    <t>003707</t>
  </si>
  <si>
    <t>003708</t>
  </si>
  <si>
    <t>003709</t>
  </si>
  <si>
    <t>003710</t>
  </si>
  <si>
    <t>003711</t>
  </si>
  <si>
    <t>003712</t>
  </si>
  <si>
    <t>003713</t>
  </si>
  <si>
    <t>003714</t>
  </si>
  <si>
    <t>003715</t>
  </si>
  <si>
    <t>003716</t>
  </si>
  <si>
    <t>003717</t>
  </si>
  <si>
    <t>003718</t>
  </si>
  <si>
    <t>003719</t>
  </si>
  <si>
    <t>003720</t>
  </si>
  <si>
    <t>003721</t>
  </si>
  <si>
    <t>003722</t>
  </si>
  <si>
    <t>003723</t>
  </si>
  <si>
    <t>003724</t>
  </si>
  <si>
    <t>003725</t>
  </si>
  <si>
    <t>003726</t>
  </si>
  <si>
    <t>003727</t>
  </si>
  <si>
    <t>003728</t>
  </si>
  <si>
    <t>003729</t>
  </si>
  <si>
    <t>003730</t>
  </si>
  <si>
    <t>003731</t>
  </si>
  <si>
    <t>003732</t>
  </si>
  <si>
    <t>003733</t>
  </si>
  <si>
    <t>003734</t>
  </si>
  <si>
    <t>003735</t>
  </si>
  <si>
    <t>003736</t>
  </si>
  <si>
    <t>003737</t>
  </si>
  <si>
    <t>003738</t>
  </si>
  <si>
    <t>003739</t>
  </si>
  <si>
    <t>003740</t>
  </si>
  <si>
    <t>003741</t>
  </si>
  <si>
    <t>003742</t>
  </si>
  <si>
    <t>003743</t>
  </si>
  <si>
    <t>003744</t>
  </si>
  <si>
    <t>003745</t>
  </si>
  <si>
    <t>003746</t>
  </si>
  <si>
    <t>003747</t>
  </si>
  <si>
    <t>003748</t>
  </si>
  <si>
    <t>003749</t>
  </si>
  <si>
    <t>003750</t>
  </si>
  <si>
    <t>003751</t>
  </si>
  <si>
    <t>003752</t>
  </si>
  <si>
    <t>003753</t>
  </si>
  <si>
    <t>003754</t>
  </si>
  <si>
    <t>003755</t>
  </si>
  <si>
    <t>003756</t>
  </si>
  <si>
    <t>003757</t>
  </si>
  <si>
    <t>003758</t>
  </si>
  <si>
    <t>003759</t>
  </si>
  <si>
    <t>003760</t>
  </si>
  <si>
    <t>003761</t>
  </si>
  <si>
    <t>003762</t>
  </si>
  <si>
    <t>003763</t>
  </si>
  <si>
    <t>003764</t>
  </si>
  <si>
    <t>003765</t>
  </si>
  <si>
    <t>003766</t>
  </si>
  <si>
    <t>003767</t>
  </si>
  <si>
    <t>003768</t>
  </si>
  <si>
    <t>003769</t>
  </si>
  <si>
    <t>003770</t>
  </si>
  <si>
    <t>003771</t>
  </si>
  <si>
    <t>003772</t>
  </si>
  <si>
    <t>003773</t>
  </si>
  <si>
    <t>003774</t>
  </si>
  <si>
    <t>003775</t>
  </si>
  <si>
    <t>003776</t>
  </si>
  <si>
    <t>003777</t>
  </si>
  <si>
    <t>003778</t>
  </si>
  <si>
    <t>003779</t>
  </si>
  <si>
    <t>003780</t>
  </si>
  <si>
    <t>003781</t>
  </si>
  <si>
    <t>003782</t>
  </si>
  <si>
    <t>003783</t>
  </si>
  <si>
    <t>003784</t>
  </si>
  <si>
    <t>003785</t>
  </si>
  <si>
    <t>003786</t>
  </si>
  <si>
    <t>003787</t>
  </si>
  <si>
    <t>003788</t>
  </si>
  <si>
    <t>003789</t>
  </si>
  <si>
    <t>003790</t>
  </si>
  <si>
    <t>003791</t>
  </si>
  <si>
    <t>003792</t>
  </si>
  <si>
    <t>003793</t>
  </si>
  <si>
    <t>003794</t>
  </si>
  <si>
    <t>003795</t>
  </si>
  <si>
    <t>003796</t>
  </si>
  <si>
    <t>003797</t>
  </si>
  <si>
    <t>003798</t>
  </si>
  <si>
    <t>003799</t>
  </si>
  <si>
    <t>003800</t>
  </si>
  <si>
    <t>003801</t>
  </si>
  <si>
    <t>003802</t>
  </si>
  <si>
    <t>003803</t>
  </si>
  <si>
    <t>003804</t>
  </si>
  <si>
    <t>003805</t>
  </si>
  <si>
    <t>003806</t>
  </si>
  <si>
    <t>003807</t>
  </si>
  <si>
    <t>003808</t>
  </si>
  <si>
    <t>003809</t>
  </si>
  <si>
    <t>003810</t>
  </si>
  <si>
    <t>003811</t>
  </si>
  <si>
    <t>003812</t>
  </si>
  <si>
    <t>003813</t>
  </si>
  <si>
    <t>003814</t>
  </si>
  <si>
    <t>003815</t>
  </si>
  <si>
    <t>003816</t>
  </si>
  <si>
    <t>003817</t>
  </si>
  <si>
    <t>003818</t>
  </si>
  <si>
    <t>003819</t>
  </si>
  <si>
    <t>003820</t>
  </si>
  <si>
    <t>003821</t>
  </si>
  <si>
    <t>003822</t>
  </si>
  <si>
    <t>003823</t>
  </si>
  <si>
    <t>003824</t>
  </si>
  <si>
    <t>003825</t>
  </si>
  <si>
    <t>003826</t>
  </si>
  <si>
    <t>003827</t>
  </si>
  <si>
    <t>003828</t>
  </si>
  <si>
    <t>003829</t>
  </si>
  <si>
    <t>003830</t>
  </si>
  <si>
    <t>003831</t>
  </si>
  <si>
    <t>003832</t>
  </si>
  <si>
    <t>003833</t>
  </si>
  <si>
    <t>003834</t>
  </si>
  <si>
    <t>003835</t>
  </si>
  <si>
    <t>003836</t>
  </si>
  <si>
    <t>003837</t>
  </si>
  <si>
    <t>003838</t>
  </si>
  <si>
    <t>003839</t>
  </si>
  <si>
    <t>003840</t>
  </si>
  <si>
    <t>003841</t>
  </si>
  <si>
    <t>003842</t>
  </si>
  <si>
    <t>003843</t>
  </si>
  <si>
    <t>003844</t>
  </si>
  <si>
    <t>003845</t>
  </si>
  <si>
    <t>003846</t>
  </si>
  <si>
    <t>003847</t>
  </si>
  <si>
    <t>003848</t>
  </si>
  <si>
    <t>003849</t>
  </si>
  <si>
    <t>003850</t>
  </si>
  <si>
    <t>003851</t>
  </si>
  <si>
    <t>003852</t>
  </si>
  <si>
    <t>003853</t>
  </si>
  <si>
    <t>003854</t>
  </si>
  <si>
    <t>003855</t>
  </si>
  <si>
    <t>003856</t>
  </si>
  <si>
    <t>003857</t>
  </si>
  <si>
    <t>003858</t>
  </si>
  <si>
    <t>003859</t>
  </si>
  <si>
    <t>003860</t>
  </si>
  <si>
    <t>003861</t>
  </si>
  <si>
    <t>003862</t>
  </si>
  <si>
    <t>003863</t>
  </si>
  <si>
    <t>003864</t>
  </si>
  <si>
    <t>003865</t>
  </si>
  <si>
    <t>003866</t>
  </si>
  <si>
    <t>003867</t>
  </si>
  <si>
    <t>003868</t>
  </si>
  <si>
    <t>003869</t>
  </si>
  <si>
    <t>003870</t>
  </si>
  <si>
    <t>003871</t>
  </si>
  <si>
    <t>003872</t>
  </si>
  <si>
    <t>003873</t>
  </si>
  <si>
    <t>003874</t>
  </si>
  <si>
    <t>003875</t>
  </si>
  <si>
    <t>003876</t>
  </si>
  <si>
    <t>003877</t>
  </si>
  <si>
    <t>003878</t>
  </si>
  <si>
    <t>003879</t>
  </si>
  <si>
    <t>003880</t>
  </si>
  <si>
    <t>003881</t>
  </si>
  <si>
    <t>003882</t>
  </si>
  <si>
    <t>003883</t>
  </si>
  <si>
    <t>003884</t>
  </si>
  <si>
    <t>003885</t>
  </si>
  <si>
    <t>003886</t>
  </si>
  <si>
    <t>003887</t>
  </si>
  <si>
    <t>003888</t>
  </si>
  <si>
    <t>003889</t>
  </si>
  <si>
    <t>003890</t>
  </si>
  <si>
    <t>003891</t>
  </si>
  <si>
    <t>003892</t>
  </si>
  <si>
    <t>003893</t>
  </si>
  <si>
    <t>003894</t>
  </si>
  <si>
    <t>003895</t>
  </si>
  <si>
    <t>003896</t>
  </si>
  <si>
    <t>003897</t>
  </si>
  <si>
    <t>003898</t>
  </si>
  <si>
    <t>003899</t>
  </si>
  <si>
    <t>003900</t>
  </si>
  <si>
    <t>003901</t>
  </si>
  <si>
    <t>003902</t>
  </si>
  <si>
    <t>003903</t>
  </si>
  <si>
    <t>003904</t>
  </si>
  <si>
    <t>003905</t>
  </si>
  <si>
    <t>106</t>
  </si>
  <si>
    <t>350</t>
  </si>
  <si>
    <t>807047</t>
  </si>
  <si>
    <t>111</t>
  </si>
  <si>
    <t>806</t>
  </si>
  <si>
    <t>830063</t>
  </si>
  <si>
    <t>811002</t>
  </si>
  <si>
    <t>807</t>
  </si>
  <si>
    <t>428</t>
  </si>
  <si>
    <t>800012</t>
  </si>
  <si>
    <t>736</t>
  </si>
  <si>
    <t>427320</t>
  </si>
  <si>
    <t>606</t>
  </si>
  <si>
    <t>880</t>
  </si>
  <si>
    <t>雙面_正式</t>
    <phoneticPr fontId="22" type="noConversion"/>
  </si>
  <si>
    <t>補號_P1</t>
    <phoneticPr fontId="22" type="noConversion"/>
  </si>
  <si>
    <t>335017</t>
  </si>
  <si>
    <t>337004</t>
  </si>
  <si>
    <t>330058</t>
  </si>
  <si>
    <t>330015</t>
  </si>
  <si>
    <t>338025</t>
  </si>
  <si>
    <t>420077</t>
  </si>
  <si>
    <t>406045</t>
  </si>
  <si>
    <t>653004</t>
  </si>
  <si>
    <t>402372</t>
  </si>
  <si>
    <t>730012</t>
  </si>
  <si>
    <t>411019</t>
  </si>
  <si>
    <t>244013</t>
  </si>
  <si>
    <t>711013</t>
  </si>
  <si>
    <t>802041</t>
  </si>
  <si>
    <t>973061</t>
  </si>
  <si>
    <t>508012</t>
  </si>
  <si>
    <t>420011</t>
  </si>
  <si>
    <t>730011</t>
  </si>
  <si>
    <t>326001</t>
  </si>
  <si>
    <t>330054</t>
  </si>
  <si>
    <t>412003</t>
  </si>
  <si>
    <t>407001</t>
  </si>
  <si>
    <t>557001</t>
  </si>
  <si>
    <t>640001</t>
  </si>
  <si>
    <t>802046</t>
  </si>
  <si>
    <t>813020</t>
  </si>
  <si>
    <t>436032</t>
  </si>
  <si>
    <t>247025</t>
  </si>
  <si>
    <t>242045</t>
  </si>
  <si>
    <t>542004</t>
  </si>
  <si>
    <t>710003</t>
  </si>
  <si>
    <t>242066</t>
  </si>
  <si>
    <t>970012</t>
  </si>
  <si>
    <t>540010</t>
  </si>
  <si>
    <t>324006</t>
  </si>
  <si>
    <t>428009</t>
  </si>
  <si>
    <t>300113</t>
  </si>
  <si>
    <t>302006</t>
  </si>
  <si>
    <t>420087</t>
  </si>
  <si>
    <t>500213</t>
  </si>
  <si>
    <t>825006</t>
  </si>
  <si>
    <t>704006</t>
  </si>
  <si>
    <t>973044</t>
  </si>
  <si>
    <t>408008</t>
  </si>
  <si>
    <t>307</t>
  </si>
  <si>
    <t>830055</t>
  </si>
  <si>
    <t>100022</t>
  </si>
  <si>
    <t>235604</t>
  </si>
  <si>
    <t>236027</t>
  </si>
  <si>
    <t>251006</t>
  </si>
  <si>
    <t>201009</t>
  </si>
  <si>
    <t>545013</t>
  </si>
  <si>
    <t>207</t>
  </si>
  <si>
    <t>330047</t>
  </si>
  <si>
    <t>251013</t>
  </si>
  <si>
    <t>105011</t>
  </si>
  <si>
    <t>231067</t>
  </si>
  <si>
    <t>241002</t>
  </si>
  <si>
    <t>406019</t>
  </si>
  <si>
    <t>241012</t>
  </si>
  <si>
    <t>105064</t>
  </si>
  <si>
    <t>220076</t>
  </si>
  <si>
    <t>404006</t>
  </si>
  <si>
    <t>320042</t>
  </si>
  <si>
    <t>742</t>
  </si>
  <si>
    <t>111020</t>
  </si>
  <si>
    <t>428007</t>
  </si>
  <si>
    <t>904007</t>
  </si>
  <si>
    <t>427016</t>
  </si>
  <si>
    <t>406001</t>
  </si>
  <si>
    <t>411033</t>
  </si>
  <si>
    <t>406012</t>
  </si>
  <si>
    <t>526002</t>
  </si>
  <si>
    <t>600024</t>
  </si>
  <si>
    <t>600054</t>
  </si>
  <si>
    <t>505002</t>
  </si>
  <si>
    <t>412025</t>
  </si>
  <si>
    <t>320</t>
  </si>
  <si>
    <t>611005</t>
  </si>
  <si>
    <t>510009</t>
  </si>
  <si>
    <t>503007</t>
  </si>
  <si>
    <t>540023</t>
  </si>
  <si>
    <t>600003</t>
  </si>
  <si>
    <t>512002</t>
  </si>
  <si>
    <t>310015</t>
  </si>
  <si>
    <t>806601</t>
  </si>
  <si>
    <t>238009</t>
  </si>
  <si>
    <t>640154</t>
  </si>
  <si>
    <t>632106</t>
  </si>
  <si>
    <t>647003</t>
  </si>
  <si>
    <t>608007</t>
  </si>
  <si>
    <t>651012</t>
  </si>
  <si>
    <t>640112</t>
  </si>
  <si>
    <t>600082</t>
  </si>
  <si>
    <t>600049</t>
  </si>
  <si>
    <t>606002</t>
  </si>
  <si>
    <t>600069</t>
  </si>
  <si>
    <t>241018</t>
  </si>
  <si>
    <t>231010</t>
  </si>
  <si>
    <t>814035</t>
  </si>
  <si>
    <t>612005</t>
  </si>
  <si>
    <t>606008</t>
  </si>
  <si>
    <t>621013</t>
  </si>
  <si>
    <t>235088</t>
  </si>
  <si>
    <t>407056</t>
  </si>
  <si>
    <t>830036</t>
  </si>
  <si>
    <t>103019</t>
  </si>
  <si>
    <t>608002</t>
  </si>
  <si>
    <t>411030</t>
  </si>
  <si>
    <t>338107</t>
  </si>
  <si>
    <t>522011</t>
  </si>
  <si>
    <t>545019</t>
  </si>
  <si>
    <t>404694</t>
  </si>
  <si>
    <t>621011</t>
  </si>
  <si>
    <t>970019</t>
  </si>
  <si>
    <t>974008</t>
  </si>
  <si>
    <t>320033</t>
  </si>
  <si>
    <t>404693</t>
  </si>
  <si>
    <t>701026</t>
  </si>
  <si>
    <t>500033</t>
  </si>
  <si>
    <t>970021</t>
  </si>
  <si>
    <t>324038</t>
  </si>
  <si>
    <t>330040</t>
  </si>
  <si>
    <t>831128</t>
  </si>
  <si>
    <t>408026</t>
  </si>
  <si>
    <t>509006</t>
  </si>
  <si>
    <t>542025</t>
  </si>
  <si>
    <t>506012</t>
  </si>
  <si>
    <t>710050</t>
  </si>
  <si>
    <t>330014</t>
  </si>
  <si>
    <t>429011</t>
  </si>
  <si>
    <t>500021</t>
  </si>
  <si>
    <t>302054</t>
  </si>
  <si>
    <t>510020</t>
  </si>
  <si>
    <t>503006</t>
  </si>
  <si>
    <t>320048</t>
  </si>
  <si>
    <t>500016</t>
  </si>
  <si>
    <t>701030</t>
  </si>
  <si>
    <t>324021</t>
  </si>
  <si>
    <t>421017</t>
  </si>
  <si>
    <t>702027</t>
  </si>
  <si>
    <t>500053</t>
  </si>
  <si>
    <t>504008</t>
  </si>
  <si>
    <t>404005</t>
  </si>
  <si>
    <t>360008</t>
  </si>
  <si>
    <t>702033</t>
  </si>
  <si>
    <t>830727</t>
  </si>
  <si>
    <t>407036</t>
  </si>
  <si>
    <t>320002</t>
  </si>
  <si>
    <t>300043</t>
  </si>
  <si>
    <t>709025</t>
  </si>
  <si>
    <t>324</t>
  </si>
  <si>
    <t>427004</t>
  </si>
  <si>
    <t>220044</t>
  </si>
  <si>
    <t>600012</t>
  </si>
  <si>
    <t>404696</t>
  </si>
  <si>
    <t>406052</t>
  </si>
  <si>
    <t>806032</t>
  </si>
  <si>
    <t>270007</t>
  </si>
  <si>
    <t>508015</t>
  </si>
  <si>
    <t>428005</t>
  </si>
  <si>
    <t>429013</t>
  </si>
  <si>
    <t>500015</t>
  </si>
  <si>
    <t>105010</t>
  </si>
  <si>
    <t>104</t>
  </si>
  <si>
    <t>600028</t>
  </si>
  <si>
    <t>812016</t>
  </si>
  <si>
    <t>406032</t>
  </si>
  <si>
    <t>104075</t>
  </si>
  <si>
    <t>500038</t>
  </si>
  <si>
    <t>325025</t>
  </si>
  <si>
    <t>220045</t>
  </si>
  <si>
    <t>653001</t>
  </si>
  <si>
    <t>737003</t>
  </si>
  <si>
    <t>110032</t>
  </si>
  <si>
    <t>333019</t>
  </si>
  <si>
    <t>429005</t>
  </si>
  <si>
    <t>420008</t>
  </si>
  <si>
    <t>260034</t>
  </si>
  <si>
    <t>503002</t>
  </si>
  <si>
    <t>973039</t>
  </si>
  <si>
    <t>500017</t>
  </si>
  <si>
    <t>500049</t>
  </si>
  <si>
    <t>330010</t>
  </si>
  <si>
    <t>412007</t>
  </si>
  <si>
    <t>830850</t>
  </si>
  <si>
    <t>106001</t>
  </si>
  <si>
    <t>813602</t>
  </si>
  <si>
    <t>106676</t>
  </si>
  <si>
    <t>111034</t>
  </si>
  <si>
    <t>654025</t>
  </si>
  <si>
    <t>600039</t>
  </si>
  <si>
    <t>600042</t>
  </si>
  <si>
    <t>600026</t>
  </si>
  <si>
    <t>236020</t>
  </si>
  <si>
    <t>600021</t>
  </si>
  <si>
    <t>406645</t>
  </si>
  <si>
    <t>411001</t>
  </si>
  <si>
    <t>427017</t>
  </si>
  <si>
    <t>412011</t>
  </si>
  <si>
    <t>408006</t>
  </si>
  <si>
    <t>408034</t>
  </si>
  <si>
    <t>412024</t>
  </si>
  <si>
    <t>402027</t>
  </si>
  <si>
    <t>406025</t>
  </si>
  <si>
    <t>404033</t>
  </si>
  <si>
    <t>412023</t>
  </si>
  <si>
    <t>411629</t>
  </si>
  <si>
    <t>407050</t>
  </si>
  <si>
    <t>427006</t>
  </si>
  <si>
    <t>401010</t>
  </si>
  <si>
    <t>406701</t>
  </si>
  <si>
    <t>402028</t>
  </si>
  <si>
    <t>406041</t>
  </si>
  <si>
    <t>324601</t>
  </si>
  <si>
    <t>320056</t>
  </si>
  <si>
    <t>327010</t>
  </si>
  <si>
    <t>608013</t>
  </si>
  <si>
    <t>220107</t>
  </si>
  <si>
    <t>320681</t>
  </si>
  <si>
    <t>324009</t>
  </si>
  <si>
    <t>330034</t>
  </si>
  <si>
    <t>335016</t>
  </si>
  <si>
    <t>611002</t>
  </si>
  <si>
    <t>330033</t>
  </si>
  <si>
    <t>806039</t>
  </si>
  <si>
    <t>330060</t>
  </si>
  <si>
    <t>320678</t>
  </si>
  <si>
    <t>330066</t>
  </si>
  <si>
    <t>612001</t>
  </si>
  <si>
    <t>600023</t>
  </si>
  <si>
    <t>600005</t>
  </si>
  <si>
    <t>900048</t>
  </si>
  <si>
    <t>600053</t>
  </si>
  <si>
    <t>600068</t>
  </si>
  <si>
    <t>600071</t>
  </si>
  <si>
    <t>600075</t>
  </si>
  <si>
    <t>600077</t>
  </si>
  <si>
    <t>404037</t>
  </si>
  <si>
    <t>300053</t>
  </si>
  <si>
    <t>811725</t>
  </si>
  <si>
    <t>334013</t>
  </si>
  <si>
    <t>310012</t>
  </si>
  <si>
    <t>326027</t>
  </si>
  <si>
    <t>310017</t>
  </si>
  <si>
    <t>300064</t>
  </si>
  <si>
    <t>111049</t>
  </si>
  <si>
    <t>407023</t>
  </si>
  <si>
    <t>407055</t>
  </si>
  <si>
    <t>414133</t>
  </si>
  <si>
    <t>427013</t>
  </si>
  <si>
    <t>424102</t>
  </si>
  <si>
    <t>420004</t>
  </si>
  <si>
    <t>204015</t>
  </si>
  <si>
    <t>203008</t>
  </si>
  <si>
    <t>304108</t>
  </si>
  <si>
    <t>802004</t>
  </si>
  <si>
    <t>420010</t>
  </si>
  <si>
    <t>428002</t>
  </si>
  <si>
    <t>116018</t>
  </si>
  <si>
    <t>300094</t>
  </si>
  <si>
    <t>200006</t>
  </si>
  <si>
    <t>104104</t>
  </si>
  <si>
    <t>804064</t>
  </si>
  <si>
    <t>204018</t>
  </si>
  <si>
    <t>973036</t>
  </si>
  <si>
    <t>427012</t>
  </si>
  <si>
    <t>201010</t>
  </si>
  <si>
    <t>205002</t>
  </si>
  <si>
    <t>600029</t>
  </si>
  <si>
    <t>202003</t>
  </si>
  <si>
    <t>701031</t>
  </si>
  <si>
    <t>710028</t>
  </si>
  <si>
    <t>710014</t>
  </si>
  <si>
    <t>709032</t>
  </si>
  <si>
    <t>407018</t>
  </si>
  <si>
    <t>702022</t>
  </si>
  <si>
    <t>711011</t>
  </si>
  <si>
    <t>709039</t>
  </si>
  <si>
    <t>717006</t>
  </si>
  <si>
    <t>709011</t>
  </si>
  <si>
    <t>702002</t>
  </si>
  <si>
    <t>500057</t>
  </si>
  <si>
    <t>708007</t>
  </si>
  <si>
    <t>702012</t>
  </si>
  <si>
    <t>305048</t>
  </si>
  <si>
    <t>718001</t>
  </si>
  <si>
    <t>701023</t>
  </si>
  <si>
    <t>708009</t>
  </si>
  <si>
    <t>717012</t>
  </si>
  <si>
    <t>600052</t>
  </si>
  <si>
    <t>701038</t>
  </si>
  <si>
    <t>420015</t>
  </si>
  <si>
    <t>806005</t>
  </si>
  <si>
    <t>741001</t>
  </si>
  <si>
    <t>811012</t>
  </si>
  <si>
    <t>807072</t>
  </si>
  <si>
    <t>824005</t>
  </si>
  <si>
    <t>800010</t>
  </si>
  <si>
    <t>412210</t>
  </si>
  <si>
    <t>806038</t>
  </si>
  <si>
    <t>813025</t>
  </si>
  <si>
    <t>804703</t>
  </si>
  <si>
    <t>802039</t>
  </si>
  <si>
    <t>606011</t>
  </si>
  <si>
    <t>806019</t>
  </si>
  <si>
    <t>326024</t>
  </si>
  <si>
    <t>830051</t>
  </si>
  <si>
    <t>900033</t>
  </si>
  <si>
    <t>300093</t>
  </si>
  <si>
    <t>802022</t>
  </si>
  <si>
    <t>830753</t>
  </si>
  <si>
    <t>814029</t>
  </si>
  <si>
    <t>807022</t>
  </si>
  <si>
    <t>806037</t>
  </si>
  <si>
    <t>813783</t>
  </si>
  <si>
    <t>300062</t>
  </si>
  <si>
    <t>404013</t>
  </si>
  <si>
    <t>324030</t>
  </si>
  <si>
    <t>320049</t>
  </si>
  <si>
    <t>338020</t>
  </si>
  <si>
    <t>324026</t>
  </si>
  <si>
    <t>337013</t>
  </si>
  <si>
    <t>973059</t>
  </si>
  <si>
    <t>334605</t>
  </si>
  <si>
    <t>733</t>
  </si>
  <si>
    <t>320014</t>
  </si>
  <si>
    <t>330057</t>
  </si>
  <si>
    <t>220397</t>
  </si>
  <si>
    <t>320059</t>
  </si>
  <si>
    <t>330063</t>
  </si>
  <si>
    <t>330048</t>
  </si>
  <si>
    <t>363002</t>
  </si>
  <si>
    <t>328005</t>
  </si>
  <si>
    <t>104097</t>
  </si>
  <si>
    <t>330001</t>
  </si>
  <si>
    <t>304126</t>
  </si>
  <si>
    <t>330059</t>
  </si>
  <si>
    <t>231032</t>
  </si>
  <si>
    <t>220040</t>
  </si>
  <si>
    <t>114029</t>
  </si>
  <si>
    <t>234004</t>
  </si>
  <si>
    <t>116055</t>
  </si>
  <si>
    <t>302044</t>
  </si>
  <si>
    <t>330055</t>
  </si>
  <si>
    <t>112045</t>
  </si>
  <si>
    <t>103027</t>
  </si>
  <si>
    <t>704015</t>
  </si>
  <si>
    <t>111061</t>
  </si>
  <si>
    <t>110061</t>
  </si>
  <si>
    <t>231059</t>
  </si>
  <si>
    <t>335015</t>
  </si>
  <si>
    <t>221027</t>
  </si>
  <si>
    <t>114022</t>
  </si>
  <si>
    <t>406703</t>
  </si>
  <si>
    <t>407059</t>
  </si>
  <si>
    <t>411035</t>
  </si>
  <si>
    <t>412002</t>
  </si>
  <si>
    <t>411027</t>
  </si>
  <si>
    <t>412005</t>
  </si>
  <si>
    <t>420074</t>
  </si>
  <si>
    <t>220426</t>
  </si>
  <si>
    <t>411029</t>
  </si>
  <si>
    <t>900008</t>
  </si>
  <si>
    <t>830066</t>
  </si>
  <si>
    <t>813014</t>
  </si>
  <si>
    <t>813021</t>
  </si>
  <si>
    <t>811005</t>
  </si>
  <si>
    <t>804402</t>
  </si>
  <si>
    <t>413015</t>
  </si>
  <si>
    <t>813779</t>
  </si>
  <si>
    <t>814031</t>
  </si>
  <si>
    <t>220679</t>
  </si>
  <si>
    <t>804006</t>
  </si>
  <si>
    <t>830032</t>
  </si>
  <si>
    <t>806609</t>
  </si>
  <si>
    <t>811029</t>
  </si>
  <si>
    <t>807062</t>
  </si>
  <si>
    <t>406038</t>
  </si>
  <si>
    <t>300051</t>
  </si>
  <si>
    <t>302053</t>
  </si>
  <si>
    <t>104008</t>
  </si>
  <si>
    <t>310006</t>
  </si>
  <si>
    <t>310008</t>
  </si>
  <si>
    <t>310013</t>
  </si>
  <si>
    <t>302002</t>
  </si>
  <si>
    <t>116068</t>
  </si>
  <si>
    <t>830028</t>
  </si>
  <si>
    <t>807067</t>
  </si>
  <si>
    <t>801005</t>
  </si>
  <si>
    <t>806017</t>
  </si>
  <si>
    <t>324027</t>
  </si>
  <si>
    <t>802029</t>
  </si>
  <si>
    <t>814015</t>
  </si>
  <si>
    <t>325016</t>
  </si>
  <si>
    <t>900068</t>
  </si>
  <si>
    <t>330007</t>
  </si>
  <si>
    <t>805005</t>
  </si>
  <si>
    <t>830025</t>
  </si>
  <si>
    <t>813782</t>
  </si>
  <si>
    <t>814024</t>
  </si>
  <si>
    <t>710017</t>
  </si>
  <si>
    <t>812009</t>
  </si>
  <si>
    <t>235603</t>
  </si>
  <si>
    <t>804011</t>
  </si>
  <si>
    <t>105024</t>
  </si>
  <si>
    <t>324602</t>
  </si>
  <si>
    <t>811023</t>
  </si>
  <si>
    <t>814033</t>
  </si>
  <si>
    <t>807064</t>
  </si>
  <si>
    <t>802661</t>
  </si>
  <si>
    <t>833167</t>
  </si>
  <si>
    <t>813010</t>
  </si>
  <si>
    <t>333008</t>
  </si>
  <si>
    <t>369006</t>
  </si>
  <si>
    <t>360014</t>
  </si>
  <si>
    <t>360015</t>
  </si>
  <si>
    <t>806603</t>
  </si>
  <si>
    <t>807015</t>
  </si>
  <si>
    <t>427326</t>
  </si>
  <si>
    <t>840</t>
  </si>
  <si>
    <t>815002</t>
  </si>
  <si>
    <t>830765</t>
  </si>
  <si>
    <t>106103</t>
  </si>
  <si>
    <t>408449</t>
  </si>
  <si>
    <t>401018</t>
  </si>
  <si>
    <t>407035</t>
  </si>
  <si>
    <t>407052</t>
  </si>
  <si>
    <t>429014</t>
  </si>
  <si>
    <t>428001</t>
  </si>
  <si>
    <t>504506</t>
  </si>
  <si>
    <t>426015</t>
  </si>
  <si>
    <t>426019</t>
  </si>
  <si>
    <t>427010</t>
  </si>
  <si>
    <t>434010</t>
  </si>
  <si>
    <t>432002</t>
  </si>
  <si>
    <t>420082</t>
  </si>
  <si>
    <t>235003</t>
  </si>
  <si>
    <t>105035</t>
  </si>
  <si>
    <t>221044</t>
  </si>
  <si>
    <t>338010</t>
  </si>
  <si>
    <t>108020</t>
  </si>
  <si>
    <t>205003</t>
  </si>
  <si>
    <t>106021</t>
  </si>
  <si>
    <t>220020</t>
  </si>
  <si>
    <t>111043</t>
  </si>
  <si>
    <t>231</t>
  </si>
  <si>
    <t>100058</t>
  </si>
  <si>
    <t>221030</t>
  </si>
  <si>
    <t>251035</t>
  </si>
  <si>
    <t>204005</t>
  </si>
  <si>
    <t>320031</t>
  </si>
  <si>
    <t>236019</t>
  </si>
  <si>
    <t>241008</t>
  </si>
  <si>
    <t>239011</t>
  </si>
  <si>
    <t>248005</t>
  </si>
  <si>
    <t>330061</t>
  </si>
  <si>
    <t>338022</t>
  </si>
  <si>
    <t>239013</t>
  </si>
  <si>
    <t>239008</t>
  </si>
  <si>
    <t>242073</t>
  </si>
  <si>
    <t>236033</t>
  </si>
  <si>
    <t>238015</t>
  </si>
  <si>
    <t>234041</t>
  </si>
  <si>
    <t>220018</t>
  </si>
  <si>
    <t>241014</t>
  </si>
  <si>
    <t>236002</t>
  </si>
  <si>
    <t>404009</t>
  </si>
  <si>
    <t>220090</t>
  </si>
  <si>
    <t>234021</t>
  </si>
  <si>
    <t>236007</t>
  </si>
  <si>
    <t>231053</t>
  </si>
  <si>
    <t>330051</t>
  </si>
  <si>
    <t>310401</t>
  </si>
  <si>
    <t>300036</t>
  </si>
  <si>
    <t>112013</t>
  </si>
  <si>
    <t>114040</t>
  </si>
  <si>
    <t>247036</t>
  </si>
  <si>
    <t>108044</t>
  </si>
  <si>
    <t>108036</t>
  </si>
  <si>
    <t>106081</t>
  </si>
  <si>
    <t>111051</t>
  </si>
  <si>
    <t>251014</t>
  </si>
  <si>
    <t>111070</t>
  </si>
  <si>
    <t>247037</t>
  </si>
  <si>
    <t>220009</t>
  </si>
  <si>
    <t>116070</t>
  </si>
  <si>
    <t>112018</t>
  </si>
  <si>
    <t>220087</t>
  </si>
  <si>
    <t>100034</t>
  </si>
  <si>
    <t>928011</t>
  </si>
  <si>
    <t>114009</t>
  </si>
  <si>
    <t>238656</t>
  </si>
  <si>
    <t>234008</t>
  </si>
  <si>
    <t>806001</t>
  </si>
  <si>
    <t>530010</t>
  </si>
  <si>
    <t>406007</t>
  </si>
  <si>
    <t>238014</t>
  </si>
  <si>
    <t>236018</t>
  </si>
  <si>
    <t>234046</t>
  </si>
  <si>
    <t>251027</t>
  </si>
  <si>
    <t>239014</t>
  </si>
  <si>
    <t>333022</t>
  </si>
  <si>
    <t>231042</t>
  </si>
  <si>
    <t>242049</t>
  </si>
  <si>
    <t>251019</t>
  </si>
  <si>
    <t>238012</t>
  </si>
  <si>
    <t>242004</t>
  </si>
  <si>
    <t>243082</t>
  </si>
  <si>
    <t>411641</t>
  </si>
  <si>
    <t>302050</t>
  </si>
  <si>
    <t>434007</t>
  </si>
  <si>
    <t>241084</t>
  </si>
  <si>
    <t>241033</t>
  </si>
  <si>
    <t>414151</t>
  </si>
  <si>
    <t>648004</t>
  </si>
  <si>
    <t>235084</t>
  </si>
  <si>
    <t>361029</t>
  </si>
  <si>
    <t>334003</t>
  </si>
  <si>
    <t>320674</t>
  </si>
  <si>
    <t>350009</t>
  </si>
  <si>
    <t>369004</t>
  </si>
  <si>
    <t>231018</t>
  </si>
  <si>
    <t>420080</t>
  </si>
  <si>
    <t>363005</t>
  </si>
  <si>
    <t>363010</t>
  </si>
  <si>
    <t>300109</t>
  </si>
  <si>
    <t>420081</t>
  </si>
  <si>
    <t>420021</t>
  </si>
  <si>
    <t>429006</t>
  </si>
  <si>
    <t>973060</t>
  </si>
  <si>
    <t>422002</t>
  </si>
  <si>
    <t>435055</t>
  </si>
  <si>
    <t>116021</t>
  </si>
  <si>
    <t>231031</t>
  </si>
  <si>
    <t>237011</t>
  </si>
  <si>
    <t>970054</t>
  </si>
  <si>
    <t>112005</t>
  </si>
  <si>
    <t>234025</t>
  </si>
  <si>
    <t>830061</t>
  </si>
  <si>
    <t>231013</t>
  </si>
  <si>
    <t>970034</t>
  </si>
  <si>
    <t>248009</t>
  </si>
  <si>
    <t>239002</t>
  </si>
  <si>
    <t>508018</t>
  </si>
  <si>
    <t>330026</t>
  </si>
  <si>
    <t>236029</t>
  </si>
  <si>
    <t>242037</t>
  </si>
  <si>
    <t>234030</t>
  </si>
  <si>
    <t>435051</t>
  </si>
  <si>
    <t>429004</t>
  </si>
  <si>
    <t>428014</t>
  </si>
  <si>
    <t>434006</t>
  </si>
  <si>
    <t>422001</t>
  </si>
  <si>
    <t>432403</t>
  </si>
  <si>
    <t>432006</t>
  </si>
  <si>
    <t>407034</t>
  </si>
  <si>
    <t>413007</t>
  </si>
  <si>
    <t>402001</t>
  </si>
  <si>
    <t>401692</t>
  </si>
  <si>
    <t>427002</t>
  </si>
  <si>
    <t>406042</t>
  </si>
  <si>
    <t>404695</t>
  </si>
  <si>
    <t>433026</t>
  </si>
  <si>
    <t>412006</t>
  </si>
  <si>
    <t>414105</t>
  </si>
  <si>
    <t>434025</t>
  </si>
  <si>
    <t>413004</t>
  </si>
  <si>
    <t>420009</t>
  </si>
  <si>
    <t>420083</t>
  </si>
  <si>
    <t>421016</t>
  </si>
  <si>
    <t>432008</t>
  </si>
  <si>
    <t>432012</t>
  </si>
  <si>
    <t>427011</t>
  </si>
  <si>
    <t>412030</t>
  </si>
  <si>
    <t>420072</t>
  </si>
  <si>
    <t>251031</t>
  </si>
  <si>
    <t>236037</t>
  </si>
  <si>
    <t>500054</t>
  </si>
  <si>
    <t>220086</t>
  </si>
  <si>
    <t>242028</t>
  </si>
  <si>
    <t>236009</t>
  </si>
  <si>
    <t>242007</t>
  </si>
  <si>
    <t>402329</t>
  </si>
  <si>
    <t>220435</t>
  </si>
  <si>
    <t>220042</t>
  </si>
  <si>
    <t>236031</t>
  </si>
  <si>
    <t>403014</t>
  </si>
  <si>
    <t>247020</t>
  </si>
  <si>
    <t>302049</t>
  </si>
  <si>
    <t>220038</t>
  </si>
  <si>
    <t>310014</t>
  </si>
  <si>
    <t>500030</t>
  </si>
  <si>
    <t>104001</t>
  </si>
  <si>
    <t>821004</t>
  </si>
  <si>
    <t>300110</t>
  </si>
  <si>
    <t>412041</t>
  </si>
  <si>
    <t>412034</t>
  </si>
  <si>
    <t>300054</t>
  </si>
  <si>
    <t>406705</t>
  </si>
  <si>
    <t>350007</t>
  </si>
  <si>
    <t>351001</t>
  </si>
  <si>
    <t>356</t>
  </si>
  <si>
    <t>357003</t>
  </si>
  <si>
    <t>804059</t>
  </si>
  <si>
    <t>303120</t>
  </si>
  <si>
    <t>404010</t>
  </si>
  <si>
    <t>320010</t>
  </si>
  <si>
    <t>402015</t>
  </si>
  <si>
    <t>105075</t>
  </si>
  <si>
    <t>110403</t>
  </si>
  <si>
    <t>116004</t>
  </si>
  <si>
    <t>616</t>
  </si>
  <si>
    <t>261008</t>
  </si>
  <si>
    <t>330008</t>
  </si>
  <si>
    <t>260030</t>
  </si>
  <si>
    <t>260008</t>
  </si>
  <si>
    <t>269014</t>
  </si>
  <si>
    <t>270014</t>
  </si>
  <si>
    <t>429007</t>
  </si>
  <si>
    <t>412008</t>
  </si>
  <si>
    <t>428004</t>
  </si>
  <si>
    <t>411015</t>
  </si>
  <si>
    <t>408028</t>
  </si>
  <si>
    <t>502001</t>
  </si>
  <si>
    <t>434021</t>
  </si>
  <si>
    <t>429012</t>
  </si>
  <si>
    <t>434018</t>
  </si>
  <si>
    <t>428013</t>
  </si>
  <si>
    <t>427005</t>
  </si>
  <si>
    <t>433020</t>
  </si>
  <si>
    <t>406014</t>
  </si>
  <si>
    <t>420002</t>
  </si>
  <si>
    <t>545007</t>
  </si>
  <si>
    <t>404039</t>
  </si>
  <si>
    <t>435111</t>
  </si>
  <si>
    <t>421009</t>
  </si>
  <si>
    <t>265001</t>
  </si>
  <si>
    <t>502890</t>
  </si>
  <si>
    <t>261002</t>
  </si>
  <si>
    <t>807013</t>
  </si>
  <si>
    <t>401022</t>
  </si>
  <si>
    <t>407053</t>
  </si>
  <si>
    <t>401003</t>
  </si>
  <si>
    <t>433014</t>
  </si>
  <si>
    <t>428011</t>
  </si>
  <si>
    <t>408010</t>
  </si>
  <si>
    <t>112028</t>
  </si>
  <si>
    <t>221033</t>
  </si>
  <si>
    <t>420012</t>
  </si>
  <si>
    <t>242052</t>
  </si>
  <si>
    <t>403031</t>
  </si>
  <si>
    <t>326021</t>
  </si>
  <si>
    <t>411034</t>
  </si>
  <si>
    <t>436036</t>
  </si>
  <si>
    <t>403002</t>
  </si>
  <si>
    <t>427009</t>
  </si>
  <si>
    <t>420078</t>
  </si>
  <si>
    <t>427018</t>
  </si>
  <si>
    <t>437004</t>
  </si>
  <si>
    <t>251032</t>
  </si>
  <si>
    <t>404030</t>
  </si>
  <si>
    <t>411041</t>
  </si>
  <si>
    <t>406054</t>
  </si>
  <si>
    <t>404002</t>
  </si>
  <si>
    <t>411016</t>
  </si>
  <si>
    <t>110068</t>
  </si>
  <si>
    <t>435053</t>
  </si>
  <si>
    <t>498500</t>
  </si>
  <si>
    <t>807066</t>
  </si>
  <si>
    <t>412009</t>
  </si>
  <si>
    <t>406030</t>
  </si>
  <si>
    <t>401017</t>
  </si>
  <si>
    <t>406629</t>
  </si>
  <si>
    <t>402013</t>
  </si>
  <si>
    <t>411021</t>
  </si>
  <si>
    <t>402009</t>
  </si>
  <si>
    <t>408</t>
  </si>
  <si>
    <t>427205</t>
  </si>
  <si>
    <t>406604</t>
  </si>
  <si>
    <t>406026</t>
  </si>
  <si>
    <t>411018</t>
  </si>
  <si>
    <t>404025</t>
  </si>
  <si>
    <t>408032</t>
  </si>
  <si>
    <t>435052</t>
  </si>
  <si>
    <t>412018</t>
  </si>
  <si>
    <t>221043</t>
  </si>
  <si>
    <t>108040</t>
  </si>
  <si>
    <t>320021</t>
  </si>
  <si>
    <t>330028</t>
  </si>
  <si>
    <t>302057</t>
  </si>
  <si>
    <t>744092</t>
  </si>
  <si>
    <t>328013</t>
  </si>
  <si>
    <t>300031</t>
  </si>
  <si>
    <t>324034</t>
  </si>
  <si>
    <t>330012</t>
  </si>
  <si>
    <t>337009</t>
  </si>
  <si>
    <t>608010</t>
  </si>
  <si>
    <t>350006</t>
  </si>
  <si>
    <t>702014</t>
  </si>
  <si>
    <t>406043</t>
  </si>
  <si>
    <t>434009</t>
  </si>
  <si>
    <t>360004</t>
  </si>
  <si>
    <t>970001</t>
  </si>
  <si>
    <t>356008</t>
  </si>
  <si>
    <t>412010</t>
  </si>
  <si>
    <t>436034</t>
  </si>
  <si>
    <t>320005</t>
  </si>
  <si>
    <t>401021</t>
  </si>
  <si>
    <t>351029</t>
  </si>
  <si>
    <t>111044</t>
  </si>
  <si>
    <t>111024</t>
  </si>
  <si>
    <t>351015</t>
  </si>
  <si>
    <t>320015</t>
  </si>
  <si>
    <t>408027</t>
  </si>
  <si>
    <t>503008</t>
  </si>
  <si>
    <t>234010</t>
  </si>
  <si>
    <t>251028</t>
  </si>
  <si>
    <t>708016</t>
  </si>
  <si>
    <t>247009</t>
  </si>
  <si>
    <t>411014</t>
  </si>
  <si>
    <t>833168</t>
  </si>
  <si>
    <t>420016</t>
  </si>
  <si>
    <t>105053</t>
  </si>
  <si>
    <t>435057</t>
  </si>
  <si>
    <t>324004</t>
  </si>
  <si>
    <t>320009</t>
  </si>
  <si>
    <t>500046</t>
  </si>
  <si>
    <t>320013</t>
  </si>
  <si>
    <t>435058</t>
  </si>
  <si>
    <t>558001</t>
  </si>
  <si>
    <t>807080</t>
  </si>
  <si>
    <t>722001</t>
  </si>
  <si>
    <t>741011</t>
  </si>
  <si>
    <t>893017</t>
  </si>
  <si>
    <t>114010</t>
  </si>
  <si>
    <t>833163</t>
  </si>
  <si>
    <t>710647</t>
  </si>
  <si>
    <t>714005</t>
  </si>
  <si>
    <t>714003</t>
  </si>
  <si>
    <t>812043</t>
  </si>
  <si>
    <t>704019</t>
  </si>
  <si>
    <t>700020</t>
  </si>
  <si>
    <t>338218</t>
  </si>
  <si>
    <t>436040</t>
  </si>
  <si>
    <t>235023</t>
  </si>
  <si>
    <t>300078</t>
  </si>
  <si>
    <t>104094</t>
  </si>
  <si>
    <t>104030</t>
  </si>
  <si>
    <t>702004</t>
  </si>
  <si>
    <t>852005</t>
  </si>
  <si>
    <t>842056</t>
  </si>
  <si>
    <t>842045</t>
  </si>
  <si>
    <t>832013</t>
  </si>
  <si>
    <t>813781</t>
  </si>
  <si>
    <t>741012</t>
  </si>
  <si>
    <t>820005</t>
  </si>
  <si>
    <t>824004</t>
  </si>
  <si>
    <t>826005</t>
  </si>
  <si>
    <t>220053</t>
  </si>
  <si>
    <t>411640</t>
  </si>
  <si>
    <t>920004</t>
  </si>
  <si>
    <t>500035</t>
  </si>
  <si>
    <t>632105</t>
  </si>
  <si>
    <t>508002</t>
  </si>
  <si>
    <t>504001</t>
  </si>
  <si>
    <t>510037</t>
  </si>
  <si>
    <t>527003</t>
  </si>
  <si>
    <t>505028</t>
  </si>
  <si>
    <t>508013</t>
  </si>
  <si>
    <t>510015</t>
  </si>
  <si>
    <t>821010</t>
  </si>
  <si>
    <t>432010</t>
  </si>
  <si>
    <t>806607</t>
  </si>
  <si>
    <t>247007</t>
  </si>
  <si>
    <t>717010</t>
  </si>
  <si>
    <t>320680</t>
  </si>
  <si>
    <t>402022</t>
  </si>
  <si>
    <t>239003</t>
  </si>
  <si>
    <t>820113</t>
  </si>
  <si>
    <t>500026</t>
  </si>
  <si>
    <t>328014</t>
  </si>
  <si>
    <t>326002</t>
  </si>
  <si>
    <t>820003</t>
  </si>
  <si>
    <t>500059</t>
  </si>
  <si>
    <t>116078</t>
  </si>
  <si>
    <t>717007</t>
  </si>
  <si>
    <t>709012</t>
  </si>
  <si>
    <t>720001</t>
  </si>
  <si>
    <t>324028</t>
  </si>
  <si>
    <t>710039</t>
  </si>
  <si>
    <t>717001</t>
  </si>
  <si>
    <t>710053</t>
  </si>
  <si>
    <t>710010</t>
  </si>
  <si>
    <t>701041</t>
  </si>
  <si>
    <t>709027</t>
  </si>
  <si>
    <t>830062</t>
  </si>
  <si>
    <t>831132</t>
  </si>
  <si>
    <t>807039</t>
  </si>
  <si>
    <t>811016</t>
  </si>
  <si>
    <t>820001</t>
  </si>
  <si>
    <t>333613</t>
  </si>
  <si>
    <t>833401</t>
  </si>
  <si>
    <t>545018</t>
  </si>
  <si>
    <t>432007</t>
  </si>
  <si>
    <t>420018</t>
  </si>
  <si>
    <t>545008</t>
  </si>
  <si>
    <t>320044</t>
  </si>
  <si>
    <t>412015</t>
  </si>
  <si>
    <t>900030</t>
  </si>
  <si>
    <t>235049</t>
  </si>
  <si>
    <t>643001</t>
  </si>
  <si>
    <t>730010</t>
  </si>
  <si>
    <t>702006</t>
  </si>
  <si>
    <t>813011</t>
  </si>
  <si>
    <t>427020</t>
  </si>
  <si>
    <t>407043</t>
  </si>
  <si>
    <t>350005</t>
  </si>
  <si>
    <t>800013</t>
  </si>
  <si>
    <t>540001</t>
  </si>
  <si>
    <t>900007</t>
  </si>
  <si>
    <t>640008</t>
  </si>
  <si>
    <t>428017</t>
  </si>
  <si>
    <t>320065</t>
  </si>
  <si>
    <t>528</t>
  </si>
  <si>
    <t>649103</t>
  </si>
  <si>
    <t>437010</t>
  </si>
  <si>
    <t>106035</t>
  </si>
  <si>
    <t>709034</t>
  </si>
  <si>
    <t>438</t>
  </si>
  <si>
    <t>637001</t>
  </si>
  <si>
    <t>402336</t>
  </si>
  <si>
    <t>421002</t>
  </si>
  <si>
    <t>433013</t>
  </si>
  <si>
    <t>110069</t>
  </si>
  <si>
    <t>640003</t>
  </si>
  <si>
    <t>505023</t>
  </si>
  <si>
    <t>426132</t>
  </si>
  <si>
    <t>621014</t>
  </si>
  <si>
    <t>600019</t>
  </si>
  <si>
    <t>820010</t>
  </si>
  <si>
    <t>625001</t>
  </si>
  <si>
    <t>621001</t>
  </si>
  <si>
    <t>300081</t>
  </si>
  <si>
    <t>244015</t>
  </si>
  <si>
    <t>813776</t>
  </si>
  <si>
    <t>600027</t>
  </si>
  <si>
    <t>717023</t>
  </si>
  <si>
    <t>247003</t>
  </si>
  <si>
    <t>545014</t>
  </si>
  <si>
    <t>717020</t>
  </si>
  <si>
    <t>970010</t>
  </si>
  <si>
    <t>327</t>
  </si>
  <si>
    <t>106024</t>
  </si>
  <si>
    <t>900031</t>
  </si>
  <si>
    <t>300037</t>
  </si>
  <si>
    <t>238002</t>
  </si>
  <si>
    <t>234018</t>
  </si>
  <si>
    <t>324031</t>
  </si>
  <si>
    <t>407049</t>
  </si>
  <si>
    <t>362002</t>
  </si>
  <si>
    <t>811004</t>
  </si>
  <si>
    <t>403520</t>
  </si>
  <si>
    <t>911163</t>
  </si>
  <si>
    <t>730013</t>
  </si>
  <si>
    <t>420003</t>
  </si>
  <si>
    <t>973063</t>
  </si>
  <si>
    <t>701005</t>
  </si>
  <si>
    <t>825009</t>
  </si>
  <si>
    <t>404034</t>
  </si>
  <si>
    <t>500029</t>
  </si>
  <si>
    <t>950025</t>
  </si>
  <si>
    <t>324010</t>
  </si>
  <si>
    <t>807009</t>
  </si>
  <si>
    <t>812031</t>
  </si>
  <si>
    <t>804305</t>
  </si>
  <si>
    <t>811008</t>
  </si>
  <si>
    <t>504003</t>
  </si>
  <si>
    <t>437007</t>
  </si>
  <si>
    <t>330030</t>
  </si>
  <si>
    <t>908125</t>
  </si>
  <si>
    <t>900029</t>
  </si>
  <si>
    <t>406614</t>
  </si>
  <si>
    <t>612012</t>
  </si>
  <si>
    <t>812015</t>
  </si>
  <si>
    <t>830069</t>
  </si>
  <si>
    <t>830048</t>
  </si>
  <si>
    <t>800011</t>
  </si>
  <si>
    <t>437013</t>
  </si>
  <si>
    <t>411028</t>
  </si>
  <si>
    <t>970023</t>
  </si>
  <si>
    <t>500045</t>
  </si>
  <si>
    <t>807034</t>
  </si>
  <si>
    <t>621007</t>
  </si>
  <si>
    <t>700280</t>
  </si>
  <si>
    <t>732004</t>
  </si>
  <si>
    <t>732</t>
  </si>
  <si>
    <t>326015</t>
  </si>
  <si>
    <t>721004</t>
  </si>
  <si>
    <t>735003</t>
  </si>
  <si>
    <t>402362</t>
  </si>
  <si>
    <t>807010</t>
  </si>
  <si>
    <t>744006</t>
  </si>
  <si>
    <t>708014</t>
  </si>
  <si>
    <t>717021</t>
  </si>
  <si>
    <t>815008</t>
  </si>
  <si>
    <t>732006</t>
  </si>
  <si>
    <t>500666</t>
  </si>
  <si>
    <t>413009</t>
  </si>
  <si>
    <t>744008</t>
  </si>
  <si>
    <t>710051</t>
  </si>
  <si>
    <t>421003</t>
  </si>
  <si>
    <t>429009</t>
  </si>
  <si>
    <t>407044</t>
  </si>
  <si>
    <t>247001</t>
  </si>
  <si>
    <t>206007</t>
  </si>
  <si>
    <t>300098</t>
  </si>
  <si>
    <t>407038</t>
  </si>
  <si>
    <t>412037</t>
  </si>
  <si>
    <t>248010</t>
  </si>
  <si>
    <t>900014</t>
  </si>
  <si>
    <t>407025</t>
  </si>
  <si>
    <t>406635</t>
  </si>
  <si>
    <t>806036</t>
  </si>
  <si>
    <t>811026</t>
  </si>
  <si>
    <t>814014</t>
  </si>
  <si>
    <t>714001</t>
  </si>
  <si>
    <t>602001</t>
  </si>
  <si>
    <t>330009</t>
  </si>
  <si>
    <t>513004</t>
  </si>
  <si>
    <t>111050</t>
  </si>
  <si>
    <t>718002</t>
  </si>
  <si>
    <t>821002</t>
  </si>
  <si>
    <t>108027</t>
  </si>
  <si>
    <t>235019</t>
  </si>
  <si>
    <t>722004</t>
  </si>
  <si>
    <t>704020</t>
  </si>
  <si>
    <t>600046</t>
  </si>
  <si>
    <t>310021</t>
  </si>
  <si>
    <t>407028</t>
  </si>
  <si>
    <t>300061</t>
  </si>
  <si>
    <t>811010</t>
  </si>
  <si>
    <t>600030</t>
  </si>
  <si>
    <t>320055</t>
  </si>
  <si>
    <t>420086</t>
  </si>
  <si>
    <t>500055</t>
  </si>
  <si>
    <t>407041</t>
  </si>
  <si>
    <t>433004</t>
  </si>
  <si>
    <t>300056</t>
  </si>
  <si>
    <t>500032</t>
  </si>
  <si>
    <t>338219</t>
  </si>
  <si>
    <t>235081</t>
  </si>
  <si>
    <t>710044</t>
  </si>
  <si>
    <t>265006</t>
  </si>
  <si>
    <t>436108</t>
  </si>
  <si>
    <t>411012</t>
  </si>
  <si>
    <t>412032</t>
  </si>
  <si>
    <t>701046</t>
  </si>
  <si>
    <t>300075</t>
  </si>
  <si>
    <t>970018</t>
  </si>
  <si>
    <t>330032</t>
  </si>
  <si>
    <t>421005</t>
  </si>
  <si>
    <t>360010</t>
  </si>
  <si>
    <t>700005</t>
  </si>
  <si>
    <t>893012</t>
  </si>
  <si>
    <t>420006</t>
  </si>
  <si>
    <t>940004</t>
  </si>
  <si>
    <t>412039</t>
  </si>
  <si>
    <t>324019</t>
  </si>
  <si>
    <t>231062</t>
  </si>
  <si>
    <t>806023</t>
  </si>
  <si>
    <t>351030</t>
  </si>
  <si>
    <t>413003</t>
  </si>
  <si>
    <t>709010</t>
  </si>
  <si>
    <t>830007</t>
  </si>
  <si>
    <t>114052</t>
  </si>
  <si>
    <t>110027</t>
  </si>
  <si>
    <t>820007</t>
  </si>
  <si>
    <t>653005</t>
  </si>
  <si>
    <t>830006</t>
  </si>
  <si>
    <t>116023</t>
  </si>
  <si>
    <t>326003</t>
  </si>
  <si>
    <t>802002</t>
  </si>
  <si>
    <t>500004</t>
  </si>
  <si>
    <t>115026</t>
  </si>
  <si>
    <t>234601</t>
  </si>
  <si>
    <t>106090</t>
  </si>
  <si>
    <t>406047</t>
  </si>
  <si>
    <t>110015</t>
  </si>
  <si>
    <t>500043</t>
  </si>
  <si>
    <t>733012</t>
  </si>
  <si>
    <t>718004</t>
  </si>
  <si>
    <t>402010</t>
  </si>
  <si>
    <t>726004</t>
  </si>
  <si>
    <t>710054</t>
  </si>
  <si>
    <t>710025</t>
  </si>
  <si>
    <t>802012</t>
  </si>
  <si>
    <t>105038</t>
  </si>
  <si>
    <t>734043</t>
  </si>
  <si>
    <t>701039</t>
  </si>
  <si>
    <t>801003</t>
  </si>
  <si>
    <t>704008</t>
  </si>
  <si>
    <t>830065</t>
  </si>
  <si>
    <t>735002</t>
  </si>
  <si>
    <t>710019</t>
  </si>
  <si>
    <t>406051</t>
  </si>
  <si>
    <t>427313</t>
  </si>
  <si>
    <t>411039</t>
  </si>
  <si>
    <t>541014</t>
  </si>
  <si>
    <t>551002</t>
  </si>
  <si>
    <t>545021</t>
  </si>
  <si>
    <t>900025</t>
  </si>
  <si>
    <t>406622</t>
  </si>
  <si>
    <t>540030</t>
  </si>
  <si>
    <t>820117</t>
  </si>
  <si>
    <t>540026</t>
  </si>
  <si>
    <t>500008</t>
  </si>
  <si>
    <t>540031</t>
  </si>
  <si>
    <t>406024</t>
  </si>
  <si>
    <t>540025</t>
  </si>
  <si>
    <t>437105</t>
  </si>
  <si>
    <t>557022</t>
  </si>
  <si>
    <t>235034</t>
  </si>
  <si>
    <t>852006</t>
  </si>
  <si>
    <t>820002</t>
  </si>
  <si>
    <t>843002</t>
  </si>
  <si>
    <t>920006</t>
  </si>
  <si>
    <t>203006</t>
  </si>
  <si>
    <t>831</t>
  </si>
  <si>
    <t>108008</t>
  </si>
  <si>
    <t>840009</t>
  </si>
  <si>
    <t>830122</t>
  </si>
  <si>
    <t>401691</t>
  </si>
  <si>
    <t>710049</t>
  </si>
  <si>
    <t>709030</t>
  </si>
  <si>
    <t>800005</t>
  </si>
  <si>
    <t>406056</t>
  </si>
  <si>
    <t>900045</t>
  </si>
  <si>
    <t>427019</t>
  </si>
  <si>
    <t>414176</t>
  </si>
  <si>
    <t>613005</t>
  </si>
  <si>
    <t>436031</t>
  </si>
  <si>
    <t>411023</t>
  </si>
  <si>
    <t>350003</t>
  </si>
  <si>
    <t>435056</t>
  </si>
  <si>
    <t>970011</t>
  </si>
  <si>
    <t>970005</t>
  </si>
  <si>
    <t>970008</t>
  </si>
  <si>
    <t>325002</t>
  </si>
  <si>
    <t>962001</t>
  </si>
  <si>
    <t>831127</t>
  </si>
  <si>
    <t>606013</t>
  </si>
  <si>
    <t>608016</t>
  </si>
  <si>
    <t>600067</t>
  </si>
  <si>
    <t>106042</t>
  </si>
  <si>
    <t>406706</t>
  </si>
  <si>
    <t>414114</t>
  </si>
  <si>
    <t>428019</t>
  </si>
  <si>
    <t>429001</t>
  </si>
  <si>
    <t>325026</t>
  </si>
  <si>
    <t>241041</t>
  </si>
  <si>
    <t>334020</t>
  </si>
  <si>
    <t>908123</t>
  </si>
  <si>
    <t>840010</t>
  </si>
  <si>
    <t>825003</t>
  </si>
  <si>
    <t>326029</t>
  </si>
  <si>
    <t>651003</t>
  </si>
  <si>
    <t>114021</t>
  </si>
  <si>
    <t>631042</t>
  </si>
  <si>
    <t>508001</t>
  </si>
  <si>
    <t>510003</t>
  </si>
  <si>
    <t>503011</t>
  </si>
  <si>
    <t>235027</t>
  </si>
  <si>
    <t>432004</t>
  </si>
  <si>
    <t>514002</t>
  </si>
  <si>
    <t>500036</t>
  </si>
  <si>
    <t>505015</t>
  </si>
  <si>
    <t>408014</t>
  </si>
  <si>
    <t>512007</t>
  </si>
  <si>
    <t>500023</t>
  </si>
  <si>
    <t>500024</t>
  </si>
  <si>
    <t>510036</t>
  </si>
  <si>
    <t>508017</t>
  </si>
  <si>
    <t>502004</t>
  </si>
  <si>
    <t>411003</t>
  </si>
  <si>
    <t>111028</t>
  </si>
  <si>
    <t>330023</t>
  </si>
  <si>
    <t>807070</t>
  </si>
  <si>
    <t>231064</t>
  </si>
  <si>
    <t>221011</t>
  </si>
  <si>
    <t>114013</t>
  </si>
  <si>
    <t>320675</t>
  </si>
  <si>
    <t>247026</t>
  </si>
  <si>
    <t>434016</t>
  </si>
  <si>
    <t>832001</t>
  </si>
  <si>
    <t>920003</t>
  </si>
  <si>
    <t>831124</t>
  </si>
  <si>
    <t>974004</t>
  </si>
  <si>
    <t>413008</t>
  </si>
  <si>
    <t>200012</t>
  </si>
  <si>
    <t>913004</t>
  </si>
  <si>
    <t>406027</t>
  </si>
  <si>
    <t>302048</t>
  </si>
  <si>
    <t>412021</t>
  </si>
  <si>
    <t>825001</t>
  </si>
  <si>
    <t>434012</t>
  </si>
  <si>
    <t>110042</t>
  </si>
  <si>
    <t>330056</t>
  </si>
  <si>
    <t>830026</t>
  </si>
  <si>
    <t>221022</t>
  </si>
  <si>
    <t>112006</t>
  </si>
  <si>
    <t>820110</t>
  </si>
  <si>
    <t>830060</t>
  </si>
  <si>
    <t>730002</t>
  </si>
  <si>
    <t>701029</t>
  </si>
  <si>
    <t>403472</t>
  </si>
  <si>
    <t>500051</t>
  </si>
  <si>
    <t>236015</t>
  </si>
  <si>
    <t>970003</t>
  </si>
  <si>
    <t>115016</t>
  </si>
  <si>
    <t>815004</t>
  </si>
  <si>
    <t>337002</t>
  </si>
  <si>
    <t>812017</t>
  </si>
  <si>
    <t>950004</t>
  </si>
  <si>
    <t>893018</t>
  </si>
  <si>
    <t>812019</t>
  </si>
  <si>
    <t>802664</t>
  </si>
  <si>
    <t>498546</t>
  </si>
  <si>
    <t>412038</t>
  </si>
  <si>
    <t>112042</t>
  </si>
  <si>
    <t>540005</t>
  </si>
  <si>
    <t>326026</t>
  </si>
  <si>
    <t>654026</t>
  </si>
  <si>
    <t>501380</t>
  </si>
  <si>
    <t>701034</t>
  </si>
  <si>
    <t>633002</t>
  </si>
  <si>
    <t>320027</t>
  </si>
  <si>
    <t>700010</t>
  </si>
  <si>
    <t>831118</t>
  </si>
  <si>
    <t>241034</t>
  </si>
  <si>
    <t>821008</t>
  </si>
  <si>
    <t>702017</t>
  </si>
  <si>
    <t>526016</t>
  </si>
  <si>
    <t>526015</t>
  </si>
  <si>
    <t>406009</t>
  </si>
  <si>
    <t>508004</t>
  </si>
  <si>
    <t>508008</t>
  </si>
  <si>
    <t>300002</t>
  </si>
  <si>
    <t>404038</t>
  </si>
  <si>
    <t>912019</t>
  </si>
  <si>
    <t>709041</t>
  </si>
  <si>
    <t>552002</t>
  </si>
  <si>
    <t>546031</t>
  </si>
  <si>
    <t>557005</t>
  </si>
  <si>
    <t>500007</t>
  </si>
  <si>
    <t>500013</t>
  </si>
  <si>
    <t>505007</t>
  </si>
  <si>
    <t>508006</t>
  </si>
  <si>
    <t>514004</t>
  </si>
  <si>
    <t>514008</t>
  </si>
  <si>
    <t>241011</t>
  </si>
  <si>
    <t>515004</t>
  </si>
  <si>
    <t>304113</t>
  </si>
  <si>
    <t>526021</t>
  </si>
  <si>
    <t>648001</t>
  </si>
  <si>
    <t>900069</t>
  </si>
  <si>
    <t>900061</t>
  </si>
  <si>
    <t>110012</t>
  </si>
  <si>
    <t>907101</t>
  </si>
  <si>
    <t>904010</t>
  </si>
  <si>
    <t>812011</t>
  </si>
  <si>
    <t>300112</t>
  </si>
  <si>
    <t>900063</t>
  </si>
  <si>
    <t>420075</t>
  </si>
  <si>
    <t>300041</t>
  </si>
  <si>
    <t>928004</t>
  </si>
  <si>
    <t>924004</t>
  </si>
  <si>
    <t>932013</t>
  </si>
  <si>
    <t>923016</t>
  </si>
  <si>
    <t>913008</t>
  </si>
  <si>
    <t>928001</t>
  </si>
  <si>
    <t>913007</t>
  </si>
  <si>
    <t>330046</t>
  </si>
  <si>
    <t>408408</t>
  </si>
  <si>
    <t>900041</t>
  </si>
  <si>
    <t>300015</t>
  </si>
  <si>
    <t>433106</t>
  </si>
  <si>
    <t>241069</t>
  </si>
  <si>
    <t>112020</t>
  </si>
  <si>
    <t>702018</t>
  </si>
  <si>
    <t>407017</t>
  </si>
  <si>
    <t>406013</t>
  </si>
  <si>
    <t>704018</t>
  </si>
  <si>
    <t>235004</t>
  </si>
  <si>
    <t>946001</t>
  </si>
  <si>
    <t>247030</t>
  </si>
  <si>
    <t>503005</t>
  </si>
  <si>
    <t>505029</t>
  </si>
  <si>
    <t>500037</t>
  </si>
  <si>
    <t>522013</t>
  </si>
  <si>
    <t>242074</t>
  </si>
  <si>
    <t>514006</t>
  </si>
  <si>
    <t>500001</t>
  </si>
  <si>
    <t>505022</t>
  </si>
  <si>
    <t>504002</t>
  </si>
  <si>
    <t>503009</t>
  </si>
  <si>
    <t>504004</t>
  </si>
  <si>
    <t>508005</t>
  </si>
  <si>
    <t>500027</t>
  </si>
  <si>
    <t>423013</t>
  </si>
  <si>
    <t>505003</t>
  </si>
  <si>
    <t>432009</t>
  </si>
  <si>
    <t>508003</t>
  </si>
  <si>
    <t>500039</t>
  </si>
  <si>
    <t>524004</t>
  </si>
  <si>
    <t>506020</t>
  </si>
  <si>
    <t>640009</t>
  </si>
  <si>
    <t>521054</t>
  </si>
  <si>
    <t>913003</t>
  </si>
  <si>
    <t>826002</t>
  </si>
  <si>
    <t>912012</t>
  </si>
  <si>
    <t>814026</t>
  </si>
  <si>
    <t>804306</t>
  </si>
  <si>
    <t>807007</t>
  </si>
  <si>
    <t>920010</t>
  </si>
  <si>
    <t>913006</t>
  </si>
  <si>
    <t>900065</t>
  </si>
  <si>
    <t>700016</t>
  </si>
  <si>
    <t>337018</t>
  </si>
  <si>
    <t>973038</t>
  </si>
  <si>
    <t>830057</t>
  </si>
  <si>
    <t>814</t>
  </si>
  <si>
    <t>702030</t>
  </si>
  <si>
    <t>829003</t>
  </si>
  <si>
    <t>438004</t>
  </si>
  <si>
    <t>718005</t>
  </si>
  <si>
    <t>802028</t>
  </si>
  <si>
    <t>802043</t>
  </si>
  <si>
    <t>830053</t>
  </si>
  <si>
    <t>401016</t>
  </si>
  <si>
    <t>807051</t>
  </si>
  <si>
    <t>900002</t>
  </si>
  <si>
    <t>526004</t>
  </si>
  <si>
    <t>506011</t>
  </si>
  <si>
    <t>500019</t>
  </si>
  <si>
    <t>510005</t>
  </si>
  <si>
    <t>503003</t>
  </si>
  <si>
    <t>507004</t>
  </si>
  <si>
    <t>508010</t>
  </si>
  <si>
    <t>802024</t>
  </si>
  <si>
    <t>437008</t>
  </si>
  <si>
    <t>522012</t>
  </si>
  <si>
    <t>908121</t>
  </si>
  <si>
    <t>830009</t>
  </si>
  <si>
    <t>237009</t>
  </si>
  <si>
    <t>433105</t>
  </si>
  <si>
    <t>508014</t>
  </si>
  <si>
    <t>412013</t>
  </si>
  <si>
    <t>514012</t>
  </si>
  <si>
    <t>411010</t>
  </si>
  <si>
    <t>236040</t>
  </si>
  <si>
    <t>433001</t>
  </si>
  <si>
    <t>420020</t>
  </si>
  <si>
    <t>429008</t>
  </si>
  <si>
    <t>423011</t>
  </si>
  <si>
    <t>407003</t>
  </si>
  <si>
    <t>437003</t>
  </si>
  <si>
    <t>505017</t>
  </si>
  <si>
    <t>833</t>
  </si>
  <si>
    <t>407004</t>
  </si>
  <si>
    <t>822008</t>
  </si>
  <si>
    <t>829005</t>
  </si>
  <si>
    <t>830042</t>
  </si>
  <si>
    <t>826006</t>
  </si>
  <si>
    <t>830659</t>
  </si>
  <si>
    <t>833162</t>
  </si>
  <si>
    <t>702016</t>
  </si>
  <si>
    <t>235605</t>
  </si>
  <si>
    <t>110059</t>
  </si>
  <si>
    <t>235079</t>
  </si>
  <si>
    <t>236011</t>
  </si>
  <si>
    <t>334</t>
  </si>
  <si>
    <t>251009</t>
  </si>
  <si>
    <t>241059</t>
  </si>
  <si>
    <t>412012</t>
  </si>
  <si>
    <t>811024</t>
  </si>
  <si>
    <t>243088</t>
  </si>
  <si>
    <t>434023</t>
  </si>
  <si>
    <t>114006</t>
  </si>
  <si>
    <t>414044</t>
  </si>
  <si>
    <t>500041</t>
  </si>
  <si>
    <t>404040</t>
  </si>
  <si>
    <t>403578</t>
  </si>
  <si>
    <t>832014</t>
  </si>
  <si>
    <t>202007</t>
  </si>
  <si>
    <t>228001</t>
  </si>
  <si>
    <t>243078</t>
  </si>
  <si>
    <t>103033</t>
  </si>
  <si>
    <t>305045</t>
  </si>
  <si>
    <t>242038</t>
  </si>
  <si>
    <t>305041</t>
  </si>
  <si>
    <t>704029</t>
  </si>
  <si>
    <t>704014</t>
  </si>
  <si>
    <t>704026</t>
  </si>
  <si>
    <t>813780</t>
  </si>
  <si>
    <t>813004</t>
  </si>
  <si>
    <t>807061</t>
  </si>
  <si>
    <t>800016</t>
  </si>
  <si>
    <t>920013</t>
  </si>
  <si>
    <t>333033</t>
  </si>
  <si>
    <t>324603</t>
  </si>
  <si>
    <t>946003</t>
  </si>
  <si>
    <t>325007</t>
  </si>
  <si>
    <t>320060</t>
  </si>
  <si>
    <t>420001</t>
  </si>
  <si>
    <t>426014</t>
  </si>
  <si>
    <t>406028</t>
  </si>
  <si>
    <t>428006</t>
  </si>
  <si>
    <t>437014</t>
  </si>
  <si>
    <t>358011</t>
  </si>
  <si>
    <t>545005</t>
  </si>
  <si>
    <t>604005</t>
  </si>
  <si>
    <t>600063</t>
  </si>
  <si>
    <t>420019</t>
  </si>
  <si>
    <t>811030</t>
  </si>
  <si>
    <t>812034</t>
  </si>
  <si>
    <t>806025</t>
  </si>
  <si>
    <t>334624</t>
  </si>
  <si>
    <t>231065</t>
  </si>
  <si>
    <t>234043</t>
  </si>
  <si>
    <t>369005</t>
  </si>
  <si>
    <t>351004</t>
  </si>
  <si>
    <t>350026</t>
  </si>
  <si>
    <t>320064</t>
  </si>
  <si>
    <t>326012</t>
  </si>
  <si>
    <t>350025</t>
  </si>
  <si>
    <t>727008</t>
  </si>
  <si>
    <t>320012</t>
  </si>
  <si>
    <t>333027</t>
  </si>
  <si>
    <t>500044</t>
  </si>
  <si>
    <t>503004</t>
  </si>
  <si>
    <t>710032</t>
  </si>
  <si>
    <t>710056</t>
  </si>
  <si>
    <t>722005</t>
  </si>
  <si>
    <t>701007</t>
  </si>
  <si>
    <t>830039</t>
  </si>
  <si>
    <t>220082</t>
  </si>
  <si>
    <t>813778</t>
  </si>
  <si>
    <t>710038</t>
  </si>
  <si>
    <t>820104</t>
  </si>
  <si>
    <t>406639</t>
  </si>
  <si>
    <t>542010</t>
  </si>
  <si>
    <t>502003</t>
  </si>
  <si>
    <t>406021</t>
  </si>
  <si>
    <t>702</t>
  </si>
  <si>
    <t>540006</t>
  </si>
  <si>
    <t>402324</t>
  </si>
  <si>
    <t>434017</t>
  </si>
  <si>
    <t>401007</t>
  </si>
  <si>
    <t>636001</t>
  </si>
  <si>
    <t>704025</t>
  </si>
  <si>
    <t>242009</t>
  </si>
  <si>
    <t>242606</t>
  </si>
  <si>
    <t>E:\DATA\PNTJOB\WPR\0093_0650_7522_0040_7018.wpr</t>
  </si>
  <si>
    <t>500318</t>
  </si>
  <si>
    <t>500322</t>
  </si>
  <si>
    <t>351003</t>
  </si>
  <si>
    <t>500324</t>
  </si>
  <si>
    <t>500327</t>
  </si>
  <si>
    <t>501465</t>
  </si>
  <si>
    <t>501466</t>
  </si>
  <si>
    <t>501472</t>
  </si>
  <si>
    <t>501473</t>
  </si>
  <si>
    <t>501474</t>
  </si>
  <si>
    <t>501475</t>
  </si>
  <si>
    <t>501481</t>
  </si>
  <si>
    <t>403023</t>
  </si>
  <si>
    <t>501482</t>
  </si>
  <si>
    <t>940008</t>
  </si>
  <si>
    <t>501487</t>
  </si>
  <si>
    <t>501488</t>
  </si>
  <si>
    <t>501492</t>
  </si>
  <si>
    <t>501495</t>
  </si>
  <si>
    <t>501496</t>
  </si>
  <si>
    <t>501499</t>
  </si>
  <si>
    <t>435054</t>
  </si>
  <si>
    <t>501500</t>
  </si>
  <si>
    <t>521933</t>
  </si>
  <si>
    <t>501503</t>
  </si>
  <si>
    <t>501507</t>
  </si>
  <si>
    <t>501511</t>
  </si>
  <si>
    <t>501512</t>
  </si>
  <si>
    <t>501515</t>
  </si>
  <si>
    <t>300066</t>
  </si>
  <si>
    <t>501521</t>
  </si>
  <si>
    <t>501525</t>
  </si>
  <si>
    <t>412014</t>
  </si>
  <si>
    <t>501526</t>
  </si>
  <si>
    <t>501534</t>
  </si>
  <si>
    <t>501535</t>
  </si>
  <si>
    <t>423001</t>
  </si>
  <si>
    <t>501538</t>
  </si>
  <si>
    <t>501539</t>
  </si>
  <si>
    <t>501543</t>
  </si>
  <si>
    <t>501553</t>
  </si>
  <si>
    <t>501554</t>
  </si>
  <si>
    <t>436109</t>
  </si>
  <si>
    <t>501558</t>
  </si>
  <si>
    <t>501562</t>
  </si>
  <si>
    <t>501563</t>
  </si>
  <si>
    <t>501566</t>
  </si>
  <si>
    <t>420219</t>
  </si>
  <si>
    <t>501567</t>
  </si>
  <si>
    <t>501571</t>
  </si>
  <si>
    <t>501572</t>
  </si>
  <si>
    <t>429002</t>
  </si>
  <si>
    <t>501576</t>
  </si>
  <si>
    <t>421</t>
  </si>
  <si>
    <t>501581</t>
  </si>
  <si>
    <t>501585</t>
  </si>
  <si>
    <t>501587</t>
  </si>
  <si>
    <t>501591</t>
  </si>
  <si>
    <t>438005</t>
  </si>
  <si>
    <t>501594</t>
  </si>
  <si>
    <t>501595</t>
  </si>
  <si>
    <t>501600</t>
  </si>
  <si>
    <t>501601</t>
  </si>
  <si>
    <t>501607</t>
  </si>
  <si>
    <t>501610</t>
  </si>
  <si>
    <t>402320</t>
  </si>
  <si>
    <t>501612</t>
  </si>
  <si>
    <t>950103</t>
  </si>
  <si>
    <t>501614</t>
  </si>
  <si>
    <t>412020</t>
  </si>
  <si>
    <t>503787</t>
  </si>
  <si>
    <t>802009</t>
  </si>
  <si>
    <t>503792</t>
  </si>
  <si>
    <t>717002</t>
  </si>
  <si>
    <t>503793</t>
  </si>
  <si>
    <t>503794</t>
  </si>
  <si>
    <t>503795</t>
  </si>
  <si>
    <t>503796</t>
  </si>
  <si>
    <t>710022</t>
  </si>
  <si>
    <t>503797</t>
  </si>
  <si>
    <t>503799</t>
  </si>
  <si>
    <t>503801</t>
  </si>
  <si>
    <t>744004</t>
  </si>
  <si>
    <t>503803</t>
  </si>
  <si>
    <t>852002</t>
  </si>
  <si>
    <t>503805</t>
  </si>
  <si>
    <t>503806</t>
  </si>
  <si>
    <t>503807</t>
  </si>
  <si>
    <t>712003</t>
  </si>
  <si>
    <t>503808</t>
  </si>
  <si>
    <t>710041</t>
  </si>
  <si>
    <t>503809</t>
  </si>
  <si>
    <t>704012</t>
  </si>
  <si>
    <t>503810</t>
  </si>
  <si>
    <t>499700</t>
  </si>
  <si>
    <t>503812</t>
  </si>
  <si>
    <t>725036</t>
  </si>
  <si>
    <t>503814</t>
  </si>
  <si>
    <t>503817</t>
  </si>
  <si>
    <t>503827</t>
  </si>
  <si>
    <t>411026</t>
  </si>
  <si>
    <t>503829</t>
  </si>
  <si>
    <t>503831</t>
  </si>
  <si>
    <t>807729</t>
  </si>
  <si>
    <t>503833</t>
  </si>
  <si>
    <t>503838</t>
  </si>
  <si>
    <t>710631</t>
  </si>
  <si>
    <t>503840</t>
  </si>
  <si>
    <t>503845</t>
  </si>
  <si>
    <t>710023</t>
  </si>
  <si>
    <t>503847</t>
  </si>
  <si>
    <t>503851</t>
  </si>
  <si>
    <t>402007</t>
  </si>
  <si>
    <t>503853</t>
  </si>
  <si>
    <t>503855</t>
  </si>
  <si>
    <t>503859</t>
  </si>
  <si>
    <t>503862</t>
  </si>
  <si>
    <t>503864</t>
  </si>
  <si>
    <t>727</t>
  </si>
  <si>
    <t>503867</t>
  </si>
  <si>
    <t>900070</t>
  </si>
  <si>
    <t>503877</t>
  </si>
  <si>
    <t>503879</t>
  </si>
  <si>
    <t>712</t>
  </si>
  <si>
    <t>503881</t>
  </si>
  <si>
    <t>242054</t>
  </si>
  <si>
    <t>503889</t>
  </si>
  <si>
    <t>503891</t>
  </si>
  <si>
    <t>503894</t>
  </si>
  <si>
    <t>503896</t>
  </si>
  <si>
    <t>721006</t>
  </si>
  <si>
    <t>503898</t>
  </si>
  <si>
    <t>503900</t>
  </si>
  <si>
    <t>503906</t>
  </si>
  <si>
    <t>338007</t>
  </si>
  <si>
    <t>503909</t>
  </si>
  <si>
    <t>710030</t>
  </si>
  <si>
    <t>503911</t>
  </si>
  <si>
    <t>503915</t>
  </si>
  <si>
    <t>503917</t>
  </si>
  <si>
    <t>503919</t>
  </si>
  <si>
    <t>722</t>
  </si>
  <si>
    <t>503921</t>
  </si>
  <si>
    <t>408418</t>
  </si>
  <si>
    <t>503923</t>
  </si>
  <si>
    <t>503927</t>
  </si>
  <si>
    <t>412036</t>
  </si>
  <si>
    <t>503931</t>
  </si>
  <si>
    <t>744</t>
  </si>
  <si>
    <t>503933</t>
  </si>
  <si>
    <t>503935</t>
  </si>
  <si>
    <t>503937</t>
  </si>
  <si>
    <t>498421</t>
  </si>
  <si>
    <t>407047</t>
  </si>
  <si>
    <t>498422</t>
  </si>
  <si>
    <t>402008</t>
  </si>
  <si>
    <t>498423</t>
  </si>
  <si>
    <t>361027</t>
  </si>
  <si>
    <t>498424</t>
  </si>
  <si>
    <t>498426</t>
  </si>
  <si>
    <t>498427</t>
  </si>
  <si>
    <t>498433</t>
  </si>
  <si>
    <t>498436</t>
  </si>
  <si>
    <t>498437</t>
  </si>
  <si>
    <t>498441</t>
  </si>
  <si>
    <t>498442</t>
  </si>
  <si>
    <t>427007</t>
  </si>
  <si>
    <t>498443</t>
  </si>
  <si>
    <t>402026</t>
  </si>
  <si>
    <t>498445</t>
  </si>
  <si>
    <t>498448</t>
  </si>
  <si>
    <t>498449</t>
  </si>
  <si>
    <t>498452</t>
  </si>
  <si>
    <t>498456</t>
  </si>
  <si>
    <t>408341</t>
  </si>
  <si>
    <t>498461</t>
  </si>
  <si>
    <t>497761</t>
  </si>
  <si>
    <t>243</t>
  </si>
  <si>
    <t>497765</t>
  </si>
  <si>
    <t>497767</t>
  </si>
  <si>
    <t>497768</t>
  </si>
  <si>
    <t>521032</t>
  </si>
  <si>
    <t>497769</t>
  </si>
  <si>
    <t>110043</t>
  </si>
  <si>
    <t>497770</t>
  </si>
  <si>
    <t>110016</t>
  </si>
  <si>
    <t>497774</t>
  </si>
  <si>
    <t>497775</t>
  </si>
  <si>
    <t>110046</t>
  </si>
  <si>
    <t>497776</t>
  </si>
  <si>
    <t>106038</t>
  </si>
  <si>
    <t>497777</t>
  </si>
  <si>
    <t>100055</t>
  </si>
  <si>
    <t>497778</t>
  </si>
  <si>
    <t>106010</t>
  </si>
  <si>
    <t>497779</t>
  </si>
  <si>
    <t>497783</t>
  </si>
  <si>
    <t>108048</t>
  </si>
  <si>
    <t>497784</t>
  </si>
  <si>
    <t>404016</t>
  </si>
  <si>
    <t>497787</t>
  </si>
  <si>
    <t>116079</t>
  </si>
  <si>
    <t>497795</t>
  </si>
  <si>
    <t>116011</t>
  </si>
  <si>
    <t>497796</t>
  </si>
  <si>
    <t>497800</t>
  </si>
  <si>
    <t>497803</t>
  </si>
  <si>
    <t>407010</t>
  </si>
  <si>
    <t>497804</t>
  </si>
  <si>
    <t>111095</t>
  </si>
  <si>
    <t>497812</t>
  </si>
  <si>
    <t>111091</t>
  </si>
  <si>
    <t>497816</t>
  </si>
  <si>
    <t>238031</t>
  </si>
  <si>
    <t>497819</t>
  </si>
  <si>
    <t>112026</t>
  </si>
  <si>
    <t>497828</t>
  </si>
  <si>
    <t>497832</t>
  </si>
  <si>
    <t>231697</t>
  </si>
  <si>
    <t>497836</t>
  </si>
  <si>
    <t>497840</t>
  </si>
  <si>
    <t>497844</t>
  </si>
  <si>
    <t>497847</t>
  </si>
  <si>
    <t>237629</t>
  </si>
  <si>
    <t>497851</t>
  </si>
  <si>
    <t>231648</t>
  </si>
  <si>
    <t>497853</t>
  </si>
  <si>
    <t>106054</t>
  </si>
  <si>
    <t>497855</t>
  </si>
  <si>
    <t>108051</t>
  </si>
  <si>
    <t>497859</t>
  </si>
  <si>
    <t>497861</t>
  </si>
  <si>
    <t>497873</t>
  </si>
  <si>
    <t>114017</t>
  </si>
  <si>
    <t>497874</t>
  </si>
  <si>
    <t>497884</t>
  </si>
  <si>
    <t>497885</t>
  </si>
  <si>
    <t>497890</t>
  </si>
  <si>
    <t>497893</t>
  </si>
  <si>
    <t>104048</t>
  </si>
  <si>
    <t>497894</t>
  </si>
  <si>
    <t>242046</t>
  </si>
  <si>
    <t>497902</t>
  </si>
  <si>
    <t>236038</t>
  </si>
  <si>
    <t>497903</t>
  </si>
  <si>
    <t>106091</t>
  </si>
  <si>
    <t>497908</t>
  </si>
  <si>
    <t>497909</t>
  </si>
  <si>
    <t>231669</t>
  </si>
  <si>
    <t>497912</t>
  </si>
  <si>
    <t>497913</t>
  </si>
  <si>
    <t>231035</t>
  </si>
  <si>
    <t>497915</t>
  </si>
  <si>
    <t>234031</t>
  </si>
  <si>
    <t>497916</t>
  </si>
  <si>
    <t>100056</t>
  </si>
  <si>
    <t>503477</t>
  </si>
  <si>
    <t>503479</t>
  </si>
  <si>
    <t>239007</t>
  </si>
  <si>
    <t>503480</t>
  </si>
  <si>
    <t>503481</t>
  </si>
  <si>
    <t>503486</t>
  </si>
  <si>
    <t>503488</t>
  </si>
  <si>
    <t>402014</t>
  </si>
  <si>
    <t>503489</t>
  </si>
  <si>
    <t>735001</t>
  </si>
  <si>
    <t>503490</t>
  </si>
  <si>
    <t>709006</t>
  </si>
  <si>
    <t>503494</t>
  </si>
  <si>
    <t>404001</t>
  </si>
  <si>
    <t>503495</t>
  </si>
  <si>
    <t>503496</t>
  </si>
  <si>
    <t>503498</t>
  </si>
  <si>
    <t>320676</t>
  </si>
  <si>
    <t>503499</t>
  </si>
  <si>
    <t>812684</t>
  </si>
  <si>
    <t>503502</t>
  </si>
  <si>
    <t>503503</t>
  </si>
  <si>
    <t>503507</t>
  </si>
  <si>
    <t>503511</t>
  </si>
  <si>
    <t>406039</t>
  </si>
  <si>
    <t>503514</t>
  </si>
  <si>
    <t>503518</t>
  </si>
  <si>
    <t>333016</t>
  </si>
  <si>
    <t>503522</t>
  </si>
  <si>
    <t>717004</t>
  </si>
  <si>
    <t>503528</t>
  </si>
  <si>
    <t>334001</t>
  </si>
  <si>
    <t>503533</t>
  </si>
  <si>
    <t>624002</t>
  </si>
  <si>
    <t>503534</t>
  </si>
  <si>
    <t>503539</t>
  </si>
  <si>
    <t>503541</t>
  </si>
  <si>
    <t>807054</t>
  </si>
  <si>
    <t>503544</t>
  </si>
  <si>
    <t>503548</t>
  </si>
  <si>
    <t>312001</t>
  </si>
  <si>
    <t>503549</t>
  </si>
  <si>
    <t>503564</t>
  </si>
  <si>
    <t>334006</t>
  </si>
  <si>
    <t>503567</t>
  </si>
  <si>
    <t>300040</t>
  </si>
  <si>
    <t>503570</t>
  </si>
  <si>
    <t>503575</t>
  </si>
  <si>
    <t>503576</t>
  </si>
  <si>
    <t>704024</t>
  </si>
  <si>
    <t>503579</t>
  </si>
  <si>
    <t>741003</t>
  </si>
  <si>
    <t>503580</t>
  </si>
  <si>
    <t>503585</t>
  </si>
  <si>
    <t>503590</t>
  </si>
  <si>
    <t>709</t>
  </si>
  <si>
    <t>503593</t>
  </si>
  <si>
    <t>503594</t>
  </si>
  <si>
    <t>702008</t>
  </si>
  <si>
    <t>503598</t>
  </si>
  <si>
    <t>503600</t>
  </si>
  <si>
    <t>234033</t>
  </si>
  <si>
    <t>503604</t>
  </si>
  <si>
    <t>710012</t>
  </si>
  <si>
    <t>503605</t>
  </si>
  <si>
    <t>503609</t>
  </si>
  <si>
    <t>503613</t>
  </si>
  <si>
    <t>716001</t>
  </si>
  <si>
    <t>503614</t>
  </si>
  <si>
    <t>737002</t>
  </si>
  <si>
    <t>503617</t>
  </si>
  <si>
    <t>503618</t>
  </si>
  <si>
    <t>503621</t>
  </si>
  <si>
    <t>503622</t>
  </si>
  <si>
    <t>612014</t>
  </si>
  <si>
    <t>503626</t>
  </si>
  <si>
    <t>503629</t>
  </si>
  <si>
    <t>503630</t>
  </si>
  <si>
    <t>497960</t>
  </si>
  <si>
    <t>497963</t>
  </si>
  <si>
    <t>497964</t>
  </si>
  <si>
    <t>802672</t>
  </si>
  <si>
    <t>497966</t>
  </si>
  <si>
    <t>220071</t>
  </si>
  <si>
    <t>497971</t>
  </si>
  <si>
    <t>116556</t>
  </si>
  <si>
    <t>497977</t>
  </si>
  <si>
    <t>221014</t>
  </si>
  <si>
    <t>497978</t>
  </si>
  <si>
    <t>497985</t>
  </si>
  <si>
    <t>497993</t>
  </si>
  <si>
    <t>115606</t>
  </si>
  <si>
    <t>497998</t>
  </si>
  <si>
    <t>114016</t>
  </si>
  <si>
    <t>498005</t>
  </si>
  <si>
    <t>234013</t>
  </si>
  <si>
    <t>498006</t>
  </si>
  <si>
    <t>498013</t>
  </si>
  <si>
    <t>106041</t>
  </si>
  <si>
    <t>498014</t>
  </si>
  <si>
    <t>498021</t>
  </si>
  <si>
    <t>106064</t>
  </si>
  <si>
    <t>498022</t>
  </si>
  <si>
    <t>498026</t>
  </si>
  <si>
    <t>108031</t>
  </si>
  <si>
    <t>498029</t>
  </si>
  <si>
    <t>403025</t>
  </si>
  <si>
    <t>498030</t>
  </si>
  <si>
    <t>498038</t>
  </si>
  <si>
    <t>116081</t>
  </si>
  <si>
    <t>498042</t>
  </si>
  <si>
    <t>100051</t>
  </si>
  <si>
    <t>498046</t>
  </si>
  <si>
    <t>105055</t>
  </si>
  <si>
    <t>498054</t>
  </si>
  <si>
    <t>112056</t>
  </si>
  <si>
    <t>498062</t>
  </si>
  <si>
    <t>104021</t>
  </si>
  <si>
    <t>498074</t>
  </si>
  <si>
    <t>103043</t>
  </si>
  <si>
    <t>498082</t>
  </si>
  <si>
    <t>106647</t>
  </si>
  <si>
    <t>498087</t>
  </si>
  <si>
    <t>244007</t>
  </si>
  <si>
    <t>498092</t>
  </si>
  <si>
    <t>498094</t>
  </si>
  <si>
    <t>498103</t>
  </si>
  <si>
    <t>500061</t>
  </si>
  <si>
    <t>411017</t>
  </si>
  <si>
    <t>500063</t>
  </si>
  <si>
    <t>500067</t>
  </si>
  <si>
    <t>500071</t>
  </si>
  <si>
    <t>235050</t>
  </si>
  <si>
    <t>500080</t>
  </si>
  <si>
    <t>500088</t>
  </si>
  <si>
    <t>116065</t>
  </si>
  <si>
    <t>500094</t>
  </si>
  <si>
    <t>500100</t>
  </si>
  <si>
    <t>500104</t>
  </si>
  <si>
    <t>220325</t>
  </si>
  <si>
    <t>500118</t>
  </si>
  <si>
    <t>236008</t>
  </si>
  <si>
    <t>500120</t>
  </si>
  <si>
    <t>234002</t>
  </si>
  <si>
    <t>500126</t>
  </si>
  <si>
    <t>231029</t>
  </si>
  <si>
    <t>500128</t>
  </si>
  <si>
    <t>244020</t>
  </si>
  <si>
    <t>500130</t>
  </si>
  <si>
    <t>500132</t>
  </si>
  <si>
    <t>221008</t>
  </si>
  <si>
    <t>500136</t>
  </si>
  <si>
    <t>106067</t>
  </si>
  <si>
    <t>500145</t>
  </si>
  <si>
    <t>235602</t>
  </si>
  <si>
    <t>500150</t>
  </si>
  <si>
    <t>269030</t>
  </si>
  <si>
    <t>500152</t>
  </si>
  <si>
    <t>500154</t>
  </si>
  <si>
    <t>269033</t>
  </si>
  <si>
    <t>500156</t>
  </si>
  <si>
    <t>500162</t>
  </si>
  <si>
    <t>500164</t>
  </si>
  <si>
    <t>500168</t>
  </si>
  <si>
    <t>333010</t>
  </si>
  <si>
    <t>500170</t>
  </si>
  <si>
    <t>500171</t>
  </si>
  <si>
    <t>111007</t>
  </si>
  <si>
    <t>500172</t>
  </si>
  <si>
    <t>500173</t>
  </si>
  <si>
    <t>338104</t>
  </si>
  <si>
    <t>500174</t>
  </si>
  <si>
    <t>500176</t>
  </si>
  <si>
    <t>500178</t>
  </si>
  <si>
    <t>260029</t>
  </si>
  <si>
    <t>500179</t>
  </si>
  <si>
    <t>500180</t>
  </si>
  <si>
    <t>500181</t>
  </si>
  <si>
    <t>221009</t>
  </si>
  <si>
    <t>500190</t>
  </si>
  <si>
    <t>268016</t>
  </si>
  <si>
    <t>500205</t>
  </si>
  <si>
    <t>500207</t>
  </si>
  <si>
    <t>268021</t>
  </si>
  <si>
    <t>500210</t>
  </si>
  <si>
    <t>500212</t>
  </si>
  <si>
    <t>260031</t>
  </si>
  <si>
    <t>501152</t>
  </si>
  <si>
    <t>358006</t>
  </si>
  <si>
    <t>501157</t>
  </si>
  <si>
    <t>501158</t>
  </si>
  <si>
    <t>351026</t>
  </si>
  <si>
    <t>501159</t>
  </si>
  <si>
    <t>358001</t>
  </si>
  <si>
    <t>501160</t>
  </si>
  <si>
    <t>356011</t>
  </si>
  <si>
    <t>501161</t>
  </si>
  <si>
    <t>501164</t>
  </si>
  <si>
    <t>351010</t>
  </si>
  <si>
    <t>501165</t>
  </si>
  <si>
    <t>640012</t>
  </si>
  <si>
    <t>501166</t>
  </si>
  <si>
    <t>501167</t>
  </si>
  <si>
    <t>501169</t>
  </si>
  <si>
    <t>439001</t>
  </si>
  <si>
    <t>501171</t>
  </si>
  <si>
    <t>434024</t>
  </si>
  <si>
    <t>501175</t>
  </si>
  <si>
    <t>501178</t>
  </si>
  <si>
    <t>235077</t>
  </si>
  <si>
    <t>501179</t>
  </si>
  <si>
    <t>501182</t>
  </si>
  <si>
    <t>501184</t>
  </si>
  <si>
    <t>972003</t>
  </si>
  <si>
    <t>501188</t>
  </si>
  <si>
    <t>501189</t>
  </si>
  <si>
    <t>501195</t>
  </si>
  <si>
    <t>433015</t>
  </si>
  <si>
    <t>501196</t>
  </si>
  <si>
    <t>435061</t>
  </si>
  <si>
    <t>501199</t>
  </si>
  <si>
    <t>501200</t>
  </si>
  <si>
    <t>501206</t>
  </si>
  <si>
    <t>501209</t>
  </si>
  <si>
    <t>501215</t>
  </si>
  <si>
    <t>501216</t>
  </si>
  <si>
    <t>427014</t>
  </si>
  <si>
    <t>501219</t>
  </si>
  <si>
    <t>302042</t>
  </si>
  <si>
    <t>501220</t>
  </si>
  <si>
    <t>427003</t>
  </si>
  <si>
    <t>501223</t>
  </si>
  <si>
    <t>501224</t>
  </si>
  <si>
    <t>501228</t>
  </si>
  <si>
    <t>501234</t>
  </si>
  <si>
    <t>414007</t>
  </si>
  <si>
    <t>501239</t>
  </si>
  <si>
    <t>501240</t>
  </si>
  <si>
    <t>501243</t>
  </si>
  <si>
    <t>501244</t>
  </si>
  <si>
    <t>501248</t>
  </si>
  <si>
    <t>413005</t>
  </si>
  <si>
    <t>501252</t>
  </si>
  <si>
    <t>408471</t>
  </si>
  <si>
    <t>501257</t>
  </si>
  <si>
    <t>501258</t>
  </si>
  <si>
    <t>501262</t>
  </si>
  <si>
    <t>427015</t>
  </si>
  <si>
    <t>501266</t>
  </si>
  <si>
    <t>412031</t>
  </si>
  <si>
    <t>501267</t>
  </si>
  <si>
    <t>429003</t>
  </si>
  <si>
    <t>501271</t>
  </si>
  <si>
    <t>433107</t>
  </si>
  <si>
    <t>501278</t>
  </si>
  <si>
    <t>501279</t>
  </si>
  <si>
    <t>501282</t>
  </si>
  <si>
    <t>501283</t>
  </si>
  <si>
    <t>501292</t>
  </si>
  <si>
    <t>501298</t>
  </si>
  <si>
    <t>501300</t>
  </si>
  <si>
    <t>330031</t>
  </si>
  <si>
    <t>501302</t>
  </si>
  <si>
    <t>501304</t>
  </si>
  <si>
    <t>433104</t>
  </si>
  <si>
    <t>503635</t>
  </si>
  <si>
    <t>406022</t>
  </si>
  <si>
    <t>503636</t>
  </si>
  <si>
    <t>503644</t>
  </si>
  <si>
    <t>503653</t>
  </si>
  <si>
    <t>220031</t>
  </si>
  <si>
    <t>503657</t>
  </si>
  <si>
    <t>503659</t>
  </si>
  <si>
    <t>503661</t>
  </si>
  <si>
    <t>503662</t>
  </si>
  <si>
    <t>730006</t>
  </si>
  <si>
    <t>503663</t>
  </si>
  <si>
    <t>235002</t>
  </si>
  <si>
    <t>503666</t>
  </si>
  <si>
    <t>503667</t>
  </si>
  <si>
    <t>503668</t>
  </si>
  <si>
    <t>503669</t>
  </si>
  <si>
    <t>406608</t>
  </si>
  <si>
    <t>503673</t>
  </si>
  <si>
    <t>231228</t>
  </si>
  <si>
    <t>503675</t>
  </si>
  <si>
    <t>503676</t>
  </si>
  <si>
    <t>503679</t>
  </si>
  <si>
    <t>714002</t>
  </si>
  <si>
    <t>503680</t>
  </si>
  <si>
    <t>503681</t>
  </si>
  <si>
    <t>710007</t>
  </si>
  <si>
    <t>503682</t>
  </si>
  <si>
    <t>741010</t>
  </si>
  <si>
    <t>503683</t>
  </si>
  <si>
    <t>503684</t>
  </si>
  <si>
    <t>324631</t>
  </si>
  <si>
    <t>503687</t>
  </si>
  <si>
    <t>503695</t>
  </si>
  <si>
    <t>503700</t>
  </si>
  <si>
    <t>710046</t>
  </si>
  <si>
    <t>503703</t>
  </si>
  <si>
    <t>503707</t>
  </si>
  <si>
    <t>702036</t>
  </si>
  <si>
    <t>503708</t>
  </si>
  <si>
    <t>503711</t>
  </si>
  <si>
    <t>503712</t>
  </si>
  <si>
    <t>735004</t>
  </si>
  <si>
    <t>503715</t>
  </si>
  <si>
    <t>503724</t>
  </si>
  <si>
    <t>701037</t>
  </si>
  <si>
    <t>503729</t>
  </si>
  <si>
    <t>503731</t>
  </si>
  <si>
    <t>503735</t>
  </si>
  <si>
    <t>710034</t>
  </si>
  <si>
    <t>503740</t>
  </si>
  <si>
    <t>600074</t>
  </si>
  <si>
    <t>503745</t>
  </si>
  <si>
    <t>503749</t>
  </si>
  <si>
    <t>730026</t>
  </si>
  <si>
    <t>503751</t>
  </si>
  <si>
    <t>503754</t>
  </si>
  <si>
    <t>710029</t>
  </si>
  <si>
    <t>503759</t>
  </si>
  <si>
    <t>503761</t>
  </si>
  <si>
    <t>733013</t>
  </si>
  <si>
    <t>503764</t>
  </si>
  <si>
    <t>503765</t>
  </si>
  <si>
    <t>503768</t>
  </si>
  <si>
    <t>503769</t>
  </si>
  <si>
    <t>503772</t>
  </si>
  <si>
    <t>503773</t>
  </si>
  <si>
    <t>503776</t>
  </si>
  <si>
    <t>407031</t>
  </si>
  <si>
    <t>503778</t>
  </si>
  <si>
    <t>700012</t>
  </si>
  <si>
    <t>503782</t>
  </si>
  <si>
    <t>503785</t>
  </si>
  <si>
    <t>722009</t>
  </si>
  <si>
    <t>498114</t>
  </si>
  <si>
    <t>498118</t>
  </si>
  <si>
    <t>498119</t>
  </si>
  <si>
    <t>406644</t>
  </si>
  <si>
    <t>498122</t>
  </si>
  <si>
    <t>221017</t>
  </si>
  <si>
    <t>498124</t>
  </si>
  <si>
    <t>115024</t>
  </si>
  <si>
    <t>498125</t>
  </si>
  <si>
    <t>115013</t>
  </si>
  <si>
    <t>498126</t>
  </si>
  <si>
    <t>498127</t>
  </si>
  <si>
    <t>115003</t>
  </si>
  <si>
    <t>498136</t>
  </si>
  <si>
    <t>498139</t>
  </si>
  <si>
    <t>498143</t>
  </si>
  <si>
    <t>235073</t>
  </si>
  <si>
    <t>498144</t>
  </si>
  <si>
    <t>498149</t>
  </si>
  <si>
    <t>804203</t>
  </si>
  <si>
    <t>498156</t>
  </si>
  <si>
    <t>498157</t>
  </si>
  <si>
    <t>241004</t>
  </si>
  <si>
    <t>498161</t>
  </si>
  <si>
    <t>498169</t>
  </si>
  <si>
    <t>337051</t>
  </si>
  <si>
    <t>498172</t>
  </si>
  <si>
    <t>111005</t>
  </si>
  <si>
    <t>498173</t>
  </si>
  <si>
    <t>114008</t>
  </si>
  <si>
    <t>498176</t>
  </si>
  <si>
    <t>498184</t>
  </si>
  <si>
    <t>404014</t>
  </si>
  <si>
    <t>498186</t>
  </si>
  <si>
    <t>498189</t>
  </si>
  <si>
    <t>498191</t>
  </si>
  <si>
    <t>498194</t>
  </si>
  <si>
    <t>408005</t>
  </si>
  <si>
    <t>498195</t>
  </si>
  <si>
    <t>498198</t>
  </si>
  <si>
    <t>498199</t>
  </si>
  <si>
    <t>412</t>
  </si>
  <si>
    <t>498202</t>
  </si>
  <si>
    <t>498206</t>
  </si>
  <si>
    <t>498207</t>
  </si>
  <si>
    <t>498211</t>
  </si>
  <si>
    <t>498216</t>
  </si>
  <si>
    <t>498217</t>
  </si>
  <si>
    <t>498229</t>
  </si>
  <si>
    <t>498230</t>
  </si>
  <si>
    <t>498235</t>
  </si>
  <si>
    <t>401005</t>
  </si>
  <si>
    <t>498240</t>
  </si>
  <si>
    <t>412040</t>
  </si>
  <si>
    <t>498246</t>
  </si>
  <si>
    <t>498248</t>
  </si>
  <si>
    <t>498252</t>
  </si>
  <si>
    <t>498254</t>
  </si>
  <si>
    <t>498256</t>
  </si>
  <si>
    <t>498258</t>
  </si>
  <si>
    <t>498263</t>
  </si>
  <si>
    <t>501318</t>
  </si>
  <si>
    <t>501321</t>
  </si>
  <si>
    <t>501322</t>
  </si>
  <si>
    <t>501325</t>
  </si>
  <si>
    <t>501326</t>
  </si>
  <si>
    <t>501330</t>
  </si>
  <si>
    <t>236682</t>
  </si>
  <si>
    <t>501331</t>
  </si>
  <si>
    <t>501334</t>
  </si>
  <si>
    <t>423007</t>
  </si>
  <si>
    <t>501338</t>
  </si>
  <si>
    <t>501343</t>
  </si>
  <si>
    <t>501346</t>
  </si>
  <si>
    <t>501349</t>
  </si>
  <si>
    <t>501350</t>
  </si>
  <si>
    <t>501351</t>
  </si>
  <si>
    <t>358008</t>
  </si>
  <si>
    <t>501354</t>
  </si>
  <si>
    <t>501357</t>
  </si>
  <si>
    <t>413001</t>
  </si>
  <si>
    <t>501358</t>
  </si>
  <si>
    <t>411011</t>
  </si>
  <si>
    <t>501359</t>
  </si>
  <si>
    <t>501361</t>
  </si>
  <si>
    <t>501364</t>
  </si>
  <si>
    <t>501366</t>
  </si>
  <si>
    <t>501368</t>
  </si>
  <si>
    <t>406616</t>
  </si>
  <si>
    <t>501369</t>
  </si>
  <si>
    <t>501370</t>
  </si>
  <si>
    <t>501374</t>
  </si>
  <si>
    <t>501375</t>
  </si>
  <si>
    <t>501378</t>
  </si>
  <si>
    <t>420017</t>
  </si>
  <si>
    <t>501379</t>
  </si>
  <si>
    <t>501386</t>
  </si>
  <si>
    <t>501394</t>
  </si>
  <si>
    <t>501398</t>
  </si>
  <si>
    <t>501400</t>
  </si>
  <si>
    <t>501402</t>
  </si>
  <si>
    <t>501404</t>
  </si>
  <si>
    <t>501406</t>
  </si>
  <si>
    <t>501408</t>
  </si>
  <si>
    <t>501410</t>
  </si>
  <si>
    <t>414161</t>
  </si>
  <si>
    <t>501412</t>
  </si>
  <si>
    <t>411020</t>
  </si>
  <si>
    <t>501443</t>
  </si>
  <si>
    <t>501444</t>
  </si>
  <si>
    <t>413006</t>
  </si>
  <si>
    <t>501447</t>
  </si>
  <si>
    <t>501448</t>
  </si>
  <si>
    <t>501452</t>
  </si>
  <si>
    <t>412327</t>
  </si>
  <si>
    <t>501460</t>
  </si>
  <si>
    <t>504518</t>
  </si>
  <si>
    <t>504519</t>
  </si>
  <si>
    <t>900021</t>
  </si>
  <si>
    <t>504520</t>
  </si>
  <si>
    <t>234001</t>
  </si>
  <si>
    <t>504521</t>
  </si>
  <si>
    <t>504523</t>
  </si>
  <si>
    <t>830667</t>
  </si>
  <si>
    <t>504524</t>
  </si>
  <si>
    <t>830854</t>
  </si>
  <si>
    <t>504525</t>
  </si>
  <si>
    <t>504526</t>
  </si>
  <si>
    <t>504528</t>
  </si>
  <si>
    <t>925023</t>
  </si>
  <si>
    <t>504530</t>
  </si>
  <si>
    <t>504532</t>
  </si>
  <si>
    <t>504536</t>
  </si>
  <si>
    <t>504537</t>
  </si>
  <si>
    <t>504539</t>
  </si>
  <si>
    <t>504540</t>
  </si>
  <si>
    <t>504543</t>
  </si>
  <si>
    <t>504547</t>
  </si>
  <si>
    <t>504548</t>
  </si>
  <si>
    <t>900072</t>
  </si>
  <si>
    <t>504552</t>
  </si>
  <si>
    <t>504555</t>
  </si>
  <si>
    <t>504564</t>
  </si>
  <si>
    <t>504567</t>
  </si>
  <si>
    <t>920007</t>
  </si>
  <si>
    <t>504568</t>
  </si>
  <si>
    <t>504573</t>
  </si>
  <si>
    <t>900003</t>
  </si>
  <si>
    <t>504576</t>
  </si>
  <si>
    <t>504578</t>
  </si>
  <si>
    <t>504585</t>
  </si>
  <si>
    <t>802765</t>
  </si>
  <si>
    <t>504586</t>
  </si>
  <si>
    <t>403022</t>
  </si>
  <si>
    <t>504589</t>
  </si>
  <si>
    <t>504590</t>
  </si>
  <si>
    <t>504594</t>
  </si>
  <si>
    <t>807043</t>
  </si>
  <si>
    <t>504598</t>
  </si>
  <si>
    <t>504602</t>
  </si>
  <si>
    <t>504605</t>
  </si>
  <si>
    <t>504606</t>
  </si>
  <si>
    <t>717623</t>
  </si>
  <si>
    <t>504610</t>
  </si>
  <si>
    <t>504614</t>
  </si>
  <si>
    <t>504618</t>
  </si>
  <si>
    <t>900071</t>
  </si>
  <si>
    <t>504619</t>
  </si>
  <si>
    <t>108014</t>
  </si>
  <si>
    <t>504622</t>
  </si>
  <si>
    <t>244014</t>
  </si>
  <si>
    <t>504623</t>
  </si>
  <si>
    <t>504630</t>
  </si>
  <si>
    <t>504631</t>
  </si>
  <si>
    <t>351028</t>
  </si>
  <si>
    <t>504635</t>
  </si>
  <si>
    <t>940003</t>
  </si>
  <si>
    <t>504638</t>
  </si>
  <si>
    <t>234026</t>
  </si>
  <si>
    <t>504640</t>
  </si>
  <si>
    <t>504642</t>
  </si>
  <si>
    <t>504644</t>
  </si>
  <si>
    <t>504646</t>
  </si>
  <si>
    <t>504648</t>
  </si>
  <si>
    <t>504650</t>
  </si>
  <si>
    <t>504652</t>
  </si>
  <si>
    <t>504654</t>
  </si>
  <si>
    <t>830012</t>
  </si>
  <si>
    <t>504656</t>
  </si>
  <si>
    <t>504658</t>
  </si>
  <si>
    <t>907102</t>
  </si>
  <si>
    <t>504660</t>
  </si>
  <si>
    <t>540009</t>
  </si>
  <si>
    <t>504664</t>
  </si>
  <si>
    <t>912020</t>
  </si>
  <si>
    <t>504667</t>
  </si>
  <si>
    <t>830656</t>
  </si>
  <si>
    <t>504668</t>
  </si>
  <si>
    <t>504671</t>
  </si>
  <si>
    <t>807558</t>
  </si>
  <si>
    <t>504672</t>
  </si>
  <si>
    <t>925026</t>
  </si>
  <si>
    <t>498266</t>
  </si>
  <si>
    <t>498274</t>
  </si>
  <si>
    <t>498276</t>
  </si>
  <si>
    <t>403011</t>
  </si>
  <si>
    <t>498282</t>
  </si>
  <si>
    <t>404024</t>
  </si>
  <si>
    <t>498293</t>
  </si>
  <si>
    <t>498294</t>
  </si>
  <si>
    <t>498297</t>
  </si>
  <si>
    <t>401012</t>
  </si>
  <si>
    <t>498298</t>
  </si>
  <si>
    <t>498299</t>
  </si>
  <si>
    <t>401019</t>
  </si>
  <si>
    <t>498300</t>
  </si>
  <si>
    <t>401004</t>
  </si>
  <si>
    <t>498301</t>
  </si>
  <si>
    <t>402012</t>
  </si>
  <si>
    <t>498303</t>
  </si>
  <si>
    <t>498304</t>
  </si>
  <si>
    <t>498306</t>
  </si>
  <si>
    <t>498307</t>
  </si>
  <si>
    <t>403017</t>
  </si>
  <si>
    <t>498308</t>
  </si>
  <si>
    <t>403626</t>
  </si>
  <si>
    <t>498310</t>
  </si>
  <si>
    <t>498311</t>
  </si>
  <si>
    <t>498315</t>
  </si>
  <si>
    <t>408025</t>
  </si>
  <si>
    <t>498316</t>
  </si>
  <si>
    <t>406006</t>
  </si>
  <si>
    <t>498317</t>
  </si>
  <si>
    <t>498318</t>
  </si>
  <si>
    <t>498327</t>
  </si>
  <si>
    <t>408029</t>
  </si>
  <si>
    <t>498335</t>
  </si>
  <si>
    <t>404</t>
  </si>
  <si>
    <t>498336</t>
  </si>
  <si>
    <t>498339</t>
  </si>
  <si>
    <t>498347</t>
  </si>
  <si>
    <t>498352</t>
  </si>
  <si>
    <t>498356</t>
  </si>
  <si>
    <t>498357</t>
  </si>
  <si>
    <t>498360</t>
  </si>
  <si>
    <t>498361</t>
  </si>
  <si>
    <t>498364</t>
  </si>
  <si>
    <t>498381</t>
  </si>
  <si>
    <t>498382</t>
  </si>
  <si>
    <t>498385</t>
  </si>
  <si>
    <t>498386</t>
  </si>
  <si>
    <t>498389</t>
  </si>
  <si>
    <t>498390</t>
  </si>
  <si>
    <t>498394</t>
  </si>
  <si>
    <t>414038</t>
  </si>
  <si>
    <t>498397</t>
  </si>
  <si>
    <t>408357</t>
  </si>
  <si>
    <t>498399</t>
  </si>
  <si>
    <t>408349</t>
  </si>
  <si>
    <t>498401</t>
  </si>
  <si>
    <t>429010</t>
  </si>
  <si>
    <t>498403</t>
  </si>
  <si>
    <t>498405</t>
  </si>
  <si>
    <t>498410</t>
  </si>
  <si>
    <t>498412</t>
  </si>
  <si>
    <t>498416</t>
  </si>
  <si>
    <t>235037</t>
  </si>
  <si>
    <t>498418</t>
  </si>
  <si>
    <t>412019</t>
  </si>
  <si>
    <t>500215</t>
  </si>
  <si>
    <t>500216</t>
  </si>
  <si>
    <t>269037</t>
  </si>
  <si>
    <t>500217</t>
  </si>
  <si>
    <t>260021</t>
  </si>
  <si>
    <t>500222</t>
  </si>
  <si>
    <t>500224</t>
  </si>
  <si>
    <t>333604</t>
  </si>
  <si>
    <t>500225</t>
  </si>
  <si>
    <t>220380</t>
  </si>
  <si>
    <t>500227</t>
  </si>
  <si>
    <t>500229</t>
  </si>
  <si>
    <t>266006</t>
  </si>
  <si>
    <t>500230</t>
  </si>
  <si>
    <t>350001</t>
  </si>
  <si>
    <t>500232</t>
  </si>
  <si>
    <t>244008</t>
  </si>
  <si>
    <t>500233</t>
  </si>
  <si>
    <t>320047</t>
  </si>
  <si>
    <t>500234</t>
  </si>
  <si>
    <t>500235</t>
  </si>
  <si>
    <t>500236</t>
  </si>
  <si>
    <t>270005</t>
  </si>
  <si>
    <t>500243</t>
  </si>
  <si>
    <t>338018</t>
  </si>
  <si>
    <t>500245</t>
  </si>
  <si>
    <t>500248</t>
  </si>
  <si>
    <t>335003</t>
  </si>
  <si>
    <t>500255</t>
  </si>
  <si>
    <t>104064</t>
  </si>
  <si>
    <t>500259</t>
  </si>
  <si>
    <t>260002</t>
  </si>
  <si>
    <t>500265</t>
  </si>
  <si>
    <t>500271</t>
  </si>
  <si>
    <t>270016</t>
  </si>
  <si>
    <t>500275</t>
  </si>
  <si>
    <t>500277</t>
  </si>
  <si>
    <t>320024</t>
  </si>
  <si>
    <t>500280</t>
  </si>
  <si>
    <t>328016</t>
  </si>
  <si>
    <t>500282</t>
  </si>
  <si>
    <t>500284</t>
  </si>
  <si>
    <t>320001</t>
  </si>
  <si>
    <t>500287</t>
  </si>
  <si>
    <t>500291</t>
  </si>
  <si>
    <t>500296</t>
  </si>
  <si>
    <t>500298</t>
  </si>
  <si>
    <t>324035</t>
  </si>
  <si>
    <t>500300</t>
  </si>
  <si>
    <t>500302</t>
  </si>
  <si>
    <t>500304</t>
  </si>
  <si>
    <t>500306</t>
  </si>
  <si>
    <t>500310</t>
  </si>
  <si>
    <t>500314</t>
  </si>
  <si>
    <t>498847</t>
  </si>
  <si>
    <t>330646</t>
  </si>
  <si>
    <t>498852</t>
  </si>
  <si>
    <t>498856</t>
  </si>
  <si>
    <t>498859</t>
  </si>
  <si>
    <t>324015</t>
  </si>
  <si>
    <t>498863</t>
  </si>
  <si>
    <t>498864</t>
  </si>
  <si>
    <t>807063</t>
  </si>
  <si>
    <t>498868</t>
  </si>
  <si>
    <t>498872</t>
  </si>
  <si>
    <t>498878</t>
  </si>
  <si>
    <t>710016</t>
  </si>
  <si>
    <t>498879</t>
  </si>
  <si>
    <t>709003</t>
  </si>
  <si>
    <t>498889</t>
  </si>
  <si>
    <t>717927</t>
  </si>
  <si>
    <t>498892</t>
  </si>
  <si>
    <t>498893</t>
  </si>
  <si>
    <t>702010</t>
  </si>
  <si>
    <t>498896</t>
  </si>
  <si>
    <t>360013</t>
  </si>
  <si>
    <t>498897</t>
  </si>
  <si>
    <t>701014</t>
  </si>
  <si>
    <t>498901</t>
  </si>
  <si>
    <t>498902</t>
  </si>
  <si>
    <t>498906</t>
  </si>
  <si>
    <t>498910</t>
  </si>
  <si>
    <t>498915</t>
  </si>
  <si>
    <t>498916</t>
  </si>
  <si>
    <t>498921</t>
  </si>
  <si>
    <t>725033</t>
  </si>
  <si>
    <t>498924</t>
  </si>
  <si>
    <t>700019</t>
  </si>
  <si>
    <t>498930</t>
  </si>
  <si>
    <t>498932</t>
  </si>
  <si>
    <t>807502</t>
  </si>
  <si>
    <t>498944</t>
  </si>
  <si>
    <t>710</t>
  </si>
  <si>
    <t>498946</t>
  </si>
  <si>
    <t>498948</t>
  </si>
  <si>
    <t>498952</t>
  </si>
  <si>
    <t>498954</t>
  </si>
  <si>
    <t>704023</t>
  </si>
  <si>
    <t>498959</t>
  </si>
  <si>
    <t>700009</t>
  </si>
  <si>
    <t>498963</t>
  </si>
  <si>
    <t>701028</t>
  </si>
  <si>
    <t>498964</t>
  </si>
  <si>
    <t>498967</t>
  </si>
  <si>
    <t>830046</t>
  </si>
  <si>
    <t>498968</t>
  </si>
  <si>
    <t>498972</t>
  </si>
  <si>
    <t>811018</t>
  </si>
  <si>
    <t>500530</t>
  </si>
  <si>
    <t>500532</t>
  </si>
  <si>
    <t>500534</t>
  </si>
  <si>
    <t>500536</t>
  </si>
  <si>
    <t>334654</t>
  </si>
  <si>
    <t>500538</t>
  </si>
  <si>
    <t>500545</t>
  </si>
  <si>
    <t>500557</t>
  </si>
  <si>
    <t>500558</t>
  </si>
  <si>
    <t>320054</t>
  </si>
  <si>
    <t>500559</t>
  </si>
  <si>
    <t>324016</t>
  </si>
  <si>
    <t>500560</t>
  </si>
  <si>
    <t>500563</t>
  </si>
  <si>
    <t>333321</t>
  </si>
  <si>
    <t>500565</t>
  </si>
  <si>
    <t>110067</t>
  </si>
  <si>
    <t>500567</t>
  </si>
  <si>
    <t>929002</t>
  </si>
  <si>
    <t>500569</t>
  </si>
  <si>
    <t>500570</t>
  </si>
  <si>
    <t>500572</t>
  </si>
  <si>
    <t>236003</t>
  </si>
  <si>
    <t>500576</t>
  </si>
  <si>
    <t>500580</t>
  </si>
  <si>
    <t>500581</t>
  </si>
  <si>
    <t>500582</t>
  </si>
  <si>
    <t>500584</t>
  </si>
  <si>
    <t>500588</t>
  </si>
  <si>
    <t>500600</t>
  </si>
  <si>
    <t>500608</t>
  </si>
  <si>
    <t>500614</t>
  </si>
  <si>
    <t>239004</t>
  </si>
  <si>
    <t>500618</t>
  </si>
  <si>
    <t>500619</t>
  </si>
  <si>
    <t>500622</t>
  </si>
  <si>
    <t>241067</t>
  </si>
  <si>
    <t>500623</t>
  </si>
  <si>
    <t>328008</t>
  </si>
  <si>
    <t>500626</t>
  </si>
  <si>
    <t>500627</t>
  </si>
  <si>
    <t>500631</t>
  </si>
  <si>
    <t>557010</t>
  </si>
  <si>
    <t>500635</t>
  </si>
  <si>
    <t>338110</t>
  </si>
  <si>
    <t>500640</t>
  </si>
  <si>
    <t>500643</t>
  </si>
  <si>
    <t>500649</t>
  </si>
  <si>
    <t>336042</t>
  </si>
  <si>
    <t>500650</t>
  </si>
  <si>
    <t>551011</t>
  </si>
  <si>
    <t>500653</t>
  </si>
  <si>
    <t>335010</t>
  </si>
  <si>
    <t>500654</t>
  </si>
  <si>
    <t>500657</t>
  </si>
  <si>
    <t>500658</t>
  </si>
  <si>
    <t>338009</t>
  </si>
  <si>
    <t>500661</t>
  </si>
  <si>
    <t>330042</t>
  </si>
  <si>
    <t>500670</t>
  </si>
  <si>
    <t>330211</t>
  </si>
  <si>
    <t>500671</t>
  </si>
  <si>
    <t>500674</t>
  </si>
  <si>
    <t>500675</t>
  </si>
  <si>
    <t>500678</t>
  </si>
  <si>
    <t>325</t>
  </si>
  <si>
    <t>500679</t>
  </si>
  <si>
    <t>333601</t>
  </si>
  <si>
    <t>500682</t>
  </si>
  <si>
    <t>502237</t>
  </si>
  <si>
    <t>502238</t>
  </si>
  <si>
    <t>502239</t>
  </si>
  <si>
    <t>502241</t>
  </si>
  <si>
    <t>502242</t>
  </si>
  <si>
    <t>358005</t>
  </si>
  <si>
    <t>502244</t>
  </si>
  <si>
    <t>108010</t>
  </si>
  <si>
    <t>502246</t>
  </si>
  <si>
    <t>402277</t>
  </si>
  <si>
    <t>502249</t>
  </si>
  <si>
    <t>502252</t>
  </si>
  <si>
    <t>502254</t>
  </si>
  <si>
    <t>514003</t>
  </si>
  <si>
    <t>502257</t>
  </si>
  <si>
    <t>338204</t>
  </si>
  <si>
    <t>502258</t>
  </si>
  <si>
    <t>220075</t>
  </si>
  <si>
    <t>502260</t>
  </si>
  <si>
    <t>502265</t>
  </si>
  <si>
    <t>502267</t>
  </si>
  <si>
    <t>502269</t>
  </si>
  <si>
    <t>502273</t>
  </si>
  <si>
    <t>242005</t>
  </si>
  <si>
    <t>502275</t>
  </si>
  <si>
    <t>505026</t>
  </si>
  <si>
    <t>502279</t>
  </si>
  <si>
    <t>504007</t>
  </si>
  <si>
    <t>502290</t>
  </si>
  <si>
    <t>502291</t>
  </si>
  <si>
    <t>502294</t>
  </si>
  <si>
    <t>502295</t>
  </si>
  <si>
    <t>500056</t>
  </si>
  <si>
    <t>502298</t>
  </si>
  <si>
    <t>509</t>
  </si>
  <si>
    <t>502303</t>
  </si>
  <si>
    <t>502307</t>
  </si>
  <si>
    <t>502310</t>
  </si>
  <si>
    <t>502311</t>
  </si>
  <si>
    <t>502315</t>
  </si>
  <si>
    <t>502319</t>
  </si>
  <si>
    <t>508019</t>
  </si>
  <si>
    <t>502323</t>
  </si>
  <si>
    <t>502327</t>
  </si>
  <si>
    <t>104053</t>
  </si>
  <si>
    <t>502339</t>
  </si>
  <si>
    <t>522014</t>
  </si>
  <si>
    <t>502342</t>
  </si>
  <si>
    <t>524009</t>
  </si>
  <si>
    <t>502350</t>
  </si>
  <si>
    <t>502354</t>
  </si>
  <si>
    <t>510011</t>
  </si>
  <si>
    <t>502355</t>
  </si>
  <si>
    <t>502358</t>
  </si>
  <si>
    <t>520014</t>
  </si>
  <si>
    <t>502363</t>
  </si>
  <si>
    <t>500011</t>
  </si>
  <si>
    <t>502366</t>
  </si>
  <si>
    <t>502370</t>
  </si>
  <si>
    <t>221029</t>
  </si>
  <si>
    <t>502378</t>
  </si>
  <si>
    <t>520015</t>
  </si>
  <si>
    <t>502382</t>
  </si>
  <si>
    <t>400004</t>
  </si>
  <si>
    <t>502387</t>
  </si>
  <si>
    <t>557008</t>
  </si>
  <si>
    <t>502390</t>
  </si>
  <si>
    <t>498979</t>
  </si>
  <si>
    <t>498982</t>
  </si>
  <si>
    <t>498983</t>
  </si>
  <si>
    <t>498988</t>
  </si>
  <si>
    <t>498991</t>
  </si>
  <si>
    <t>813006</t>
  </si>
  <si>
    <t>498994</t>
  </si>
  <si>
    <t>498997</t>
  </si>
  <si>
    <t>499002</t>
  </si>
  <si>
    <t>499004</t>
  </si>
  <si>
    <t>220777</t>
  </si>
  <si>
    <t>499006</t>
  </si>
  <si>
    <t>900052</t>
  </si>
  <si>
    <t>499012</t>
  </si>
  <si>
    <t>807021</t>
  </si>
  <si>
    <t>499015</t>
  </si>
  <si>
    <t>499021</t>
  </si>
  <si>
    <t>499024</t>
  </si>
  <si>
    <t>499028</t>
  </si>
  <si>
    <t>499031</t>
  </si>
  <si>
    <t>499032</t>
  </si>
  <si>
    <t>801002</t>
  </si>
  <si>
    <t>499038</t>
  </si>
  <si>
    <t>326028</t>
  </si>
  <si>
    <t>499045</t>
  </si>
  <si>
    <t>499047</t>
  </si>
  <si>
    <t>502681</t>
  </si>
  <si>
    <t>499048</t>
  </si>
  <si>
    <t>807038</t>
  </si>
  <si>
    <t>499049</t>
  </si>
  <si>
    <t>499050</t>
  </si>
  <si>
    <t>499052</t>
  </si>
  <si>
    <t>833164</t>
  </si>
  <si>
    <t>499054</t>
  </si>
  <si>
    <t>830010</t>
  </si>
  <si>
    <t>499056</t>
  </si>
  <si>
    <t>811626</t>
  </si>
  <si>
    <t>499058</t>
  </si>
  <si>
    <t>807509</t>
  </si>
  <si>
    <t>499059</t>
  </si>
  <si>
    <t>499060</t>
  </si>
  <si>
    <t>499061</t>
  </si>
  <si>
    <t>499062</t>
  </si>
  <si>
    <t>807020</t>
  </si>
  <si>
    <t>499063</t>
  </si>
  <si>
    <t>100031</t>
  </si>
  <si>
    <t>499066</t>
  </si>
  <si>
    <t>499067</t>
  </si>
  <si>
    <t>499068</t>
  </si>
  <si>
    <t>499069</t>
  </si>
  <si>
    <t>806033</t>
  </si>
  <si>
    <t>499072</t>
  </si>
  <si>
    <t>499073</t>
  </si>
  <si>
    <t>499076</t>
  </si>
  <si>
    <t>499081</t>
  </si>
  <si>
    <t>807069</t>
  </si>
  <si>
    <t>499085</t>
  </si>
  <si>
    <t>247013</t>
  </si>
  <si>
    <t>499086</t>
  </si>
  <si>
    <t>499093</t>
  </si>
  <si>
    <t>807012</t>
  </si>
  <si>
    <t>499094</t>
  </si>
  <si>
    <t>807004</t>
  </si>
  <si>
    <t>499097</t>
  </si>
  <si>
    <t>499098</t>
  </si>
  <si>
    <t>499101</t>
  </si>
  <si>
    <t>499106</t>
  </si>
  <si>
    <t>499109</t>
  </si>
  <si>
    <t>499113</t>
  </si>
  <si>
    <t>337003</t>
  </si>
  <si>
    <t>499114</t>
  </si>
  <si>
    <t>499117</t>
  </si>
  <si>
    <t>499118</t>
  </si>
  <si>
    <t>812042</t>
  </si>
  <si>
    <t>499121</t>
  </si>
  <si>
    <t>807612</t>
  </si>
  <si>
    <t>499130</t>
  </si>
  <si>
    <t>500687</t>
  </si>
  <si>
    <t>500688</t>
  </si>
  <si>
    <t>600076</t>
  </si>
  <si>
    <t>500689</t>
  </si>
  <si>
    <t>500691</t>
  </si>
  <si>
    <t>500695</t>
  </si>
  <si>
    <t>600072</t>
  </si>
  <si>
    <t>500697</t>
  </si>
  <si>
    <t>500699</t>
  </si>
  <si>
    <t>600040</t>
  </si>
  <si>
    <t>500700</t>
  </si>
  <si>
    <t>600041</t>
  </si>
  <si>
    <t>500702</t>
  </si>
  <si>
    <t>621018</t>
  </si>
  <si>
    <t>500703</t>
  </si>
  <si>
    <t>500704</t>
  </si>
  <si>
    <t>500706</t>
  </si>
  <si>
    <t>500716</t>
  </si>
  <si>
    <t>500717</t>
  </si>
  <si>
    <t>500721</t>
  </si>
  <si>
    <t>500724</t>
  </si>
  <si>
    <t>500725</t>
  </si>
  <si>
    <t>500730</t>
  </si>
  <si>
    <t>500734</t>
  </si>
  <si>
    <t>406049</t>
  </si>
  <si>
    <t>500735</t>
  </si>
  <si>
    <t>500740</t>
  </si>
  <si>
    <t>300022</t>
  </si>
  <si>
    <t>500745</t>
  </si>
  <si>
    <t>500750</t>
  </si>
  <si>
    <t>220005</t>
  </si>
  <si>
    <t>500753</t>
  </si>
  <si>
    <t>105412</t>
  </si>
  <si>
    <t>500755</t>
  </si>
  <si>
    <t>104216</t>
  </si>
  <si>
    <t>500758</t>
  </si>
  <si>
    <t>116602</t>
  </si>
  <si>
    <t>500763</t>
  </si>
  <si>
    <t>300079</t>
  </si>
  <si>
    <t>500764</t>
  </si>
  <si>
    <t>500768</t>
  </si>
  <si>
    <t>338207</t>
  </si>
  <si>
    <t>500771</t>
  </si>
  <si>
    <t>500773</t>
  </si>
  <si>
    <t>300048</t>
  </si>
  <si>
    <t>500780</t>
  </si>
  <si>
    <t>330064</t>
  </si>
  <si>
    <t>500781</t>
  </si>
  <si>
    <t>500785</t>
  </si>
  <si>
    <t>315003</t>
  </si>
  <si>
    <t>500788</t>
  </si>
  <si>
    <t>305</t>
  </si>
  <si>
    <t>500794</t>
  </si>
  <si>
    <t>302</t>
  </si>
  <si>
    <t>500795</t>
  </si>
  <si>
    <t>303117</t>
  </si>
  <si>
    <t>500798</t>
  </si>
  <si>
    <t>500804</t>
  </si>
  <si>
    <t>500808</t>
  </si>
  <si>
    <t>500812</t>
  </si>
  <si>
    <t>300039</t>
  </si>
  <si>
    <t>500816</t>
  </si>
  <si>
    <t>303031</t>
  </si>
  <si>
    <t>500820</t>
  </si>
  <si>
    <t>500821</t>
  </si>
  <si>
    <t>500825</t>
  </si>
  <si>
    <t>500829</t>
  </si>
  <si>
    <t>300014</t>
  </si>
  <si>
    <t>500834</t>
  </si>
  <si>
    <t>300069</t>
  </si>
  <si>
    <t>500838</t>
  </si>
  <si>
    <t>300010</t>
  </si>
  <si>
    <t>500839</t>
  </si>
  <si>
    <t>502391</t>
  </si>
  <si>
    <t>502392</t>
  </si>
  <si>
    <t>513011</t>
  </si>
  <si>
    <t>502395</t>
  </si>
  <si>
    <t>414037</t>
  </si>
  <si>
    <t>502396</t>
  </si>
  <si>
    <t>502407</t>
  </si>
  <si>
    <t>502408</t>
  </si>
  <si>
    <t>510034</t>
  </si>
  <si>
    <t>502415</t>
  </si>
  <si>
    <t>502416</t>
  </si>
  <si>
    <t>523100</t>
  </si>
  <si>
    <t>502419</t>
  </si>
  <si>
    <t>514010</t>
  </si>
  <si>
    <t>502423</t>
  </si>
  <si>
    <t>502424</t>
  </si>
  <si>
    <t>502427</t>
  </si>
  <si>
    <t>524007</t>
  </si>
  <si>
    <t>502428</t>
  </si>
  <si>
    <t>502431</t>
  </si>
  <si>
    <t>500050</t>
  </si>
  <si>
    <t>502432</t>
  </si>
  <si>
    <t>502435</t>
  </si>
  <si>
    <t>502436</t>
  </si>
  <si>
    <t>502439</t>
  </si>
  <si>
    <t>502440</t>
  </si>
  <si>
    <t>506017</t>
  </si>
  <si>
    <t>502443</t>
  </si>
  <si>
    <t>500042</t>
  </si>
  <si>
    <t>502445</t>
  </si>
  <si>
    <t>508011</t>
  </si>
  <si>
    <t>502450</t>
  </si>
  <si>
    <t>540019</t>
  </si>
  <si>
    <t>502452</t>
  </si>
  <si>
    <t>502460</t>
  </si>
  <si>
    <t>502463</t>
  </si>
  <si>
    <t>502465</t>
  </si>
  <si>
    <t>502468</t>
  </si>
  <si>
    <t>502474</t>
  </si>
  <si>
    <t>502479</t>
  </si>
  <si>
    <t>502480</t>
  </si>
  <si>
    <t>502482</t>
  </si>
  <si>
    <t>502483</t>
  </si>
  <si>
    <t>502484</t>
  </si>
  <si>
    <t>502485</t>
  </si>
  <si>
    <t>502487</t>
  </si>
  <si>
    <t>403003</t>
  </si>
  <si>
    <t>502488</t>
  </si>
  <si>
    <t>502490</t>
  </si>
  <si>
    <t>502494</t>
  </si>
  <si>
    <t>502496</t>
  </si>
  <si>
    <t>502497</t>
  </si>
  <si>
    <t>502498</t>
  </si>
  <si>
    <t>502499</t>
  </si>
  <si>
    <t>502501</t>
  </si>
  <si>
    <t>502502</t>
  </si>
  <si>
    <t>502503</t>
  </si>
  <si>
    <t>502504</t>
  </si>
  <si>
    <t>502507</t>
  </si>
  <si>
    <t>502508</t>
  </si>
  <si>
    <t>502514</t>
  </si>
  <si>
    <t>502515</t>
  </si>
  <si>
    <t>500003</t>
  </si>
  <si>
    <t>502518</t>
  </si>
  <si>
    <t>402005</t>
  </si>
  <si>
    <t>502519</t>
  </si>
  <si>
    <t>502522</t>
  </si>
  <si>
    <t>503010</t>
  </si>
  <si>
    <t>502523</t>
  </si>
  <si>
    <t>502526</t>
  </si>
  <si>
    <t>502530</t>
  </si>
  <si>
    <t>104057</t>
  </si>
  <si>
    <t>502531</t>
  </si>
  <si>
    <t>502535</t>
  </si>
  <si>
    <t>242043</t>
  </si>
  <si>
    <t>502538</t>
  </si>
  <si>
    <t>408468</t>
  </si>
  <si>
    <t>502539</t>
  </si>
  <si>
    <t>502542</t>
  </si>
  <si>
    <t>522015</t>
  </si>
  <si>
    <t>502543</t>
  </si>
  <si>
    <t>499131</t>
  </si>
  <si>
    <t>806007</t>
  </si>
  <si>
    <t>499132</t>
  </si>
  <si>
    <t>806006</t>
  </si>
  <si>
    <t>499137</t>
  </si>
  <si>
    <t>812648</t>
  </si>
  <si>
    <t>499138</t>
  </si>
  <si>
    <t>499139</t>
  </si>
  <si>
    <t>499141</t>
  </si>
  <si>
    <t>804052</t>
  </si>
  <si>
    <t>499142</t>
  </si>
  <si>
    <t>335009</t>
  </si>
  <si>
    <t>499143</t>
  </si>
  <si>
    <t>807027</t>
  </si>
  <si>
    <t>499144</t>
  </si>
  <si>
    <t>807058</t>
  </si>
  <si>
    <t>499147</t>
  </si>
  <si>
    <t>499148</t>
  </si>
  <si>
    <t>499149</t>
  </si>
  <si>
    <t>499150</t>
  </si>
  <si>
    <t>499153</t>
  </si>
  <si>
    <t>831602</t>
  </si>
  <si>
    <t>499157</t>
  </si>
  <si>
    <t>499161</t>
  </si>
  <si>
    <t>806026</t>
  </si>
  <si>
    <t>499164</t>
  </si>
  <si>
    <t>499165</t>
  </si>
  <si>
    <t>499173</t>
  </si>
  <si>
    <t>811025</t>
  </si>
  <si>
    <t>499174</t>
  </si>
  <si>
    <t>499177</t>
  </si>
  <si>
    <t>499181</t>
  </si>
  <si>
    <t>830688</t>
  </si>
  <si>
    <t>499185</t>
  </si>
  <si>
    <t>499186</t>
  </si>
  <si>
    <t>499190</t>
  </si>
  <si>
    <t>802032</t>
  </si>
  <si>
    <t>499194</t>
  </si>
  <si>
    <t>499197</t>
  </si>
  <si>
    <t>328010</t>
  </si>
  <si>
    <t>499198</t>
  </si>
  <si>
    <t>732011</t>
  </si>
  <si>
    <t>499201</t>
  </si>
  <si>
    <t>813419</t>
  </si>
  <si>
    <t>499202</t>
  </si>
  <si>
    <t>499205</t>
  </si>
  <si>
    <t>802019</t>
  </si>
  <si>
    <t>499206</t>
  </si>
  <si>
    <t>499210</t>
  </si>
  <si>
    <t>499213</t>
  </si>
  <si>
    <t>499214</t>
  </si>
  <si>
    <t>499217</t>
  </si>
  <si>
    <t>499219</t>
  </si>
  <si>
    <t>701024</t>
  </si>
  <si>
    <t>499228</t>
  </si>
  <si>
    <t>804603</t>
  </si>
  <si>
    <t>499229</t>
  </si>
  <si>
    <t>804604</t>
  </si>
  <si>
    <t>499233</t>
  </si>
  <si>
    <t>807014</t>
  </si>
  <si>
    <t>499234</t>
  </si>
  <si>
    <t>499237</t>
  </si>
  <si>
    <t>499238</t>
  </si>
  <si>
    <t>499242</t>
  </si>
  <si>
    <t>806011</t>
  </si>
  <si>
    <t>499244</t>
  </si>
  <si>
    <t>807754</t>
  </si>
  <si>
    <t>499249</t>
  </si>
  <si>
    <t>236671</t>
  </si>
  <si>
    <t>499253</t>
  </si>
  <si>
    <t>499255</t>
  </si>
  <si>
    <t>114045</t>
  </si>
  <si>
    <t>499263</t>
  </si>
  <si>
    <t>499266</t>
  </si>
  <si>
    <t>499271</t>
  </si>
  <si>
    <t>499273</t>
  </si>
  <si>
    <t>901005</t>
  </si>
  <si>
    <t>499276</t>
  </si>
  <si>
    <t>807523</t>
  </si>
  <si>
    <t>499281</t>
  </si>
  <si>
    <t>500842</t>
  </si>
  <si>
    <t>500847</t>
  </si>
  <si>
    <t>500848</t>
  </si>
  <si>
    <t>500854</t>
  </si>
  <si>
    <t>500861</t>
  </si>
  <si>
    <t>350032</t>
  </si>
  <si>
    <t>500862</t>
  </si>
  <si>
    <t>300047</t>
  </si>
  <si>
    <t>500866</t>
  </si>
  <si>
    <t>220753</t>
  </si>
  <si>
    <t>500870</t>
  </si>
  <si>
    <t>500871</t>
  </si>
  <si>
    <t>500880</t>
  </si>
  <si>
    <t>302041</t>
  </si>
  <si>
    <t>500881</t>
  </si>
  <si>
    <t>500884</t>
  </si>
  <si>
    <t>500885</t>
  </si>
  <si>
    <t>730024</t>
  </si>
  <si>
    <t>500890</t>
  </si>
  <si>
    <t>500894</t>
  </si>
  <si>
    <t>112401</t>
  </si>
  <si>
    <t>500896</t>
  </si>
  <si>
    <t>500899</t>
  </si>
  <si>
    <t>500900</t>
  </si>
  <si>
    <t>500915</t>
  </si>
  <si>
    <t>500919</t>
  </si>
  <si>
    <t>500923</t>
  </si>
  <si>
    <t>360009</t>
  </si>
  <si>
    <t>500927</t>
  </si>
  <si>
    <t>500928</t>
  </si>
  <si>
    <t>360031</t>
  </si>
  <si>
    <t>500931</t>
  </si>
  <si>
    <t>500932</t>
  </si>
  <si>
    <t>108045</t>
  </si>
  <si>
    <t>500937</t>
  </si>
  <si>
    <t>500941</t>
  </si>
  <si>
    <t>500943</t>
  </si>
  <si>
    <t>500948</t>
  </si>
  <si>
    <t>500949</t>
  </si>
  <si>
    <t>500954</t>
  </si>
  <si>
    <t>500955</t>
  </si>
  <si>
    <t>351007</t>
  </si>
  <si>
    <t>500957</t>
  </si>
  <si>
    <t>500958</t>
  </si>
  <si>
    <t>320050</t>
  </si>
  <si>
    <t>500959</t>
  </si>
  <si>
    <t>500961</t>
  </si>
  <si>
    <t>361</t>
  </si>
  <si>
    <t>500964</t>
  </si>
  <si>
    <t>500965</t>
  </si>
  <si>
    <t>500967</t>
  </si>
  <si>
    <t>500970</t>
  </si>
  <si>
    <t>407730</t>
  </si>
  <si>
    <t>500972</t>
  </si>
  <si>
    <t>220493</t>
  </si>
  <si>
    <t>500978</t>
  </si>
  <si>
    <t>338027</t>
  </si>
  <si>
    <t>500979</t>
  </si>
  <si>
    <t>500980</t>
  </si>
  <si>
    <t>236026</t>
  </si>
  <si>
    <t>500981</t>
  </si>
  <si>
    <t>353</t>
  </si>
  <si>
    <t>500984</t>
  </si>
  <si>
    <t>500985</t>
  </si>
  <si>
    <t>500988</t>
  </si>
  <si>
    <t>500990</t>
  </si>
  <si>
    <t>500993</t>
  </si>
  <si>
    <t>500994</t>
  </si>
  <si>
    <t>502546</t>
  </si>
  <si>
    <t>502547</t>
  </si>
  <si>
    <t>502548</t>
  </si>
  <si>
    <t>234640</t>
  </si>
  <si>
    <t>502549</t>
  </si>
  <si>
    <t>515001</t>
  </si>
  <si>
    <t>502550</t>
  </si>
  <si>
    <t>411613</t>
  </si>
  <si>
    <t>502552</t>
  </si>
  <si>
    <t>502555</t>
  </si>
  <si>
    <t>500328</t>
  </si>
  <si>
    <t>527004</t>
  </si>
  <si>
    <t>502556</t>
  </si>
  <si>
    <t>525002</t>
  </si>
  <si>
    <t>502557</t>
  </si>
  <si>
    <t>220684</t>
  </si>
  <si>
    <t>502559</t>
  </si>
  <si>
    <t>831123</t>
  </si>
  <si>
    <t>502562</t>
  </si>
  <si>
    <t>502564</t>
  </si>
  <si>
    <t>502565</t>
  </si>
  <si>
    <t>502566</t>
  </si>
  <si>
    <t>408251</t>
  </si>
  <si>
    <t>502567</t>
  </si>
  <si>
    <t>500031</t>
  </si>
  <si>
    <t>502569</t>
  </si>
  <si>
    <t>502570</t>
  </si>
  <si>
    <t>502573</t>
  </si>
  <si>
    <t>521002</t>
  </si>
  <si>
    <t>502574</t>
  </si>
  <si>
    <t>526007</t>
  </si>
  <si>
    <t>502579</t>
  </si>
  <si>
    <t>502582</t>
  </si>
  <si>
    <t>242059</t>
  </si>
  <si>
    <t>502583</t>
  </si>
  <si>
    <t>502586</t>
  </si>
  <si>
    <t>502587</t>
  </si>
  <si>
    <t>511006</t>
  </si>
  <si>
    <t>502590</t>
  </si>
  <si>
    <t>502591</t>
  </si>
  <si>
    <t>502600</t>
  </si>
  <si>
    <t>506016</t>
  </si>
  <si>
    <t>502603</t>
  </si>
  <si>
    <t>502604</t>
  </si>
  <si>
    <t>502607</t>
  </si>
  <si>
    <t>502612</t>
  </si>
  <si>
    <t>502616</t>
  </si>
  <si>
    <t>502621</t>
  </si>
  <si>
    <t>502625</t>
  </si>
  <si>
    <t>502628</t>
  </si>
  <si>
    <t>502632</t>
  </si>
  <si>
    <t>502637</t>
  </si>
  <si>
    <t>502648</t>
  </si>
  <si>
    <t>500022</t>
  </si>
  <si>
    <t>502649</t>
  </si>
  <si>
    <t>502652</t>
  </si>
  <si>
    <t>502653</t>
  </si>
  <si>
    <t>502656</t>
  </si>
  <si>
    <t>502664</t>
  </si>
  <si>
    <t>502665</t>
  </si>
  <si>
    <t>502668</t>
  </si>
  <si>
    <t>428010</t>
  </si>
  <si>
    <t>502673</t>
  </si>
  <si>
    <t>512001</t>
  </si>
  <si>
    <t>502684</t>
  </si>
  <si>
    <t>502685</t>
  </si>
  <si>
    <t>502689</t>
  </si>
  <si>
    <t>502697</t>
  </si>
  <si>
    <t>502700</t>
  </si>
  <si>
    <t>504249</t>
  </si>
  <si>
    <t>843005</t>
  </si>
  <si>
    <t>504251</t>
  </si>
  <si>
    <t>504253</t>
  </si>
  <si>
    <t>504254</t>
  </si>
  <si>
    <t>504255</t>
  </si>
  <si>
    <t>504256</t>
  </si>
  <si>
    <t>813001</t>
  </si>
  <si>
    <t>504258</t>
  </si>
  <si>
    <t>851001</t>
  </si>
  <si>
    <t>504259</t>
  </si>
  <si>
    <t>504260</t>
  </si>
  <si>
    <t>827009</t>
  </si>
  <si>
    <t>504264</t>
  </si>
  <si>
    <t>815005</t>
  </si>
  <si>
    <t>504265</t>
  </si>
  <si>
    <t>504266</t>
  </si>
  <si>
    <t>504271</t>
  </si>
  <si>
    <t>913001</t>
  </si>
  <si>
    <t>504272</t>
  </si>
  <si>
    <t>802681</t>
  </si>
  <si>
    <t>504275</t>
  </si>
  <si>
    <t>829008</t>
  </si>
  <si>
    <t>504277</t>
  </si>
  <si>
    <t>426995</t>
  </si>
  <si>
    <t>504281</t>
  </si>
  <si>
    <t>504283</t>
  </si>
  <si>
    <t>241074</t>
  </si>
  <si>
    <t>504286</t>
  </si>
  <si>
    <t>360021</t>
  </si>
  <si>
    <t>504288</t>
  </si>
  <si>
    <t>831114</t>
  </si>
  <si>
    <t>504292</t>
  </si>
  <si>
    <t>812007</t>
  </si>
  <si>
    <t>504303</t>
  </si>
  <si>
    <t>504305</t>
  </si>
  <si>
    <t>802008</t>
  </si>
  <si>
    <t>504307</t>
  </si>
  <si>
    <t>504311</t>
  </si>
  <si>
    <t>238701</t>
  </si>
  <si>
    <t>504313</t>
  </si>
  <si>
    <t>504315</t>
  </si>
  <si>
    <t>504317</t>
  </si>
  <si>
    <t>504319</t>
  </si>
  <si>
    <t>702011</t>
  </si>
  <si>
    <t>504325</t>
  </si>
  <si>
    <t>504327</t>
  </si>
  <si>
    <t>811649</t>
  </si>
  <si>
    <t>504329</t>
  </si>
  <si>
    <t>504334</t>
  </si>
  <si>
    <t>833667</t>
  </si>
  <si>
    <t>504338</t>
  </si>
  <si>
    <t>814025</t>
  </si>
  <si>
    <t>504340</t>
  </si>
  <si>
    <t>504344</t>
  </si>
  <si>
    <t>504350</t>
  </si>
  <si>
    <t>852004</t>
  </si>
  <si>
    <t>504354</t>
  </si>
  <si>
    <t>736402</t>
  </si>
  <si>
    <t>504358</t>
  </si>
  <si>
    <t>830040</t>
  </si>
  <si>
    <t>504360</t>
  </si>
  <si>
    <t>504362</t>
  </si>
  <si>
    <t>813727</t>
  </si>
  <si>
    <t>499287</t>
  </si>
  <si>
    <t>807630</t>
  </si>
  <si>
    <t>499290</t>
  </si>
  <si>
    <t>499291</t>
  </si>
  <si>
    <t>499292</t>
  </si>
  <si>
    <t>499293</t>
  </si>
  <si>
    <t>802023</t>
  </si>
  <si>
    <t>499294</t>
  </si>
  <si>
    <t>499295</t>
  </si>
  <si>
    <t>499299</t>
  </si>
  <si>
    <t>499303</t>
  </si>
  <si>
    <t>801007</t>
  </si>
  <si>
    <t>499305</t>
  </si>
  <si>
    <t>499309</t>
  </si>
  <si>
    <t>802662</t>
  </si>
  <si>
    <t>499310</t>
  </si>
  <si>
    <t>802048</t>
  </si>
  <si>
    <t>499313</t>
  </si>
  <si>
    <t>499314</t>
  </si>
  <si>
    <t>499322</t>
  </si>
  <si>
    <t>801601</t>
  </si>
  <si>
    <t>499328</t>
  </si>
  <si>
    <t>499329</t>
  </si>
  <si>
    <t>498464</t>
  </si>
  <si>
    <t>438009</t>
  </si>
  <si>
    <t>498465</t>
  </si>
  <si>
    <t>403629</t>
  </si>
  <si>
    <t>498468</t>
  </si>
  <si>
    <t>498469</t>
  </si>
  <si>
    <t>300052</t>
  </si>
  <si>
    <t>498476</t>
  </si>
  <si>
    <t>498477</t>
  </si>
  <si>
    <t>498481</t>
  </si>
  <si>
    <t>498489</t>
  </si>
  <si>
    <t>498492</t>
  </si>
  <si>
    <t>807467</t>
  </si>
  <si>
    <t>498493</t>
  </si>
  <si>
    <t>498496</t>
  </si>
  <si>
    <t>411025</t>
  </si>
  <si>
    <t>498502</t>
  </si>
  <si>
    <t>498508</t>
  </si>
  <si>
    <t>498512</t>
  </si>
  <si>
    <t>498516</t>
  </si>
  <si>
    <t>244017</t>
  </si>
  <si>
    <t>498521</t>
  </si>
  <si>
    <t>498525</t>
  </si>
  <si>
    <t>498528</t>
  </si>
  <si>
    <t>498529</t>
  </si>
  <si>
    <t>498532</t>
  </si>
  <si>
    <t>498533</t>
  </si>
  <si>
    <t>830002</t>
  </si>
  <si>
    <t>498537</t>
  </si>
  <si>
    <t>498544</t>
  </si>
  <si>
    <t>498548</t>
  </si>
  <si>
    <t>498549</t>
  </si>
  <si>
    <t>498553</t>
  </si>
  <si>
    <t>498561</t>
  </si>
  <si>
    <t>408013</t>
  </si>
  <si>
    <t>498564</t>
  </si>
  <si>
    <t>498568</t>
  </si>
  <si>
    <t>498572</t>
  </si>
  <si>
    <t>501619</t>
  </si>
  <si>
    <t>412911</t>
  </si>
  <si>
    <t>501623</t>
  </si>
  <si>
    <t>501624</t>
  </si>
  <si>
    <t>501627</t>
  </si>
  <si>
    <t>501628</t>
  </si>
  <si>
    <t>501631</t>
  </si>
  <si>
    <t>501636</t>
  </si>
  <si>
    <t>614</t>
  </si>
  <si>
    <t>501640</t>
  </si>
  <si>
    <t>501641</t>
  </si>
  <si>
    <t>501644</t>
  </si>
  <si>
    <t>501645</t>
  </si>
  <si>
    <t>421604</t>
  </si>
  <si>
    <t>501653</t>
  </si>
  <si>
    <t>406654</t>
  </si>
  <si>
    <t>501654</t>
  </si>
  <si>
    <t>408001</t>
  </si>
  <si>
    <t>501657</t>
  </si>
  <si>
    <t>501658</t>
  </si>
  <si>
    <t>434011</t>
  </si>
  <si>
    <t>501662</t>
  </si>
  <si>
    <t>501667</t>
  </si>
  <si>
    <t>501669</t>
  </si>
  <si>
    <t>406036</t>
  </si>
  <si>
    <t>501673</t>
  </si>
  <si>
    <t>501674</t>
  </si>
  <si>
    <t>330038</t>
  </si>
  <si>
    <t>501678</t>
  </si>
  <si>
    <t>501681</t>
  </si>
  <si>
    <t>501686</t>
  </si>
  <si>
    <t>540008</t>
  </si>
  <si>
    <t>501693</t>
  </si>
  <si>
    <t>501697</t>
  </si>
  <si>
    <t>501707</t>
  </si>
  <si>
    <t>433029</t>
  </si>
  <si>
    <t>501709</t>
  </si>
  <si>
    <t>501711</t>
  </si>
  <si>
    <t>501713</t>
  </si>
  <si>
    <t>501722</t>
  </si>
  <si>
    <t>411642</t>
  </si>
  <si>
    <t>501723</t>
  </si>
  <si>
    <t>436041</t>
  </si>
  <si>
    <t>501726</t>
  </si>
  <si>
    <t>501727</t>
  </si>
  <si>
    <t>501730</t>
  </si>
  <si>
    <t>501733</t>
  </si>
  <si>
    <t>501734</t>
  </si>
  <si>
    <t>501735</t>
  </si>
  <si>
    <t>501738</t>
  </si>
  <si>
    <t>501739</t>
  </si>
  <si>
    <t>501741</t>
  </si>
  <si>
    <t>501743</t>
  </si>
  <si>
    <t>501744</t>
  </si>
  <si>
    <t>501746</t>
  </si>
  <si>
    <t>421006</t>
  </si>
  <si>
    <t>501747</t>
  </si>
  <si>
    <t>501751</t>
  </si>
  <si>
    <t>401015</t>
  </si>
  <si>
    <t>501760</t>
  </si>
  <si>
    <t>501764</t>
  </si>
  <si>
    <t>501769</t>
  </si>
  <si>
    <t>503940</t>
  </si>
  <si>
    <t>503941</t>
  </si>
  <si>
    <t>503944</t>
  </si>
  <si>
    <t>714004</t>
  </si>
  <si>
    <t>503948</t>
  </si>
  <si>
    <t>730</t>
  </si>
  <si>
    <t>503953</t>
  </si>
  <si>
    <t>710031</t>
  </si>
  <si>
    <t>503956</t>
  </si>
  <si>
    <t>503960</t>
  </si>
  <si>
    <t>717005</t>
  </si>
  <si>
    <t>503961</t>
  </si>
  <si>
    <t>503964</t>
  </si>
  <si>
    <t>812037</t>
  </si>
  <si>
    <t>503965</t>
  </si>
  <si>
    <t>503969</t>
  </si>
  <si>
    <t>503970</t>
  </si>
  <si>
    <t>830017</t>
  </si>
  <si>
    <t>503973</t>
  </si>
  <si>
    <t>503974</t>
  </si>
  <si>
    <t>503978</t>
  </si>
  <si>
    <t>320017</t>
  </si>
  <si>
    <t>503982</t>
  </si>
  <si>
    <t>503985</t>
  </si>
  <si>
    <t>503986</t>
  </si>
  <si>
    <t>814009</t>
  </si>
  <si>
    <t>503989</t>
  </si>
  <si>
    <t>840007</t>
  </si>
  <si>
    <t>503990</t>
  </si>
  <si>
    <t>503994</t>
  </si>
  <si>
    <t>503998</t>
  </si>
  <si>
    <t>712002</t>
  </si>
  <si>
    <t>503999</t>
  </si>
  <si>
    <t>829002</t>
  </si>
  <si>
    <t>824001</t>
  </si>
  <si>
    <t>504011</t>
  </si>
  <si>
    <t>504013</t>
  </si>
  <si>
    <t>829004</t>
  </si>
  <si>
    <t>504015</t>
  </si>
  <si>
    <t>504017</t>
  </si>
  <si>
    <t>828114</t>
  </si>
  <si>
    <t>504019</t>
  </si>
  <si>
    <t>811006</t>
  </si>
  <si>
    <t>504022</t>
  </si>
  <si>
    <t>804351</t>
  </si>
  <si>
    <t>504024</t>
  </si>
  <si>
    <t>842046</t>
  </si>
  <si>
    <t>504027</t>
  </si>
  <si>
    <t>504029</t>
  </si>
  <si>
    <t>847001</t>
  </si>
  <si>
    <t>504031</t>
  </si>
  <si>
    <t>829006</t>
  </si>
  <si>
    <t>504033</t>
  </si>
  <si>
    <t>504035</t>
  </si>
  <si>
    <t>221613</t>
  </si>
  <si>
    <t>504038</t>
  </si>
  <si>
    <t>504042</t>
  </si>
  <si>
    <t>504044</t>
  </si>
  <si>
    <t>504051</t>
  </si>
  <si>
    <t>504058</t>
  </si>
  <si>
    <t>830696</t>
  </si>
  <si>
    <t>504061</t>
  </si>
  <si>
    <t>504062</t>
  </si>
  <si>
    <t>504063</t>
  </si>
  <si>
    <t>504064</t>
  </si>
  <si>
    <t>504065</t>
  </si>
  <si>
    <t>821011</t>
  </si>
  <si>
    <t>504066</t>
  </si>
  <si>
    <t>504067</t>
  </si>
  <si>
    <t>828106</t>
  </si>
  <si>
    <t>504071</t>
  </si>
  <si>
    <t>833171</t>
  </si>
  <si>
    <t>504077</t>
  </si>
  <si>
    <t>840001</t>
  </si>
  <si>
    <t>504078</t>
  </si>
  <si>
    <t>504079</t>
  </si>
  <si>
    <t>833165</t>
  </si>
  <si>
    <t>504083</t>
  </si>
  <si>
    <t>504087</t>
  </si>
  <si>
    <t>830023</t>
  </si>
  <si>
    <t>504088</t>
  </si>
  <si>
    <t>504091</t>
  </si>
  <si>
    <t>504092</t>
  </si>
  <si>
    <t>501773</t>
  </si>
  <si>
    <t>334015</t>
  </si>
  <si>
    <t>501776</t>
  </si>
  <si>
    <t>501777</t>
  </si>
  <si>
    <t>433002</t>
  </si>
  <si>
    <t>501778</t>
  </si>
  <si>
    <t>501780</t>
  </si>
  <si>
    <t>501786</t>
  </si>
  <si>
    <t>501788</t>
  </si>
  <si>
    <t>501789</t>
  </si>
  <si>
    <t>411628</t>
  </si>
  <si>
    <t>501791</t>
  </si>
  <si>
    <t>501797</t>
  </si>
  <si>
    <t>501800</t>
  </si>
  <si>
    <t>501801</t>
  </si>
  <si>
    <t>501805</t>
  </si>
  <si>
    <t>501808</t>
  </si>
  <si>
    <t>434028</t>
  </si>
  <si>
    <t>501812</t>
  </si>
  <si>
    <t>501813</t>
  </si>
  <si>
    <t>501816</t>
  </si>
  <si>
    <t>501817</t>
  </si>
  <si>
    <t>501825</t>
  </si>
  <si>
    <t>501836</t>
  </si>
  <si>
    <t>501841</t>
  </si>
  <si>
    <t>501844</t>
  </si>
  <si>
    <t>501848</t>
  </si>
  <si>
    <t>501849</t>
  </si>
  <si>
    <t>501852</t>
  </si>
  <si>
    <t>501853</t>
  </si>
  <si>
    <t>501856</t>
  </si>
  <si>
    <t>501857</t>
  </si>
  <si>
    <t>501864</t>
  </si>
  <si>
    <t>542005</t>
  </si>
  <si>
    <t>501869</t>
  </si>
  <si>
    <t>501872</t>
  </si>
  <si>
    <t>252002</t>
  </si>
  <si>
    <t>501873</t>
  </si>
  <si>
    <t>501880</t>
  </si>
  <si>
    <t>501885</t>
  </si>
  <si>
    <t>540024</t>
  </si>
  <si>
    <t>501886</t>
  </si>
  <si>
    <t>235046</t>
  </si>
  <si>
    <t>501893</t>
  </si>
  <si>
    <t>501895</t>
  </si>
  <si>
    <t>238017</t>
  </si>
  <si>
    <t>501897</t>
  </si>
  <si>
    <t>551001</t>
  </si>
  <si>
    <t>501903</t>
  </si>
  <si>
    <t>501906</t>
  </si>
  <si>
    <t>501911</t>
  </si>
  <si>
    <t>540011</t>
  </si>
  <si>
    <t>501914</t>
  </si>
  <si>
    <t>542017</t>
  </si>
  <si>
    <t>501915</t>
  </si>
  <si>
    <t>408009</t>
  </si>
  <si>
    <t>501918</t>
  </si>
  <si>
    <t>501923</t>
  </si>
  <si>
    <t>504094</t>
  </si>
  <si>
    <t>806042</t>
  </si>
  <si>
    <t>504095</t>
  </si>
  <si>
    <t>504097</t>
  </si>
  <si>
    <t>504099</t>
  </si>
  <si>
    <t>820012</t>
  </si>
  <si>
    <t>504101</t>
  </si>
  <si>
    <t>504104</t>
  </si>
  <si>
    <t>504107</t>
  </si>
  <si>
    <t>504110</t>
  </si>
  <si>
    <t>847002</t>
  </si>
  <si>
    <t>504111</t>
  </si>
  <si>
    <t>807307</t>
  </si>
  <si>
    <t>504113</t>
  </si>
  <si>
    <t>504114</t>
  </si>
  <si>
    <t>504115</t>
  </si>
  <si>
    <t>504118</t>
  </si>
  <si>
    <t>504119</t>
  </si>
  <si>
    <t>823004</t>
  </si>
  <si>
    <t>504126</t>
  </si>
  <si>
    <t>504127</t>
  </si>
  <si>
    <t>824006</t>
  </si>
  <si>
    <t>504130</t>
  </si>
  <si>
    <t>504134</t>
  </si>
  <si>
    <t>814032</t>
  </si>
  <si>
    <t>504135</t>
  </si>
  <si>
    <t>826007</t>
  </si>
  <si>
    <t>504139</t>
  </si>
  <si>
    <t>802619</t>
  </si>
  <si>
    <t>504143</t>
  </si>
  <si>
    <t>438008</t>
  </si>
  <si>
    <t>504147</t>
  </si>
  <si>
    <t>846054</t>
  </si>
  <si>
    <t>504150</t>
  </si>
  <si>
    <t>504151</t>
  </si>
  <si>
    <t>504154</t>
  </si>
  <si>
    <t>825007</t>
  </si>
  <si>
    <t>504159</t>
  </si>
  <si>
    <t>504160</t>
  </si>
  <si>
    <t>807461</t>
  </si>
  <si>
    <t>504166</t>
  </si>
  <si>
    <t>330626</t>
  </si>
  <si>
    <t>504167</t>
  </si>
  <si>
    <t>806020</t>
  </si>
  <si>
    <t>504171</t>
  </si>
  <si>
    <t>504175</t>
  </si>
  <si>
    <t>238028</t>
  </si>
  <si>
    <t>504176</t>
  </si>
  <si>
    <t>504180</t>
  </si>
  <si>
    <t>504188</t>
  </si>
  <si>
    <t>830</t>
  </si>
  <si>
    <t>504189</t>
  </si>
  <si>
    <t>820112</t>
  </si>
  <si>
    <t>504193</t>
  </si>
  <si>
    <t>504197</t>
  </si>
  <si>
    <t>820679</t>
  </si>
  <si>
    <t>504198</t>
  </si>
  <si>
    <t>830715</t>
  </si>
  <si>
    <t>504203</t>
  </si>
  <si>
    <t>814030</t>
  </si>
  <si>
    <t>504205</t>
  </si>
  <si>
    <t>825004</t>
  </si>
  <si>
    <t>504208</t>
  </si>
  <si>
    <t>840008</t>
  </si>
  <si>
    <t>504209</t>
  </si>
  <si>
    <t>504213</t>
  </si>
  <si>
    <t>504216</t>
  </si>
  <si>
    <t>504217</t>
  </si>
  <si>
    <t>807506</t>
  </si>
  <si>
    <t>504220</t>
  </si>
  <si>
    <t>504221</t>
  </si>
  <si>
    <t>504224</t>
  </si>
  <si>
    <t>504225</t>
  </si>
  <si>
    <t>504228</t>
  </si>
  <si>
    <t>504235</t>
  </si>
  <si>
    <t>826008</t>
  </si>
  <si>
    <t>504237</t>
  </si>
  <si>
    <t>504239</t>
  </si>
  <si>
    <t>612004</t>
  </si>
  <si>
    <t>504241</t>
  </si>
  <si>
    <t>830691</t>
  </si>
  <si>
    <t>504244</t>
  </si>
  <si>
    <t>504247</t>
  </si>
  <si>
    <t>813023</t>
  </si>
  <si>
    <t>498578</t>
  </si>
  <si>
    <t>498579</t>
  </si>
  <si>
    <t>408002</t>
  </si>
  <si>
    <t>498581</t>
  </si>
  <si>
    <t>498583</t>
  </si>
  <si>
    <t>498584</t>
  </si>
  <si>
    <t>498585</t>
  </si>
  <si>
    <t>498587</t>
  </si>
  <si>
    <t>498588</t>
  </si>
  <si>
    <t>498589</t>
  </si>
  <si>
    <t>403413</t>
  </si>
  <si>
    <t>498590</t>
  </si>
  <si>
    <t>704013</t>
  </si>
  <si>
    <t>498592</t>
  </si>
  <si>
    <t>406035</t>
  </si>
  <si>
    <t>498594</t>
  </si>
  <si>
    <t>498596</t>
  </si>
  <si>
    <t>498600</t>
  </si>
  <si>
    <t>498602</t>
  </si>
  <si>
    <t>412029</t>
  </si>
  <si>
    <t>498607</t>
  </si>
  <si>
    <t>403032</t>
  </si>
  <si>
    <t>498609</t>
  </si>
  <si>
    <t>498611</t>
  </si>
  <si>
    <t>498616</t>
  </si>
  <si>
    <t>408348</t>
  </si>
  <si>
    <t>498618</t>
  </si>
  <si>
    <t>498620</t>
  </si>
  <si>
    <t>498622</t>
  </si>
  <si>
    <t>242019</t>
  </si>
  <si>
    <t>498624</t>
  </si>
  <si>
    <t>498629</t>
  </si>
  <si>
    <t>333015</t>
  </si>
  <si>
    <t>498631</t>
  </si>
  <si>
    <t>498634</t>
  </si>
  <si>
    <t>202013</t>
  </si>
  <si>
    <t>498636</t>
  </si>
  <si>
    <t>498639</t>
  </si>
  <si>
    <t>206009</t>
  </si>
  <si>
    <t>498643</t>
  </si>
  <si>
    <t>105401</t>
  </si>
  <si>
    <t>498645</t>
  </si>
  <si>
    <t>241015</t>
  </si>
  <si>
    <t>498649</t>
  </si>
  <si>
    <t>200009</t>
  </si>
  <si>
    <t>498651</t>
  </si>
  <si>
    <t>204007</t>
  </si>
  <si>
    <t>498657</t>
  </si>
  <si>
    <t>498659</t>
  </si>
  <si>
    <t>262005</t>
  </si>
  <si>
    <t>498663</t>
  </si>
  <si>
    <t>206010</t>
  </si>
  <si>
    <t>334034</t>
  </si>
  <si>
    <t>500329</t>
  </si>
  <si>
    <t>500330</t>
  </si>
  <si>
    <t>500331</t>
  </si>
  <si>
    <t>231069</t>
  </si>
  <si>
    <t>500332</t>
  </si>
  <si>
    <t>320006</t>
  </si>
  <si>
    <t>500338</t>
  </si>
  <si>
    <t>327001</t>
  </si>
  <si>
    <t>500340</t>
  </si>
  <si>
    <t>500343</t>
  </si>
  <si>
    <t>500344</t>
  </si>
  <si>
    <t>500345</t>
  </si>
  <si>
    <t>328003</t>
  </si>
  <si>
    <t>500346</t>
  </si>
  <si>
    <t>500348</t>
  </si>
  <si>
    <t>330013</t>
  </si>
  <si>
    <t>500349</t>
  </si>
  <si>
    <t>500350</t>
  </si>
  <si>
    <t>500351</t>
  </si>
  <si>
    <t>500353</t>
  </si>
  <si>
    <t>220062</t>
  </si>
  <si>
    <t>500362</t>
  </si>
  <si>
    <t>500364</t>
  </si>
  <si>
    <t>402369</t>
  </si>
  <si>
    <t>500372</t>
  </si>
  <si>
    <t>500374</t>
  </si>
  <si>
    <t>324024</t>
  </si>
  <si>
    <t>501928</t>
  </si>
  <si>
    <t>408007</t>
  </si>
  <si>
    <t>501930</t>
  </si>
  <si>
    <t>303107</t>
  </si>
  <si>
    <t>501931</t>
  </si>
  <si>
    <t>501934</t>
  </si>
  <si>
    <t>556004</t>
  </si>
  <si>
    <t>501935</t>
  </si>
  <si>
    <t>116076</t>
  </si>
  <si>
    <t>501937</t>
  </si>
  <si>
    <t>542022</t>
  </si>
  <si>
    <t>501938</t>
  </si>
  <si>
    <t>501940</t>
  </si>
  <si>
    <t>406015</t>
  </si>
  <si>
    <t>501942</t>
  </si>
  <si>
    <t>542009</t>
  </si>
  <si>
    <t>501943</t>
  </si>
  <si>
    <t>501945</t>
  </si>
  <si>
    <t>501948</t>
  </si>
  <si>
    <t>501952</t>
  </si>
  <si>
    <t>501960</t>
  </si>
  <si>
    <t>501967</t>
  </si>
  <si>
    <t>413010</t>
  </si>
  <si>
    <t>501975</t>
  </si>
  <si>
    <t>501976</t>
  </si>
  <si>
    <t>501980</t>
  </si>
  <si>
    <t>501985</t>
  </si>
  <si>
    <t>501992</t>
  </si>
  <si>
    <t>106087</t>
  </si>
  <si>
    <t>501994</t>
  </si>
  <si>
    <t>403007</t>
  </si>
  <si>
    <t>501996</t>
  </si>
  <si>
    <t>231641</t>
  </si>
  <si>
    <t>501999</t>
  </si>
  <si>
    <t>502005</t>
  </si>
  <si>
    <t>408322</t>
  </si>
  <si>
    <t>502009</t>
  </si>
  <si>
    <t>502013</t>
  </si>
  <si>
    <t>502019</t>
  </si>
  <si>
    <t>502020</t>
  </si>
  <si>
    <t>502024</t>
  </si>
  <si>
    <t>502027</t>
  </si>
  <si>
    <t>403030</t>
  </si>
  <si>
    <t>502028</t>
  </si>
  <si>
    <t>502036</t>
  </si>
  <si>
    <t>406002</t>
  </si>
  <si>
    <t>502040</t>
  </si>
  <si>
    <t>502044</t>
  </si>
  <si>
    <t>540012</t>
  </si>
  <si>
    <t>502052</t>
  </si>
  <si>
    <t>542008</t>
  </si>
  <si>
    <t>502056</t>
  </si>
  <si>
    <t>555007</t>
  </si>
  <si>
    <t>502058</t>
  </si>
  <si>
    <t>414012</t>
  </si>
  <si>
    <t>502061</t>
  </si>
  <si>
    <t>502065</t>
  </si>
  <si>
    <t>551009</t>
  </si>
  <si>
    <t>502069</t>
  </si>
  <si>
    <t>502078</t>
  </si>
  <si>
    <t>498664</t>
  </si>
  <si>
    <t>206008</t>
  </si>
  <si>
    <t>498666</t>
  </si>
  <si>
    <t>204004</t>
  </si>
  <si>
    <t>498667</t>
  </si>
  <si>
    <t>224009</t>
  </si>
  <si>
    <t>498668</t>
  </si>
  <si>
    <t>498669</t>
  </si>
  <si>
    <t>498670</t>
  </si>
  <si>
    <t>498673</t>
  </si>
  <si>
    <t>338203</t>
  </si>
  <si>
    <t>498674</t>
  </si>
  <si>
    <t>498675</t>
  </si>
  <si>
    <t>498676</t>
  </si>
  <si>
    <t>244016</t>
  </si>
  <si>
    <t>498679</t>
  </si>
  <si>
    <t>204017</t>
  </si>
  <si>
    <t>498681</t>
  </si>
  <si>
    <t>498682</t>
  </si>
  <si>
    <t>498683</t>
  </si>
  <si>
    <t>105001</t>
  </si>
  <si>
    <t>498688</t>
  </si>
  <si>
    <t>498689</t>
  </si>
  <si>
    <t>206003</t>
  </si>
  <si>
    <t>498694</t>
  </si>
  <si>
    <t>498695</t>
  </si>
  <si>
    <t>508022</t>
  </si>
  <si>
    <t>498698</t>
  </si>
  <si>
    <t>710008</t>
  </si>
  <si>
    <t>498702</t>
  </si>
  <si>
    <t>498715</t>
  </si>
  <si>
    <t>498719</t>
  </si>
  <si>
    <t>498720</t>
  </si>
  <si>
    <t>717018</t>
  </si>
  <si>
    <t>498724</t>
  </si>
  <si>
    <t>111059</t>
  </si>
  <si>
    <t>498727</t>
  </si>
  <si>
    <t>320037</t>
  </si>
  <si>
    <t>498728</t>
  </si>
  <si>
    <t>498731</t>
  </si>
  <si>
    <t>743002</t>
  </si>
  <si>
    <t>498737</t>
  </si>
  <si>
    <t>498742</t>
  </si>
  <si>
    <t>498746</t>
  </si>
  <si>
    <t>700007</t>
  </si>
  <si>
    <t>498749</t>
  </si>
  <si>
    <t>709040</t>
  </si>
  <si>
    <t>498750</t>
  </si>
  <si>
    <t>498754</t>
  </si>
  <si>
    <t>701010</t>
  </si>
  <si>
    <t>498758</t>
  </si>
  <si>
    <t>404023</t>
  </si>
  <si>
    <t>498761</t>
  </si>
  <si>
    <t>498762</t>
  </si>
  <si>
    <t>704032</t>
  </si>
  <si>
    <t>498765</t>
  </si>
  <si>
    <t>702023</t>
  </si>
  <si>
    <t>498766</t>
  </si>
  <si>
    <t>498769</t>
  </si>
  <si>
    <t>709014</t>
  </si>
  <si>
    <t>498770</t>
  </si>
  <si>
    <t>498773</t>
  </si>
  <si>
    <t>498777</t>
  </si>
  <si>
    <t>498781</t>
  </si>
  <si>
    <t>709019</t>
  </si>
  <si>
    <t>498782</t>
  </si>
  <si>
    <t>498786</t>
  </si>
  <si>
    <t>701044</t>
  </si>
  <si>
    <t>498789</t>
  </si>
  <si>
    <t>498790</t>
  </si>
  <si>
    <t>700025</t>
  </si>
  <si>
    <t>498793</t>
  </si>
  <si>
    <t>709022</t>
  </si>
  <si>
    <t>498795</t>
  </si>
  <si>
    <t>715003</t>
  </si>
  <si>
    <t>498797</t>
  </si>
  <si>
    <t>221006</t>
  </si>
  <si>
    <t>498801</t>
  </si>
  <si>
    <t>701032</t>
  </si>
  <si>
    <t>498803</t>
  </si>
  <si>
    <t>498805</t>
  </si>
  <si>
    <t>498807</t>
  </si>
  <si>
    <t>704021</t>
  </si>
  <si>
    <t>498811</t>
  </si>
  <si>
    <t>500375</t>
  </si>
  <si>
    <t>320579</t>
  </si>
  <si>
    <t>500377</t>
  </si>
  <si>
    <t>500378</t>
  </si>
  <si>
    <t>333017</t>
  </si>
  <si>
    <t>500380</t>
  </si>
  <si>
    <t>325013</t>
  </si>
  <si>
    <t>500381</t>
  </si>
  <si>
    <t>327007</t>
  </si>
  <si>
    <t>500384</t>
  </si>
  <si>
    <t>330016</t>
  </si>
  <si>
    <t>500386</t>
  </si>
  <si>
    <t>500387</t>
  </si>
  <si>
    <t>500389</t>
  </si>
  <si>
    <t>320029</t>
  </si>
  <si>
    <t>500392</t>
  </si>
  <si>
    <t>500394</t>
  </si>
  <si>
    <t>500396</t>
  </si>
  <si>
    <t>500398</t>
  </si>
  <si>
    <t>328015</t>
  </si>
  <si>
    <t>500402</t>
  </si>
  <si>
    <t>500405</t>
  </si>
  <si>
    <t>500406</t>
  </si>
  <si>
    <t>330017</t>
  </si>
  <si>
    <t>500409</t>
  </si>
  <si>
    <t>500410</t>
  </si>
  <si>
    <t>330021</t>
  </si>
  <si>
    <t>500413</t>
  </si>
  <si>
    <t>500414</t>
  </si>
  <si>
    <t>324037</t>
  </si>
  <si>
    <t>500417</t>
  </si>
  <si>
    <t>500418</t>
  </si>
  <si>
    <t>500421</t>
  </si>
  <si>
    <t>500426</t>
  </si>
  <si>
    <t>500429</t>
  </si>
  <si>
    <t>500430</t>
  </si>
  <si>
    <t>500434</t>
  </si>
  <si>
    <t>320025</t>
  </si>
  <si>
    <t>500437</t>
  </si>
  <si>
    <t>500438</t>
  </si>
  <si>
    <t>500441</t>
  </si>
  <si>
    <t>500442</t>
  </si>
  <si>
    <t>500445</t>
  </si>
  <si>
    <t>320004</t>
  </si>
  <si>
    <t>500446</t>
  </si>
  <si>
    <t>500449</t>
  </si>
  <si>
    <t>500450</t>
  </si>
  <si>
    <t>334025</t>
  </si>
  <si>
    <t>500453</t>
  </si>
  <si>
    <t>324002</t>
  </si>
  <si>
    <t>500454</t>
  </si>
  <si>
    <t>500458</t>
  </si>
  <si>
    <t>310016</t>
  </si>
  <si>
    <t>500461</t>
  </si>
  <si>
    <t>500462</t>
  </si>
  <si>
    <t>324025</t>
  </si>
  <si>
    <t>500465</t>
  </si>
  <si>
    <t>500466</t>
  </si>
  <si>
    <t>326023</t>
  </si>
  <si>
    <t>500470</t>
  </si>
  <si>
    <t>500471</t>
  </si>
  <si>
    <t>334007</t>
  </si>
  <si>
    <t>500476</t>
  </si>
  <si>
    <t>105026</t>
  </si>
  <si>
    <t>500477</t>
  </si>
  <si>
    <t>338013</t>
  </si>
  <si>
    <t>500483</t>
  </si>
  <si>
    <t>407057</t>
  </si>
  <si>
    <t>500486</t>
  </si>
  <si>
    <t>403004</t>
  </si>
  <si>
    <t>500487</t>
  </si>
  <si>
    <t>500491</t>
  </si>
  <si>
    <t>500494</t>
  </si>
  <si>
    <t>338119</t>
  </si>
  <si>
    <t>500495</t>
  </si>
  <si>
    <t>500498</t>
  </si>
  <si>
    <t>500499</t>
  </si>
  <si>
    <t>500503</t>
  </si>
  <si>
    <t>500508</t>
  </si>
  <si>
    <t>500515</t>
  </si>
  <si>
    <t>500519</t>
  </si>
  <si>
    <t>500523</t>
  </si>
  <si>
    <t>502083</t>
  </si>
  <si>
    <t>502084</t>
  </si>
  <si>
    <t>502092</t>
  </si>
  <si>
    <t>408209</t>
  </si>
  <si>
    <t>502095</t>
  </si>
  <si>
    <t>502096</t>
  </si>
  <si>
    <t>502097</t>
  </si>
  <si>
    <t>502098</t>
  </si>
  <si>
    <t>502100</t>
  </si>
  <si>
    <t>542013</t>
  </si>
  <si>
    <t>502105</t>
  </si>
  <si>
    <t>544008</t>
  </si>
  <si>
    <t>502108</t>
  </si>
  <si>
    <t>556005</t>
  </si>
  <si>
    <t>502109</t>
  </si>
  <si>
    <t>502113</t>
  </si>
  <si>
    <t>407058</t>
  </si>
  <si>
    <t>502115</t>
  </si>
  <si>
    <t>502121</t>
  </si>
  <si>
    <t>540017</t>
  </si>
  <si>
    <t>502122</t>
  </si>
  <si>
    <t>412342</t>
  </si>
  <si>
    <t>502125</t>
  </si>
  <si>
    <t>502127</t>
  </si>
  <si>
    <t>502131</t>
  </si>
  <si>
    <t>502135</t>
  </si>
  <si>
    <t>502136</t>
  </si>
  <si>
    <t>502140</t>
  </si>
  <si>
    <t>502145</t>
  </si>
  <si>
    <t>502146</t>
  </si>
  <si>
    <t>502150</t>
  </si>
  <si>
    <t>502154</t>
  </si>
  <si>
    <t>502157</t>
  </si>
  <si>
    <t>513002</t>
  </si>
  <si>
    <t>502161</t>
  </si>
  <si>
    <t>502162</t>
  </si>
  <si>
    <t>502165</t>
  </si>
  <si>
    <t>720</t>
  </si>
  <si>
    <t>502166</t>
  </si>
  <si>
    <t>407625</t>
  </si>
  <si>
    <t>502169</t>
  </si>
  <si>
    <t>502170</t>
  </si>
  <si>
    <t>110013</t>
  </si>
  <si>
    <t>502174</t>
  </si>
  <si>
    <t>510038</t>
  </si>
  <si>
    <t>502183</t>
  </si>
  <si>
    <t>502189</t>
  </si>
  <si>
    <t>502190</t>
  </si>
  <si>
    <t>502194</t>
  </si>
  <si>
    <t>502195</t>
  </si>
  <si>
    <t>528001</t>
  </si>
  <si>
    <t>502199</t>
  </si>
  <si>
    <t>502200</t>
  </si>
  <si>
    <t>502204</t>
  </si>
  <si>
    <t>502212</t>
  </si>
  <si>
    <t>502214</t>
  </si>
  <si>
    <t>502219</t>
  </si>
  <si>
    <t>504866</t>
  </si>
  <si>
    <t>502221</t>
  </si>
  <si>
    <t>502226</t>
  </si>
  <si>
    <t>506030</t>
  </si>
  <si>
    <t>502230</t>
  </si>
  <si>
    <t>502231</t>
  </si>
  <si>
    <t>830616</t>
  </si>
  <si>
    <t>498820</t>
  </si>
  <si>
    <t>709028</t>
  </si>
  <si>
    <t>498823</t>
  </si>
  <si>
    <t>498825</t>
  </si>
  <si>
    <t>498826</t>
  </si>
  <si>
    <t>498828</t>
  </si>
  <si>
    <t>498829</t>
  </si>
  <si>
    <t>498830</t>
  </si>
  <si>
    <t>701011</t>
  </si>
  <si>
    <t>498831</t>
  </si>
  <si>
    <t>498834</t>
  </si>
  <si>
    <t>498835</t>
  </si>
  <si>
    <t>702020</t>
  </si>
  <si>
    <t>498836</t>
  </si>
  <si>
    <t>709021</t>
  </si>
  <si>
    <t>498838</t>
  </si>
  <si>
    <t>498839</t>
  </si>
  <si>
    <t>498843</t>
  </si>
  <si>
    <t>710015</t>
  </si>
  <si>
    <t>498844</t>
  </si>
  <si>
    <t>503023</t>
  </si>
  <si>
    <t>503025</t>
  </si>
  <si>
    <t>503026</t>
  </si>
  <si>
    <t>503028</t>
  </si>
  <si>
    <t>655023</t>
  </si>
  <si>
    <t>503029</t>
  </si>
  <si>
    <t>106097</t>
  </si>
  <si>
    <t>503030</t>
  </si>
  <si>
    <t>503031</t>
  </si>
  <si>
    <t>503035</t>
  </si>
  <si>
    <t>806034</t>
  </si>
  <si>
    <t>503036</t>
  </si>
  <si>
    <t>503037</t>
  </si>
  <si>
    <t>503038</t>
  </si>
  <si>
    <t>220072</t>
  </si>
  <si>
    <t>503039</t>
  </si>
  <si>
    <t>652</t>
  </si>
  <si>
    <t>503044</t>
  </si>
  <si>
    <t>320034</t>
  </si>
  <si>
    <t>503045</t>
  </si>
  <si>
    <t>231020</t>
  </si>
  <si>
    <t>503049</t>
  </si>
  <si>
    <t>503052</t>
  </si>
  <si>
    <t>499504</t>
  </si>
  <si>
    <t>640155</t>
  </si>
  <si>
    <t>503053</t>
  </si>
  <si>
    <t>404012</t>
  </si>
  <si>
    <t>503066</t>
  </si>
  <si>
    <t>237</t>
  </si>
  <si>
    <t>503067</t>
  </si>
  <si>
    <t>503070</t>
  </si>
  <si>
    <t>651011</t>
  </si>
  <si>
    <t>503071</t>
  </si>
  <si>
    <t>503074</t>
  </si>
  <si>
    <t>503082</t>
  </si>
  <si>
    <t>241081</t>
  </si>
  <si>
    <t>503083</t>
  </si>
  <si>
    <t>503086</t>
  </si>
  <si>
    <t>503087</t>
  </si>
  <si>
    <t>503095</t>
  </si>
  <si>
    <t>646008</t>
  </si>
  <si>
    <t>503106</t>
  </si>
  <si>
    <t>648</t>
  </si>
  <si>
    <t>503107</t>
  </si>
  <si>
    <t>503110</t>
  </si>
  <si>
    <t>503115</t>
  </si>
  <si>
    <t>503120</t>
  </si>
  <si>
    <t>635001</t>
  </si>
  <si>
    <t>503123</t>
  </si>
  <si>
    <t>701022</t>
  </si>
  <si>
    <t>503124</t>
  </si>
  <si>
    <t>600022</t>
  </si>
  <si>
    <t>503127</t>
  </si>
  <si>
    <t>503128</t>
  </si>
  <si>
    <t>503133</t>
  </si>
  <si>
    <t>606012</t>
  </si>
  <si>
    <t>503145</t>
  </si>
  <si>
    <t>503151</t>
  </si>
  <si>
    <t>503162</t>
  </si>
  <si>
    <t>621009</t>
  </si>
  <si>
    <t>503165</t>
  </si>
  <si>
    <t>499754</t>
  </si>
  <si>
    <t>604003</t>
  </si>
  <si>
    <t>499758</t>
  </si>
  <si>
    <t>499760</t>
  </si>
  <si>
    <t>235007</t>
  </si>
  <si>
    <t>499762</t>
  </si>
  <si>
    <t>220016</t>
  </si>
  <si>
    <t>499766</t>
  </si>
  <si>
    <t>237619</t>
  </si>
  <si>
    <t>499768</t>
  </si>
  <si>
    <t>231703</t>
  </si>
  <si>
    <t>499772</t>
  </si>
  <si>
    <t>235057</t>
  </si>
  <si>
    <t>499777</t>
  </si>
  <si>
    <t>499783</t>
  </si>
  <si>
    <t>710026</t>
  </si>
  <si>
    <t>499787</t>
  </si>
  <si>
    <t>328009</t>
  </si>
  <si>
    <t>499789</t>
  </si>
  <si>
    <t>499792</t>
  </si>
  <si>
    <t>499793</t>
  </si>
  <si>
    <t>514009</t>
  </si>
  <si>
    <t>499796</t>
  </si>
  <si>
    <t>499797</t>
  </si>
  <si>
    <t>499802</t>
  </si>
  <si>
    <t>231040</t>
  </si>
  <si>
    <t>499804</t>
  </si>
  <si>
    <t>112038</t>
  </si>
  <si>
    <t>499805</t>
  </si>
  <si>
    <t>106060</t>
  </si>
  <si>
    <t>499806</t>
  </si>
  <si>
    <t>499807</t>
  </si>
  <si>
    <t>499809</t>
  </si>
  <si>
    <t>499810</t>
  </si>
  <si>
    <t>499812</t>
  </si>
  <si>
    <t>247019</t>
  </si>
  <si>
    <t>499816</t>
  </si>
  <si>
    <t>242012</t>
  </si>
  <si>
    <t>499817</t>
  </si>
  <si>
    <t>239001</t>
  </si>
  <si>
    <t>499818</t>
  </si>
  <si>
    <t>499819</t>
  </si>
  <si>
    <t>499826</t>
  </si>
  <si>
    <t>499827</t>
  </si>
  <si>
    <t>236025</t>
  </si>
  <si>
    <t>499830</t>
  </si>
  <si>
    <t>100509</t>
  </si>
  <si>
    <t>499831</t>
  </si>
  <si>
    <t>108004</t>
  </si>
  <si>
    <t>499834</t>
  </si>
  <si>
    <t>105067</t>
  </si>
  <si>
    <t>499836</t>
  </si>
  <si>
    <t>238016</t>
  </si>
  <si>
    <t>499839</t>
  </si>
  <si>
    <t>499843</t>
  </si>
  <si>
    <t>236010</t>
  </si>
  <si>
    <t>499844</t>
  </si>
  <si>
    <t>231665</t>
  </si>
  <si>
    <t>499847</t>
  </si>
  <si>
    <t>499849</t>
  </si>
  <si>
    <t>220745</t>
  </si>
  <si>
    <t>499853</t>
  </si>
  <si>
    <t>220019</t>
  </si>
  <si>
    <t>499862</t>
  </si>
  <si>
    <t>499863</t>
  </si>
  <si>
    <t>220769</t>
  </si>
  <si>
    <t>499866</t>
  </si>
  <si>
    <t>499867</t>
  </si>
  <si>
    <t>499872</t>
  </si>
  <si>
    <t>231043</t>
  </si>
  <si>
    <t>499875</t>
  </si>
  <si>
    <t>499881</t>
  </si>
  <si>
    <t>115612</t>
  </si>
  <si>
    <t>499882</t>
  </si>
  <si>
    <t>499885</t>
  </si>
  <si>
    <t>499886</t>
  </si>
  <si>
    <t>221034</t>
  </si>
  <si>
    <t>499889</t>
  </si>
  <si>
    <t>111053</t>
  </si>
  <si>
    <t>499890</t>
  </si>
  <si>
    <t>251008</t>
  </si>
  <si>
    <t>499893</t>
  </si>
  <si>
    <t>106044</t>
  </si>
  <si>
    <t>499897</t>
  </si>
  <si>
    <t>499898</t>
  </si>
  <si>
    <t>220317</t>
  </si>
  <si>
    <t>499901</t>
  </si>
  <si>
    <t>503171</t>
  </si>
  <si>
    <t>414036</t>
  </si>
  <si>
    <t>503176</t>
  </si>
  <si>
    <t>621003</t>
  </si>
  <si>
    <t>503183</t>
  </si>
  <si>
    <t>613006</t>
  </si>
  <si>
    <t>503187</t>
  </si>
  <si>
    <t>503188</t>
  </si>
  <si>
    <t>503193</t>
  </si>
  <si>
    <t>503198</t>
  </si>
  <si>
    <t>406008</t>
  </si>
  <si>
    <t>503200</t>
  </si>
  <si>
    <t>503204</t>
  </si>
  <si>
    <t>606005</t>
  </si>
  <si>
    <t>503206</t>
  </si>
  <si>
    <t>234034</t>
  </si>
  <si>
    <t>503214</t>
  </si>
  <si>
    <t>503216</t>
  </si>
  <si>
    <t>804701</t>
  </si>
  <si>
    <t>503218</t>
  </si>
  <si>
    <t>234022</t>
  </si>
  <si>
    <t>503220</t>
  </si>
  <si>
    <t>503226</t>
  </si>
  <si>
    <t>503239</t>
  </si>
  <si>
    <t>302045</t>
  </si>
  <si>
    <t>503242</t>
  </si>
  <si>
    <t>606006</t>
  </si>
  <si>
    <t>503244</t>
  </si>
  <si>
    <t>813608</t>
  </si>
  <si>
    <t>503246</t>
  </si>
  <si>
    <t>607041</t>
  </si>
  <si>
    <t>503249</t>
  </si>
  <si>
    <t>231941</t>
  </si>
  <si>
    <t>503250</t>
  </si>
  <si>
    <t>612</t>
  </si>
  <si>
    <t>503251</t>
  </si>
  <si>
    <t>503253</t>
  </si>
  <si>
    <t>503254</t>
  </si>
  <si>
    <t>503256</t>
  </si>
  <si>
    <t>503260</t>
  </si>
  <si>
    <t>503262</t>
  </si>
  <si>
    <t>503263</t>
  </si>
  <si>
    <t>503264</t>
  </si>
  <si>
    <t>503269</t>
  </si>
  <si>
    <t>503271</t>
  </si>
  <si>
    <t>414605</t>
  </si>
  <si>
    <t>503272</t>
  </si>
  <si>
    <t>605030</t>
  </si>
  <si>
    <t>503275</t>
  </si>
  <si>
    <t>621016</t>
  </si>
  <si>
    <t>503279</t>
  </si>
  <si>
    <t>603004</t>
  </si>
  <si>
    <t>503284</t>
  </si>
  <si>
    <t>503291</t>
  </si>
  <si>
    <t>503295</t>
  </si>
  <si>
    <t>503299</t>
  </si>
  <si>
    <t>503300</t>
  </si>
  <si>
    <t>621008</t>
  </si>
  <si>
    <t>503303</t>
  </si>
  <si>
    <t>711007</t>
  </si>
  <si>
    <t>503304</t>
  </si>
  <si>
    <t>503307</t>
  </si>
  <si>
    <t>503309</t>
  </si>
  <si>
    <t>220006</t>
  </si>
  <si>
    <t>503313</t>
  </si>
  <si>
    <t>608008</t>
  </si>
  <si>
    <t>503314</t>
  </si>
  <si>
    <t>503317</t>
  </si>
  <si>
    <t>503318</t>
  </si>
  <si>
    <t>406034</t>
  </si>
  <si>
    <t>497917</t>
  </si>
  <si>
    <t>497918</t>
  </si>
  <si>
    <t>497924</t>
  </si>
  <si>
    <t>497925</t>
  </si>
  <si>
    <t>497926</t>
  </si>
  <si>
    <t>235062</t>
  </si>
  <si>
    <t>497927</t>
  </si>
  <si>
    <t>248017</t>
  </si>
  <si>
    <t>497932</t>
  </si>
  <si>
    <t>262006</t>
  </si>
  <si>
    <t>497936</t>
  </si>
  <si>
    <t>497937</t>
  </si>
  <si>
    <t>497940</t>
  </si>
  <si>
    <t>497941</t>
  </si>
  <si>
    <t>497944</t>
  </si>
  <si>
    <t>973046</t>
  </si>
  <si>
    <t>497946</t>
  </si>
  <si>
    <t>497948</t>
  </si>
  <si>
    <t>497950</t>
  </si>
  <si>
    <t>499906</t>
  </si>
  <si>
    <t>244</t>
  </si>
  <si>
    <t>499907</t>
  </si>
  <si>
    <t>241022</t>
  </si>
  <si>
    <t>499909</t>
  </si>
  <si>
    <t>499913</t>
  </si>
  <si>
    <t>499914</t>
  </si>
  <si>
    <t>241601</t>
  </si>
  <si>
    <t>499916</t>
  </si>
  <si>
    <t>110040</t>
  </si>
  <si>
    <t>499917</t>
  </si>
  <si>
    <t>100012</t>
  </si>
  <si>
    <t>499920</t>
  </si>
  <si>
    <t>241007</t>
  </si>
  <si>
    <t>499922</t>
  </si>
  <si>
    <t>499925</t>
  </si>
  <si>
    <t>499926</t>
  </si>
  <si>
    <t>220024</t>
  </si>
  <si>
    <t>499927</t>
  </si>
  <si>
    <t>499928</t>
  </si>
  <si>
    <t>499932</t>
  </si>
  <si>
    <t>114055</t>
  </si>
  <si>
    <t>499936</t>
  </si>
  <si>
    <t>499940</t>
  </si>
  <si>
    <t>204001</t>
  </si>
  <si>
    <t>499941</t>
  </si>
  <si>
    <t>499944</t>
  </si>
  <si>
    <t>220048</t>
  </si>
  <si>
    <t>499948</t>
  </si>
  <si>
    <t>333014</t>
  </si>
  <si>
    <t>499949</t>
  </si>
  <si>
    <t>704022</t>
  </si>
  <si>
    <t>499952</t>
  </si>
  <si>
    <t>499953</t>
  </si>
  <si>
    <t>241047</t>
  </si>
  <si>
    <t>499956</t>
  </si>
  <si>
    <t>231009</t>
  </si>
  <si>
    <t>499957</t>
  </si>
  <si>
    <t>333012</t>
  </si>
  <si>
    <t>499960</t>
  </si>
  <si>
    <t>231026</t>
  </si>
  <si>
    <t>499961</t>
  </si>
  <si>
    <t>242032</t>
  </si>
  <si>
    <t>499964</t>
  </si>
  <si>
    <t>499968</t>
  </si>
  <si>
    <t>499969</t>
  </si>
  <si>
    <t>499976</t>
  </si>
  <si>
    <t>499982</t>
  </si>
  <si>
    <t>242001</t>
  </si>
  <si>
    <t>499985</t>
  </si>
  <si>
    <t>499986</t>
  </si>
  <si>
    <t>499990</t>
  </si>
  <si>
    <t>499995</t>
  </si>
  <si>
    <t>499998</t>
  </si>
  <si>
    <t>499999</t>
  </si>
  <si>
    <t>500006</t>
  </si>
  <si>
    <t>247017</t>
  </si>
  <si>
    <t>500012</t>
  </si>
  <si>
    <t>238040</t>
  </si>
  <si>
    <t>243086</t>
  </si>
  <si>
    <t>500020</t>
  </si>
  <si>
    <t>100054</t>
  </si>
  <si>
    <t>235001</t>
  </si>
  <si>
    <t>238038</t>
  </si>
  <si>
    <t>220478</t>
  </si>
  <si>
    <t>500040</t>
  </si>
  <si>
    <t>247015</t>
  </si>
  <si>
    <t>730009</t>
  </si>
  <si>
    <t>500047</t>
  </si>
  <si>
    <t>241651</t>
  </si>
  <si>
    <t>243085</t>
  </si>
  <si>
    <t>500060</t>
  </si>
  <si>
    <t>204013</t>
  </si>
  <si>
    <t>497698</t>
  </si>
  <si>
    <t>497699</t>
  </si>
  <si>
    <t>497701</t>
  </si>
  <si>
    <t>111010</t>
  </si>
  <si>
    <t>497702</t>
  </si>
  <si>
    <t>497703</t>
  </si>
  <si>
    <t>111033</t>
  </si>
  <si>
    <t>497704</t>
  </si>
  <si>
    <t>100030</t>
  </si>
  <si>
    <t>497707</t>
  </si>
  <si>
    <t>497708</t>
  </si>
  <si>
    <t>105018</t>
  </si>
  <si>
    <t>497710</t>
  </si>
  <si>
    <t>497711</t>
  </si>
  <si>
    <t>497714</t>
  </si>
  <si>
    <t>110041</t>
  </si>
  <si>
    <t>497715</t>
  </si>
  <si>
    <t>497717</t>
  </si>
  <si>
    <t>497721</t>
  </si>
  <si>
    <t>106023</t>
  </si>
  <si>
    <t>497725</t>
  </si>
  <si>
    <t>100044</t>
  </si>
  <si>
    <t>497739</t>
  </si>
  <si>
    <t>497745</t>
  </si>
  <si>
    <t>104055</t>
  </si>
  <si>
    <t>497747</t>
  </si>
  <si>
    <t>497755</t>
  </si>
  <si>
    <t>497759</t>
  </si>
  <si>
    <t>106045</t>
  </si>
  <si>
    <t>503322</t>
  </si>
  <si>
    <t>503324</t>
  </si>
  <si>
    <t>503327</t>
  </si>
  <si>
    <t>337007</t>
  </si>
  <si>
    <t>503329</t>
  </si>
  <si>
    <t>433003</t>
  </si>
  <si>
    <t>503332</t>
  </si>
  <si>
    <t>503335</t>
  </si>
  <si>
    <t>600033</t>
  </si>
  <si>
    <t>503336</t>
  </si>
  <si>
    <t>503337</t>
  </si>
  <si>
    <t>503338</t>
  </si>
  <si>
    <t>503339</t>
  </si>
  <si>
    <t>503340</t>
  </si>
  <si>
    <t>600073</t>
  </si>
  <si>
    <t>503341</t>
  </si>
  <si>
    <t>600006</t>
  </si>
  <si>
    <t>503344</t>
  </si>
  <si>
    <t>503345</t>
  </si>
  <si>
    <t>503347</t>
  </si>
  <si>
    <t>503349</t>
  </si>
  <si>
    <t>503354</t>
  </si>
  <si>
    <t>503358</t>
  </si>
  <si>
    <t>503359</t>
  </si>
  <si>
    <t>503362</t>
  </si>
  <si>
    <t>503363</t>
  </si>
  <si>
    <t>804061</t>
  </si>
  <si>
    <t>503369</t>
  </si>
  <si>
    <t>503374</t>
  </si>
  <si>
    <t>503379</t>
  </si>
  <si>
    <t>615004</t>
  </si>
  <si>
    <t>503380</t>
  </si>
  <si>
    <t>709938</t>
  </si>
  <si>
    <t>503383</t>
  </si>
  <si>
    <t>503384</t>
  </si>
  <si>
    <t>500826</t>
  </si>
  <si>
    <t>499070</t>
  </si>
  <si>
    <t>234036</t>
  </si>
  <si>
    <t>499075</t>
  </si>
  <si>
    <t>805003</t>
  </si>
  <si>
    <t>499083</t>
  </si>
  <si>
    <t>499084</t>
  </si>
  <si>
    <t>801006</t>
  </si>
  <si>
    <t>499087</t>
  </si>
  <si>
    <t>813008</t>
  </si>
  <si>
    <t>499088</t>
  </si>
  <si>
    <t>804007</t>
  </si>
  <si>
    <t>499091</t>
  </si>
  <si>
    <t>499095</t>
  </si>
  <si>
    <t>499096</t>
  </si>
  <si>
    <t>526019</t>
  </si>
  <si>
    <t>499099</t>
  </si>
  <si>
    <t>807666</t>
  </si>
  <si>
    <t>499103</t>
  </si>
  <si>
    <t>499104</t>
  </si>
  <si>
    <t>831134</t>
  </si>
  <si>
    <t>499111</t>
  </si>
  <si>
    <t>499112</t>
  </si>
  <si>
    <t>830745</t>
  </si>
  <si>
    <t>499116</t>
  </si>
  <si>
    <t>807530</t>
  </si>
  <si>
    <t>499120</t>
  </si>
  <si>
    <t>499123</t>
  </si>
  <si>
    <t>811</t>
  </si>
  <si>
    <t>499124</t>
  </si>
  <si>
    <t>806610</t>
  </si>
  <si>
    <t>499127</t>
  </si>
  <si>
    <t>499128</t>
  </si>
  <si>
    <t>220725</t>
  </si>
  <si>
    <t>499154</t>
  </si>
  <si>
    <t>804054</t>
  </si>
  <si>
    <t>499155</t>
  </si>
  <si>
    <t>499158</t>
  </si>
  <si>
    <t>499159</t>
  </si>
  <si>
    <t>499162</t>
  </si>
  <si>
    <t>412349</t>
  </si>
  <si>
    <t>499163</t>
  </si>
  <si>
    <t>499166</t>
  </si>
  <si>
    <t>499167</t>
  </si>
  <si>
    <t>499172</t>
  </si>
  <si>
    <t>807071</t>
  </si>
  <si>
    <t>499175</t>
  </si>
  <si>
    <t>801</t>
  </si>
  <si>
    <t>499176</t>
  </si>
  <si>
    <t>499179</t>
  </si>
  <si>
    <t>802785</t>
  </si>
  <si>
    <t>499180</t>
  </si>
  <si>
    <t>811028</t>
  </si>
  <si>
    <t>499187</t>
  </si>
  <si>
    <t>807786</t>
  </si>
  <si>
    <t>499191</t>
  </si>
  <si>
    <t>499195</t>
  </si>
  <si>
    <t>499196</t>
  </si>
  <si>
    <t>811789</t>
  </si>
  <si>
    <t>499199</t>
  </si>
  <si>
    <t>701008</t>
  </si>
  <si>
    <t>499203</t>
  </si>
  <si>
    <t>499204</t>
  </si>
  <si>
    <t>499207</t>
  </si>
  <si>
    <t>499208</t>
  </si>
  <si>
    <t>499211</t>
  </si>
  <si>
    <t>832006</t>
  </si>
  <si>
    <t>499215</t>
  </si>
  <si>
    <t>499216</t>
  </si>
  <si>
    <t>806606</t>
  </si>
  <si>
    <t>499221</t>
  </si>
  <si>
    <t>499222</t>
  </si>
  <si>
    <t>501513</t>
  </si>
  <si>
    <t>503846</t>
  </si>
  <si>
    <t>501514</t>
  </si>
  <si>
    <t>412215</t>
  </si>
  <si>
    <t>503848</t>
  </si>
  <si>
    <t>498841</t>
  </si>
  <si>
    <t>498842</t>
  </si>
  <si>
    <t>503850</t>
  </si>
  <si>
    <t>722012</t>
  </si>
  <si>
    <t>498845</t>
  </si>
  <si>
    <t>503852</t>
  </si>
  <si>
    <t>503858</t>
  </si>
  <si>
    <t>702021</t>
  </si>
  <si>
    <t>501523</t>
  </si>
  <si>
    <t>498849</t>
  </si>
  <si>
    <t>710009</t>
  </si>
  <si>
    <t>498850</t>
  </si>
  <si>
    <t>701016</t>
  </si>
  <si>
    <t>503863</t>
  </si>
  <si>
    <t>503865</t>
  </si>
  <si>
    <t>702024</t>
  </si>
  <si>
    <t>501527</t>
  </si>
  <si>
    <t>498853</t>
  </si>
  <si>
    <t>501528</t>
  </si>
  <si>
    <t>503869</t>
  </si>
  <si>
    <t>725030</t>
  </si>
  <si>
    <t>501532</t>
  </si>
  <si>
    <t>407967</t>
  </si>
  <si>
    <t>498857</t>
  </si>
  <si>
    <t>503871</t>
  </si>
  <si>
    <t>498858</t>
  </si>
  <si>
    <t>498861</t>
  </si>
  <si>
    <t>501536</t>
  </si>
  <si>
    <t>406031</t>
  </si>
  <si>
    <t>501537</t>
  </si>
  <si>
    <t>503876</t>
  </si>
  <si>
    <t>498865</t>
  </si>
  <si>
    <t>498866</t>
  </si>
  <si>
    <t>501540</t>
  </si>
  <si>
    <t>330616</t>
  </si>
  <si>
    <t>498869</t>
  </si>
  <si>
    <t>501541</t>
  </si>
  <si>
    <t>402011</t>
  </si>
  <si>
    <t>503886</t>
  </si>
  <si>
    <t>498876</t>
  </si>
  <si>
    <t>501546</t>
  </si>
  <si>
    <t>501551</t>
  </si>
  <si>
    <t>498881</t>
  </si>
  <si>
    <t>704011</t>
  </si>
  <si>
    <t>503893</t>
  </si>
  <si>
    <t>498887</t>
  </si>
  <si>
    <t>231657</t>
  </si>
  <si>
    <t>503895</t>
  </si>
  <si>
    <t>501555</t>
  </si>
  <si>
    <t>498326</t>
  </si>
  <si>
    <t>408242</t>
  </si>
  <si>
    <t>498329</t>
  </si>
  <si>
    <t>498330</t>
  </si>
  <si>
    <t>498333</t>
  </si>
  <si>
    <t>497574</t>
  </si>
  <si>
    <t>497575</t>
  </si>
  <si>
    <t>498337</t>
  </si>
  <si>
    <t>402004</t>
  </si>
  <si>
    <t>498338</t>
  </si>
  <si>
    <t>497579</t>
  </si>
  <si>
    <t>497580</t>
  </si>
  <si>
    <t>499466</t>
  </si>
  <si>
    <t>499468</t>
  </si>
  <si>
    <t>497584</t>
  </si>
  <si>
    <t>114063</t>
  </si>
  <si>
    <t>497587</t>
  </si>
  <si>
    <t>106047</t>
  </si>
  <si>
    <t>497588</t>
  </si>
  <si>
    <t>498345</t>
  </si>
  <si>
    <t>497592</t>
  </si>
  <si>
    <t>499474</t>
  </si>
  <si>
    <t>497595</t>
  </si>
  <si>
    <t>497596</t>
  </si>
  <si>
    <t>499476</t>
  </si>
  <si>
    <t>300020</t>
  </si>
  <si>
    <t>499478</t>
  </si>
  <si>
    <t>802782</t>
  </si>
  <si>
    <t>498354</t>
  </si>
  <si>
    <t>499480</t>
  </si>
  <si>
    <t>497600</t>
  </si>
  <si>
    <t>499482</t>
  </si>
  <si>
    <t>499484</t>
  </si>
  <si>
    <t>497604</t>
  </si>
  <si>
    <t>498359</t>
  </si>
  <si>
    <t>499486</t>
  </si>
  <si>
    <t>499488</t>
  </si>
  <si>
    <t>498363</t>
  </si>
  <si>
    <t>404021</t>
  </si>
  <si>
    <t>499490</t>
  </si>
  <si>
    <t>800644</t>
  </si>
  <si>
    <t>499492</t>
  </si>
  <si>
    <t>498367</t>
  </si>
  <si>
    <t>403020</t>
  </si>
  <si>
    <t>497612</t>
  </si>
  <si>
    <t>497613</t>
  </si>
  <si>
    <t>499494</t>
  </si>
  <si>
    <t>499496</t>
  </si>
  <si>
    <t>503388</t>
  </si>
  <si>
    <t>624</t>
  </si>
  <si>
    <t>503391</t>
  </si>
  <si>
    <t>503392</t>
  </si>
  <si>
    <t>503395</t>
  </si>
  <si>
    <t>503396</t>
  </si>
  <si>
    <t>608017</t>
  </si>
  <si>
    <t>503399</t>
  </si>
  <si>
    <t>503400</t>
  </si>
  <si>
    <t>503403</t>
  </si>
  <si>
    <t>503404</t>
  </si>
  <si>
    <t>503409</t>
  </si>
  <si>
    <t>503413</t>
  </si>
  <si>
    <t>604006</t>
  </si>
  <si>
    <t>503417</t>
  </si>
  <si>
    <t>503418</t>
  </si>
  <si>
    <t>503423</t>
  </si>
  <si>
    <t>503427</t>
  </si>
  <si>
    <t>503428</t>
  </si>
  <si>
    <t>600070</t>
  </si>
  <si>
    <t>503432</t>
  </si>
  <si>
    <t>622010</t>
  </si>
  <si>
    <t>503437</t>
  </si>
  <si>
    <t>106072</t>
  </si>
  <si>
    <t>503438</t>
  </si>
  <si>
    <t>115023</t>
  </si>
  <si>
    <t>503441</t>
  </si>
  <si>
    <t>503442</t>
  </si>
  <si>
    <t>503452</t>
  </si>
  <si>
    <t>503453</t>
  </si>
  <si>
    <t>614002</t>
  </si>
  <si>
    <t>503457</t>
  </si>
  <si>
    <t>624003</t>
  </si>
  <si>
    <t>503460</t>
  </si>
  <si>
    <t>220078</t>
  </si>
  <si>
    <t>503461</t>
  </si>
  <si>
    <t>503465</t>
  </si>
  <si>
    <t>600062</t>
  </si>
  <si>
    <t>503475</t>
  </si>
  <si>
    <t>500103</t>
  </si>
  <si>
    <t>501676</t>
  </si>
  <si>
    <t>502410</t>
  </si>
  <si>
    <t>503610</t>
  </si>
  <si>
    <t>711014</t>
  </si>
  <si>
    <t>497848</t>
  </si>
  <si>
    <t>111056</t>
  </si>
  <si>
    <t>504006</t>
  </si>
  <si>
    <t>701045</t>
  </si>
  <si>
    <t>500898</t>
  </si>
  <si>
    <t>504756</t>
  </si>
  <si>
    <t>900</t>
  </si>
  <si>
    <t>502043</t>
  </si>
  <si>
    <t>500496</t>
  </si>
  <si>
    <t>500497</t>
  </si>
  <si>
    <t>502792</t>
  </si>
  <si>
    <t>498242</t>
  </si>
  <si>
    <t>300004</t>
  </si>
  <si>
    <t>498995</t>
  </si>
  <si>
    <t>498772</t>
  </si>
  <si>
    <t>501450</t>
  </si>
  <si>
    <t>503770</t>
  </si>
  <si>
    <t>503771</t>
  </si>
  <si>
    <t>743001</t>
  </si>
  <si>
    <t>498776</t>
  </si>
  <si>
    <t>501453</t>
  </si>
  <si>
    <t>503774</t>
  </si>
  <si>
    <t>498779</t>
  </si>
  <si>
    <t>600047</t>
  </si>
  <si>
    <t>501454</t>
  </si>
  <si>
    <t>503775</t>
  </si>
  <si>
    <t>498780</t>
  </si>
  <si>
    <t>503779</t>
  </si>
  <si>
    <t>501457</t>
  </si>
  <si>
    <t>498783</t>
  </si>
  <si>
    <t>709016</t>
  </si>
  <si>
    <t>503780</t>
  </si>
  <si>
    <t>501458</t>
  </si>
  <si>
    <t>498784</t>
  </si>
  <si>
    <t>503783</t>
  </si>
  <si>
    <t>711004</t>
  </si>
  <si>
    <t>503784</t>
  </si>
  <si>
    <t>807504</t>
  </si>
  <si>
    <t>498787</t>
  </si>
  <si>
    <t>702005</t>
  </si>
  <si>
    <t>498788</t>
  </si>
  <si>
    <t>498791</t>
  </si>
  <si>
    <t>498796</t>
  </si>
  <si>
    <t>498798</t>
  </si>
  <si>
    <t>498800</t>
  </si>
  <si>
    <t>498806</t>
  </si>
  <si>
    <t>709001</t>
  </si>
  <si>
    <t>498808</t>
  </si>
  <si>
    <t>503815</t>
  </si>
  <si>
    <t>709037</t>
  </si>
  <si>
    <t>501485</t>
  </si>
  <si>
    <t>503816</t>
  </si>
  <si>
    <t>498814</t>
  </si>
  <si>
    <t>701</t>
  </si>
  <si>
    <t>503818</t>
  </si>
  <si>
    <t>498816</t>
  </si>
  <si>
    <t>709002</t>
  </si>
  <si>
    <t>501489</t>
  </si>
  <si>
    <t>503821</t>
  </si>
  <si>
    <t>498818</t>
  </si>
  <si>
    <t>503823</t>
  </si>
  <si>
    <t>710018</t>
  </si>
  <si>
    <t>503826</t>
  </si>
  <si>
    <t>812612</t>
  </si>
  <si>
    <t>501493</t>
  </si>
  <si>
    <t>501498</t>
  </si>
  <si>
    <t>503832</t>
  </si>
  <si>
    <t>828107</t>
  </si>
  <si>
    <t>501501</t>
  </si>
  <si>
    <t>503834</t>
  </si>
  <si>
    <t>717009</t>
  </si>
  <si>
    <t>503837</t>
  </si>
  <si>
    <t>501502</t>
  </si>
  <si>
    <t>503839</t>
  </si>
  <si>
    <t>718003</t>
  </si>
  <si>
    <t>501508</t>
  </si>
  <si>
    <t>503841</t>
  </si>
  <si>
    <t>501509</t>
  </si>
  <si>
    <t>435512</t>
  </si>
  <si>
    <t>497566</t>
  </si>
  <si>
    <t>231066</t>
  </si>
  <si>
    <t>497567</t>
  </si>
  <si>
    <t>338208</t>
  </si>
  <si>
    <t>500819</t>
  </si>
  <si>
    <t>503101</t>
  </si>
  <si>
    <t>630042</t>
  </si>
  <si>
    <t>505048</t>
  </si>
  <si>
    <t>497781</t>
  </si>
  <si>
    <t>236014</t>
  </si>
  <si>
    <t>502345</t>
  </si>
  <si>
    <t>505049</t>
  </si>
  <si>
    <t>497782</t>
  </si>
  <si>
    <t>498158</t>
  </si>
  <si>
    <t>802005</t>
  </si>
  <si>
    <t>504302</t>
  </si>
  <si>
    <t>830780</t>
  </si>
  <si>
    <t>500822</t>
  </si>
  <si>
    <t>307006</t>
  </si>
  <si>
    <t>498530</t>
  </si>
  <si>
    <t>503105</t>
  </si>
  <si>
    <t>501208</t>
  </si>
  <si>
    <t>505052</t>
  </si>
  <si>
    <t>502348</t>
  </si>
  <si>
    <t>497785</t>
  </si>
  <si>
    <t>500823</t>
  </si>
  <si>
    <t>497786</t>
  </si>
  <si>
    <t>621006</t>
  </si>
  <si>
    <t>504304</t>
  </si>
  <si>
    <t>498531</t>
  </si>
  <si>
    <t>500423</t>
  </si>
  <si>
    <t>498162</t>
  </si>
  <si>
    <t>114007</t>
  </si>
  <si>
    <t>500424</t>
  </si>
  <si>
    <t>501974</t>
  </si>
  <si>
    <t>542003</t>
  </si>
  <si>
    <t>220079</t>
  </si>
  <si>
    <t>504306</t>
  </si>
  <si>
    <t>840005</t>
  </si>
  <si>
    <t>502352</t>
  </si>
  <si>
    <t>501213</t>
  </si>
  <si>
    <t>503108</t>
  </si>
  <si>
    <t>497789</t>
  </si>
  <si>
    <t>498534</t>
  </si>
  <si>
    <t>813007</t>
  </si>
  <si>
    <t>500427</t>
  </si>
  <si>
    <t>497790</t>
  </si>
  <si>
    <t>505057</t>
  </si>
  <si>
    <t>504308</t>
  </si>
  <si>
    <t>499336</t>
  </si>
  <si>
    <t>499340</t>
  </si>
  <si>
    <t>499341</t>
  </si>
  <si>
    <t>814013</t>
  </si>
  <si>
    <t>499344</t>
  </si>
  <si>
    <t>830054</t>
  </si>
  <si>
    <t>499348</t>
  </si>
  <si>
    <t>499353</t>
  </si>
  <si>
    <t>499354</t>
  </si>
  <si>
    <t>499357</t>
  </si>
  <si>
    <t>499362</t>
  </si>
  <si>
    <t>499365</t>
  </si>
  <si>
    <t>499366</t>
  </si>
  <si>
    <t>803006</t>
  </si>
  <si>
    <t>499369</t>
  </si>
  <si>
    <t>320576</t>
  </si>
  <si>
    <t>499370</t>
  </si>
  <si>
    <t>110065</t>
  </si>
  <si>
    <t>499373</t>
  </si>
  <si>
    <t>950005</t>
  </si>
  <si>
    <t>499379</t>
  </si>
  <si>
    <t>499384</t>
  </si>
  <si>
    <t>100025</t>
  </si>
  <si>
    <t>499387</t>
  </si>
  <si>
    <t>499388</t>
  </si>
  <si>
    <t>811027</t>
  </si>
  <si>
    <t>499392</t>
  </si>
  <si>
    <t>830665</t>
  </si>
  <si>
    <t>499400</t>
  </si>
  <si>
    <t>499401</t>
  </si>
  <si>
    <t>499404</t>
  </si>
  <si>
    <t>499409</t>
  </si>
  <si>
    <t>802034</t>
  </si>
  <si>
    <t>499412</t>
  </si>
  <si>
    <t>499427</t>
  </si>
  <si>
    <t>499428</t>
  </si>
  <si>
    <t>499429</t>
  </si>
  <si>
    <t>802036</t>
  </si>
  <si>
    <t>499430</t>
  </si>
  <si>
    <t>499432</t>
  </si>
  <si>
    <t>821602</t>
  </si>
  <si>
    <t>499435</t>
  </si>
  <si>
    <t>499436</t>
  </si>
  <si>
    <t>807006</t>
  </si>
  <si>
    <t>499437</t>
  </si>
  <si>
    <t>499438</t>
  </si>
  <si>
    <t>500996</t>
  </si>
  <si>
    <t>500997</t>
  </si>
  <si>
    <t>500999</t>
  </si>
  <si>
    <t>501001</t>
  </si>
  <si>
    <t>501002</t>
  </si>
  <si>
    <t>501004</t>
  </si>
  <si>
    <t>501007</t>
  </si>
  <si>
    <t>501008</t>
  </si>
  <si>
    <t>501009</t>
  </si>
  <si>
    <t>501010</t>
  </si>
  <si>
    <t>501011</t>
  </si>
  <si>
    <t>363008</t>
  </si>
  <si>
    <t>501012</t>
  </si>
  <si>
    <t>501013</t>
  </si>
  <si>
    <t>362001</t>
  </si>
  <si>
    <t>501019</t>
  </si>
  <si>
    <t>360001</t>
  </si>
  <si>
    <t>501023</t>
  </si>
  <si>
    <t>360017</t>
  </si>
  <si>
    <t>501026</t>
  </si>
  <si>
    <t>501027</t>
  </si>
  <si>
    <t>501030</t>
  </si>
  <si>
    <t>501031</t>
  </si>
  <si>
    <t>360006</t>
  </si>
  <si>
    <t>501034</t>
  </si>
  <si>
    <t>501042</t>
  </si>
  <si>
    <t>369001</t>
  </si>
  <si>
    <t>501043</t>
  </si>
  <si>
    <t>501048</t>
  </si>
  <si>
    <t>357007</t>
  </si>
  <si>
    <t>501052</t>
  </si>
  <si>
    <t>501065</t>
  </si>
  <si>
    <t>300057</t>
  </si>
  <si>
    <t>501071</t>
  </si>
  <si>
    <t>501075</t>
  </si>
  <si>
    <t>501076</t>
  </si>
  <si>
    <t>501079</t>
  </si>
  <si>
    <t>501083</t>
  </si>
  <si>
    <t>501085</t>
  </si>
  <si>
    <t>501089</t>
  </si>
  <si>
    <t>501093</t>
  </si>
  <si>
    <t>501094</t>
  </si>
  <si>
    <t>402232</t>
  </si>
  <si>
    <t>501098</t>
  </si>
  <si>
    <t>501099</t>
  </si>
  <si>
    <t>501103</t>
  </si>
  <si>
    <t>367005</t>
  </si>
  <si>
    <t>501104</t>
  </si>
  <si>
    <t>931010</t>
  </si>
  <si>
    <t>501107</t>
  </si>
  <si>
    <t>351013</t>
  </si>
  <si>
    <t>501111</t>
  </si>
  <si>
    <t>501112</t>
  </si>
  <si>
    <t>811669</t>
  </si>
  <si>
    <t>501115</t>
  </si>
  <si>
    <t>501120</t>
  </si>
  <si>
    <t>501121</t>
  </si>
  <si>
    <t>501128</t>
  </si>
  <si>
    <t>501132</t>
  </si>
  <si>
    <t>501139</t>
  </si>
  <si>
    <t>350021</t>
  </si>
  <si>
    <t>501141</t>
  </si>
  <si>
    <t>501147</t>
  </si>
  <si>
    <t>435403</t>
  </si>
  <si>
    <t>502701</t>
  </si>
  <si>
    <t>502702</t>
  </si>
  <si>
    <t>510016</t>
  </si>
  <si>
    <t>502704</t>
  </si>
  <si>
    <t>502707</t>
  </si>
  <si>
    <t>502708</t>
  </si>
  <si>
    <t>502709</t>
  </si>
  <si>
    <t>502711</t>
  </si>
  <si>
    <t>502712</t>
  </si>
  <si>
    <t>251022</t>
  </si>
  <si>
    <t>502713</t>
  </si>
  <si>
    <t>412204</t>
  </si>
  <si>
    <t>502714</t>
  </si>
  <si>
    <t>502715</t>
  </si>
  <si>
    <t>502719</t>
  </si>
  <si>
    <t>502721</t>
  </si>
  <si>
    <t>407032</t>
  </si>
  <si>
    <t>502723</t>
  </si>
  <si>
    <t>502725</t>
  </si>
  <si>
    <t>502727</t>
  </si>
  <si>
    <t>510</t>
  </si>
  <si>
    <t>502731</t>
  </si>
  <si>
    <t>502735</t>
  </si>
  <si>
    <t>502741</t>
  </si>
  <si>
    <t>520012</t>
  </si>
  <si>
    <t>502743</t>
  </si>
  <si>
    <t>502747</t>
  </si>
  <si>
    <t>502755</t>
  </si>
  <si>
    <t>502758</t>
  </si>
  <si>
    <t>502759</t>
  </si>
  <si>
    <t>502762</t>
  </si>
  <si>
    <t>502763</t>
  </si>
  <si>
    <t>524001</t>
  </si>
  <si>
    <t>502767</t>
  </si>
  <si>
    <t>516018</t>
  </si>
  <si>
    <t>502771</t>
  </si>
  <si>
    <t>502774</t>
  </si>
  <si>
    <t>514001</t>
  </si>
  <si>
    <t>502775</t>
  </si>
  <si>
    <t>502786</t>
  </si>
  <si>
    <t>300</t>
  </si>
  <si>
    <t>502794</t>
  </si>
  <si>
    <t>300024</t>
  </si>
  <si>
    <t>502803</t>
  </si>
  <si>
    <t>502806</t>
  </si>
  <si>
    <t>502807</t>
  </si>
  <si>
    <t>300082</t>
  </si>
  <si>
    <t>502810</t>
  </si>
  <si>
    <t>502811</t>
  </si>
  <si>
    <t>502815</t>
  </si>
  <si>
    <t>502816</t>
  </si>
  <si>
    <t>502821</t>
  </si>
  <si>
    <t>502826</t>
  </si>
  <si>
    <t>351018</t>
  </si>
  <si>
    <t>502827</t>
  </si>
  <si>
    <t>502834</t>
  </si>
  <si>
    <t>502840</t>
  </si>
  <si>
    <t>502841</t>
  </si>
  <si>
    <t>523009</t>
  </si>
  <si>
    <t>502844</t>
  </si>
  <si>
    <t>640113</t>
  </si>
  <si>
    <t>502845</t>
  </si>
  <si>
    <t>643005</t>
  </si>
  <si>
    <t>502849</t>
  </si>
  <si>
    <t>237640</t>
  </si>
  <si>
    <t>502850</t>
  </si>
  <si>
    <t>502851</t>
  </si>
  <si>
    <t>502852</t>
  </si>
  <si>
    <t>406037</t>
  </si>
  <si>
    <t>502854</t>
  </si>
  <si>
    <t>502855</t>
  </si>
  <si>
    <t>504375</t>
  </si>
  <si>
    <t>504378</t>
  </si>
  <si>
    <t>504379</t>
  </si>
  <si>
    <t>831121</t>
  </si>
  <si>
    <t>504382</t>
  </si>
  <si>
    <t>908128</t>
  </si>
  <si>
    <t>504383</t>
  </si>
  <si>
    <t>504386</t>
  </si>
  <si>
    <t>504387</t>
  </si>
  <si>
    <t>504390</t>
  </si>
  <si>
    <t>812602</t>
  </si>
  <si>
    <t>504391</t>
  </si>
  <si>
    <t>801001</t>
  </si>
  <si>
    <t>504401</t>
  </si>
  <si>
    <t>504404</t>
  </si>
  <si>
    <t>828403</t>
  </si>
  <si>
    <t>504405</t>
  </si>
  <si>
    <t>920009</t>
  </si>
  <si>
    <t>504408</t>
  </si>
  <si>
    <t>504409</t>
  </si>
  <si>
    <t>504413</t>
  </si>
  <si>
    <t>504416</t>
  </si>
  <si>
    <t>504418</t>
  </si>
  <si>
    <t>504422</t>
  </si>
  <si>
    <t>924</t>
  </si>
  <si>
    <t>504424</t>
  </si>
  <si>
    <t>931008</t>
  </si>
  <si>
    <t>504426</t>
  </si>
  <si>
    <t>504432</t>
  </si>
  <si>
    <t>504436</t>
  </si>
  <si>
    <t>504437</t>
  </si>
  <si>
    <t>504438</t>
  </si>
  <si>
    <t>504439</t>
  </si>
  <si>
    <t>236045</t>
  </si>
  <si>
    <t>504440</t>
  </si>
  <si>
    <t>973045</t>
  </si>
  <si>
    <t>504441</t>
  </si>
  <si>
    <t>504443</t>
  </si>
  <si>
    <t>504445</t>
  </si>
  <si>
    <t>504447</t>
  </si>
  <si>
    <t>504449</t>
  </si>
  <si>
    <t>928008</t>
  </si>
  <si>
    <t>504450</t>
  </si>
  <si>
    <t>928003</t>
  </si>
  <si>
    <t>504451</t>
  </si>
  <si>
    <t>504453</t>
  </si>
  <si>
    <t>504455</t>
  </si>
  <si>
    <t>504460</t>
  </si>
  <si>
    <t>912</t>
  </si>
  <si>
    <t>504463</t>
  </si>
  <si>
    <t>815003</t>
  </si>
  <si>
    <t>504464</t>
  </si>
  <si>
    <t>813026</t>
  </si>
  <si>
    <t>504467</t>
  </si>
  <si>
    <t>504471</t>
  </si>
  <si>
    <t>504472</t>
  </si>
  <si>
    <t>504475</t>
  </si>
  <si>
    <t>504476</t>
  </si>
  <si>
    <t>504479</t>
  </si>
  <si>
    <t>970026</t>
  </si>
  <si>
    <t>504480</t>
  </si>
  <si>
    <t>830669</t>
  </si>
  <si>
    <t>504489</t>
  </si>
  <si>
    <t>825605</t>
  </si>
  <si>
    <t>504490</t>
  </si>
  <si>
    <t>900053</t>
  </si>
  <si>
    <t>504493</t>
  </si>
  <si>
    <t>504494</t>
  </si>
  <si>
    <t>907104</t>
  </si>
  <si>
    <t>504497</t>
  </si>
  <si>
    <t>946010</t>
  </si>
  <si>
    <t>504502</t>
  </si>
  <si>
    <t>912015</t>
  </si>
  <si>
    <t>504509</t>
  </si>
  <si>
    <t>504517</t>
  </si>
  <si>
    <t>912018</t>
  </si>
  <si>
    <t>499441</t>
  </si>
  <si>
    <t>499442</t>
  </si>
  <si>
    <t>499444</t>
  </si>
  <si>
    <t>812038</t>
  </si>
  <si>
    <t>499447</t>
  </si>
  <si>
    <t>220102</t>
  </si>
  <si>
    <t>499449</t>
  </si>
  <si>
    <t>499452</t>
  </si>
  <si>
    <t>499456</t>
  </si>
  <si>
    <t>807079</t>
  </si>
  <si>
    <t>499457</t>
  </si>
  <si>
    <t>499458</t>
  </si>
  <si>
    <t>499460</t>
  </si>
  <si>
    <t>811003</t>
  </si>
  <si>
    <t>499461</t>
  </si>
  <si>
    <t>499463</t>
  </si>
  <si>
    <t>734044</t>
  </si>
  <si>
    <t>499467</t>
  </si>
  <si>
    <t>499471</t>
  </si>
  <si>
    <t>499473</t>
  </si>
  <si>
    <t>805006</t>
  </si>
  <si>
    <t>499475</t>
  </si>
  <si>
    <t>499477</t>
  </si>
  <si>
    <t>499479</t>
  </si>
  <si>
    <t>499481</t>
  </si>
  <si>
    <t>804725</t>
  </si>
  <si>
    <t>499483</t>
  </si>
  <si>
    <t>812694</t>
  </si>
  <si>
    <t>499489</t>
  </si>
  <si>
    <t>499491</t>
  </si>
  <si>
    <t>813775</t>
  </si>
  <si>
    <t>499493</t>
  </si>
  <si>
    <t>499495</t>
  </si>
  <si>
    <t>499497</t>
  </si>
  <si>
    <t>499499</t>
  </si>
  <si>
    <t>499503</t>
  </si>
  <si>
    <t>499505</t>
  </si>
  <si>
    <t>807033</t>
  </si>
  <si>
    <t>499509</t>
  </si>
  <si>
    <t>499513</t>
  </si>
  <si>
    <t>499515</t>
  </si>
  <si>
    <t>499521</t>
  </si>
  <si>
    <t>499529</t>
  </si>
  <si>
    <t>241031</t>
  </si>
  <si>
    <t>499531</t>
  </si>
  <si>
    <t>330027</t>
  </si>
  <si>
    <t>499535</t>
  </si>
  <si>
    <t>241046</t>
  </si>
  <si>
    <t>499539</t>
  </si>
  <si>
    <t>231052</t>
  </si>
  <si>
    <t>499554</t>
  </si>
  <si>
    <t>499558</t>
  </si>
  <si>
    <t>499561</t>
  </si>
  <si>
    <t>220004</t>
  </si>
  <si>
    <t>499569</t>
  </si>
  <si>
    <t>337015</t>
  </si>
  <si>
    <t>499571</t>
  </si>
  <si>
    <t>221031</t>
  </si>
  <si>
    <t>499575</t>
  </si>
  <si>
    <t>499577</t>
  </si>
  <si>
    <t>499580</t>
  </si>
  <si>
    <t>251023</t>
  </si>
  <si>
    <t>499582</t>
  </si>
  <si>
    <t>499590</t>
  </si>
  <si>
    <t>499592</t>
  </si>
  <si>
    <t>220035</t>
  </si>
  <si>
    <t>497541</t>
  </si>
  <si>
    <t>497542</t>
  </si>
  <si>
    <t>106641</t>
  </si>
  <si>
    <t>497549</t>
  </si>
  <si>
    <t>204009</t>
  </si>
  <si>
    <t>497550</t>
  </si>
  <si>
    <t>497551</t>
  </si>
  <si>
    <t>106089</t>
  </si>
  <si>
    <t>497553</t>
  </si>
  <si>
    <t>497554</t>
  </si>
  <si>
    <t>114046</t>
  </si>
  <si>
    <t>497555</t>
  </si>
  <si>
    <t>497559</t>
  </si>
  <si>
    <t>497560</t>
  </si>
  <si>
    <t>497561</t>
  </si>
  <si>
    <t>110053</t>
  </si>
  <si>
    <t>497563</t>
  </si>
  <si>
    <t>497564</t>
  </si>
  <si>
    <t>497568</t>
  </si>
  <si>
    <t>106053</t>
  </si>
  <si>
    <t>497569</t>
  </si>
  <si>
    <t>900032</t>
  </si>
  <si>
    <t>497572</t>
  </si>
  <si>
    <t>235066</t>
  </si>
  <si>
    <t>497573</t>
  </si>
  <si>
    <t>497578</t>
  </si>
  <si>
    <t>235006</t>
  </si>
  <si>
    <t>497581</t>
  </si>
  <si>
    <t>334603</t>
  </si>
  <si>
    <t>497589</t>
  </si>
  <si>
    <t>497590</t>
  </si>
  <si>
    <t>112051</t>
  </si>
  <si>
    <t>497593</t>
  </si>
  <si>
    <t>497602</t>
  </si>
  <si>
    <t>241566</t>
  </si>
  <si>
    <t>497605</t>
  </si>
  <si>
    <t>235024</t>
  </si>
  <si>
    <t>497606</t>
  </si>
  <si>
    <t>497614</t>
  </si>
  <si>
    <t>114043</t>
  </si>
  <si>
    <t>497615</t>
  </si>
  <si>
    <t>497619</t>
  </si>
  <si>
    <t>241036</t>
  </si>
  <si>
    <t>497623</t>
  </si>
  <si>
    <t>497632</t>
  </si>
  <si>
    <t>497642</t>
  </si>
  <si>
    <t>497645</t>
  </si>
  <si>
    <t>497655</t>
  </si>
  <si>
    <t>497660</t>
  </si>
  <si>
    <t>497673</t>
  </si>
  <si>
    <t>497677</t>
  </si>
  <si>
    <t>110006</t>
  </si>
  <si>
    <t>497681</t>
  </si>
  <si>
    <t>497683</t>
  </si>
  <si>
    <t>300045</t>
  </si>
  <si>
    <t>497687</t>
  </si>
  <si>
    <t>116570</t>
  </si>
  <si>
    <t>497693</t>
  </si>
  <si>
    <t>497694</t>
  </si>
  <si>
    <t>104036</t>
  </si>
  <si>
    <t>502856</t>
  </si>
  <si>
    <t>100019</t>
  </si>
  <si>
    <t>502859</t>
  </si>
  <si>
    <t>651001</t>
  </si>
  <si>
    <t>502860</t>
  </si>
  <si>
    <t>502861</t>
  </si>
  <si>
    <t>502863</t>
  </si>
  <si>
    <t>831137</t>
  </si>
  <si>
    <t>502864</t>
  </si>
  <si>
    <t>502867</t>
  </si>
  <si>
    <t>502868</t>
  </si>
  <si>
    <t>502869</t>
  </si>
  <si>
    <t>502870</t>
  </si>
  <si>
    <t>502871</t>
  </si>
  <si>
    <t>647001</t>
  </si>
  <si>
    <t>502872</t>
  </si>
  <si>
    <t>638001</t>
  </si>
  <si>
    <t>502873</t>
  </si>
  <si>
    <t>634001</t>
  </si>
  <si>
    <t>502876</t>
  </si>
  <si>
    <t>220064</t>
  </si>
  <si>
    <t>502877</t>
  </si>
  <si>
    <t>630045</t>
  </si>
  <si>
    <t>502878</t>
  </si>
  <si>
    <t>630050</t>
  </si>
  <si>
    <t>502879</t>
  </si>
  <si>
    <t>502881</t>
  </si>
  <si>
    <t>114058</t>
  </si>
  <si>
    <t>502884</t>
  </si>
  <si>
    <t>502885</t>
  </si>
  <si>
    <t>502892</t>
  </si>
  <si>
    <t>502893</t>
  </si>
  <si>
    <t>502897</t>
  </si>
  <si>
    <t>502902</t>
  </si>
  <si>
    <t>635102</t>
  </si>
  <si>
    <t>502905</t>
  </si>
  <si>
    <t>502907</t>
  </si>
  <si>
    <t>408428</t>
  </si>
  <si>
    <t>502910</t>
  </si>
  <si>
    <t>502911</t>
  </si>
  <si>
    <t>649106</t>
  </si>
  <si>
    <t>502914</t>
  </si>
  <si>
    <t>502915</t>
  </si>
  <si>
    <t>220104</t>
  </si>
  <si>
    <t>502922</t>
  </si>
  <si>
    <t>247024</t>
  </si>
  <si>
    <t>502926</t>
  </si>
  <si>
    <t>640107</t>
  </si>
  <si>
    <t>502930</t>
  </si>
  <si>
    <t>502931</t>
  </si>
  <si>
    <t>502934</t>
  </si>
  <si>
    <t>408016</t>
  </si>
  <si>
    <t>502942</t>
  </si>
  <si>
    <t>502943</t>
  </si>
  <si>
    <t>502947</t>
  </si>
  <si>
    <t>635101</t>
  </si>
  <si>
    <t>502950</t>
  </si>
  <si>
    <t>502951</t>
  </si>
  <si>
    <t>502954</t>
  </si>
  <si>
    <t>804009</t>
  </si>
  <si>
    <t>502956</t>
  </si>
  <si>
    <t>242031</t>
  </si>
  <si>
    <t>502960</t>
  </si>
  <si>
    <t>337</t>
  </si>
  <si>
    <t>502963</t>
  </si>
  <si>
    <t>502969</t>
  </si>
  <si>
    <t>630044</t>
  </si>
  <si>
    <t>502972</t>
  </si>
  <si>
    <t>247035</t>
  </si>
  <si>
    <t>502974</t>
  </si>
  <si>
    <t>502977</t>
  </si>
  <si>
    <t>502981</t>
  </si>
  <si>
    <t>717015</t>
  </si>
  <si>
    <t>502982</t>
  </si>
  <si>
    <t>502985</t>
  </si>
  <si>
    <t>502986</t>
  </si>
  <si>
    <t>621019</t>
  </si>
  <si>
    <t>502989</t>
  </si>
  <si>
    <t>502994</t>
  </si>
  <si>
    <t>600065</t>
  </si>
  <si>
    <t>502995</t>
  </si>
  <si>
    <t>502999</t>
  </si>
  <si>
    <t>637104</t>
  </si>
  <si>
    <t>499594</t>
  </si>
  <si>
    <t>499597</t>
  </si>
  <si>
    <t>499599</t>
  </si>
  <si>
    <t>236013</t>
  </si>
  <si>
    <t>499605</t>
  </si>
  <si>
    <t>499607</t>
  </si>
  <si>
    <t>499608</t>
  </si>
  <si>
    <t>499609</t>
  </si>
  <si>
    <t>224006</t>
  </si>
  <si>
    <t>499610</t>
  </si>
  <si>
    <t>220767</t>
  </si>
  <si>
    <t>499613</t>
  </si>
  <si>
    <t>499614</t>
  </si>
  <si>
    <t>499615</t>
  </si>
  <si>
    <t>499618</t>
  </si>
  <si>
    <t>499619</t>
  </si>
  <si>
    <t>499622</t>
  </si>
  <si>
    <t>243083</t>
  </si>
  <si>
    <t>499628</t>
  </si>
  <si>
    <t>334027</t>
  </si>
  <si>
    <t>499644</t>
  </si>
  <si>
    <t>499653</t>
  </si>
  <si>
    <t>104051</t>
  </si>
  <si>
    <t>499656</t>
  </si>
  <si>
    <t>499657</t>
  </si>
  <si>
    <t>206002</t>
  </si>
  <si>
    <t>499660</t>
  </si>
  <si>
    <t>499664</t>
  </si>
  <si>
    <t>499668</t>
  </si>
  <si>
    <t>499673</t>
  </si>
  <si>
    <t>235606</t>
  </si>
  <si>
    <t>499676</t>
  </si>
  <si>
    <t>499677</t>
  </si>
  <si>
    <t>220747</t>
  </si>
  <si>
    <t>499680</t>
  </si>
  <si>
    <t>108030</t>
  </si>
  <si>
    <t>499684</t>
  </si>
  <si>
    <t>242018</t>
  </si>
  <si>
    <t>499690</t>
  </si>
  <si>
    <t>499698</t>
  </si>
  <si>
    <t>241030</t>
  </si>
  <si>
    <t>235058</t>
  </si>
  <si>
    <t>499702</t>
  </si>
  <si>
    <t>111081</t>
  </si>
  <si>
    <t>499711</t>
  </si>
  <si>
    <t>499712</t>
  </si>
  <si>
    <t>242015</t>
  </si>
  <si>
    <t>499715</t>
  </si>
  <si>
    <t>499719</t>
  </si>
  <si>
    <t>647</t>
  </si>
  <si>
    <t>499723</t>
  </si>
  <si>
    <t>499724</t>
  </si>
  <si>
    <t>542020</t>
  </si>
  <si>
    <t>499731</t>
  </si>
  <si>
    <t>241079</t>
  </si>
  <si>
    <t>499735</t>
  </si>
  <si>
    <t>499739</t>
  </si>
  <si>
    <t>220025</t>
  </si>
  <si>
    <t>499744</t>
  </si>
  <si>
    <t>499748</t>
  </si>
  <si>
    <t>503013</t>
  </si>
  <si>
    <t>241708</t>
  </si>
  <si>
    <t>503014</t>
  </si>
  <si>
    <t>503015</t>
  </si>
  <si>
    <t>236</t>
  </si>
  <si>
    <t>503017</t>
  </si>
  <si>
    <t>801644</t>
  </si>
  <si>
    <t>503020</t>
  </si>
  <si>
    <t>503021</t>
  </si>
  <si>
    <t>241709</t>
  </si>
  <si>
    <t>503022</t>
  </si>
  <si>
    <t>632006</t>
  </si>
  <si>
    <t>502471</t>
  </si>
  <si>
    <t>499784</t>
  </si>
  <si>
    <t>498296</t>
  </si>
  <si>
    <t>360018</t>
  </si>
  <si>
    <t>504423</t>
  </si>
  <si>
    <t>502473</t>
  </si>
  <si>
    <t>501337</t>
  </si>
  <si>
    <t>436043</t>
  </si>
  <si>
    <t>504425</t>
  </si>
  <si>
    <t>927005</t>
  </si>
  <si>
    <t>497914</t>
  </si>
  <si>
    <t>499788</t>
  </si>
  <si>
    <t>500163</t>
  </si>
  <si>
    <t>251034</t>
  </si>
  <si>
    <t>502477</t>
  </si>
  <si>
    <t>499790</t>
  </si>
  <si>
    <t>504429</t>
  </si>
  <si>
    <t>946008</t>
  </si>
  <si>
    <t>500165</t>
  </si>
  <si>
    <t>499791</t>
  </si>
  <si>
    <t>632004</t>
  </si>
  <si>
    <t>501341</t>
  </si>
  <si>
    <t>504431</t>
  </si>
  <si>
    <t>921024</t>
  </si>
  <si>
    <t>501348</t>
  </si>
  <si>
    <t>504177</t>
  </si>
  <si>
    <t>497661</t>
  </si>
  <si>
    <t>498036</t>
  </si>
  <si>
    <t>499545</t>
  </si>
  <si>
    <t>501847</t>
  </si>
  <si>
    <t>498037</t>
  </si>
  <si>
    <t>504178</t>
  </si>
  <si>
    <t>498415</t>
  </si>
  <si>
    <t>408366</t>
  </si>
  <si>
    <t>500299</t>
  </si>
  <si>
    <t>499547</t>
  </si>
  <si>
    <t>105</t>
  </si>
  <si>
    <t>501851</t>
  </si>
  <si>
    <t>423004</t>
  </si>
  <si>
    <t>504181</t>
  </si>
  <si>
    <t>812041</t>
  </si>
  <si>
    <t>500301</t>
  </si>
  <si>
    <t>497666</t>
  </si>
  <si>
    <t>498417</t>
  </si>
  <si>
    <t>498041</t>
  </si>
  <si>
    <t>504182</t>
  </si>
  <si>
    <t>499549</t>
  </si>
  <si>
    <t>104452</t>
  </si>
  <si>
    <t>501854</t>
  </si>
  <si>
    <t>500303</t>
  </si>
  <si>
    <t>504925</t>
  </si>
  <si>
    <t>501855</t>
  </si>
  <si>
    <t>499551</t>
  </si>
  <si>
    <t>248021</t>
  </si>
  <si>
    <t>504928</t>
  </si>
  <si>
    <t>504186</t>
  </si>
  <si>
    <t>498044</t>
  </si>
  <si>
    <t>499553</t>
  </si>
  <si>
    <t>105073</t>
  </si>
  <si>
    <t>500305</t>
  </si>
  <si>
    <t>504187</t>
  </si>
  <si>
    <t>498045</t>
  </si>
  <si>
    <t>200013</t>
  </si>
  <si>
    <t>501859</t>
  </si>
  <si>
    <t>540020</t>
  </si>
  <si>
    <t>497672</t>
  </si>
  <si>
    <t>504929</t>
  </si>
  <si>
    <t>501860</t>
  </si>
  <si>
    <t>499929</t>
  </si>
  <si>
    <t>500309</t>
  </si>
  <si>
    <t>320061</t>
  </si>
  <si>
    <t>499930</t>
  </si>
  <si>
    <t>236032</t>
  </si>
  <si>
    <t>504933</t>
  </si>
  <si>
    <t>501865</t>
  </si>
  <si>
    <t>221013</t>
  </si>
  <si>
    <t>501866</t>
  </si>
  <si>
    <t>504191</t>
  </si>
  <si>
    <t>499559</t>
  </si>
  <si>
    <t>502675</t>
  </si>
  <si>
    <t>502679</t>
  </si>
  <si>
    <t>515</t>
  </si>
  <si>
    <t>502686</t>
  </si>
  <si>
    <t>502687</t>
  </si>
  <si>
    <t>502690</t>
  </si>
  <si>
    <t>502691</t>
  </si>
  <si>
    <t>502695</t>
  </si>
  <si>
    <t>502728</t>
  </si>
  <si>
    <t>520013</t>
  </si>
  <si>
    <t>502736</t>
  </si>
  <si>
    <t>505076</t>
  </si>
  <si>
    <t>338112</t>
  </si>
  <si>
    <t>501233</t>
  </si>
  <si>
    <t>503129</t>
  </si>
  <si>
    <t>500845</t>
  </si>
  <si>
    <t>505077</t>
  </si>
  <si>
    <t>500846</t>
  </si>
  <si>
    <t>503131</t>
  </si>
  <si>
    <t>498187</t>
  </si>
  <si>
    <t>497809</t>
  </si>
  <si>
    <t>248652</t>
  </si>
  <si>
    <t>498188</t>
  </si>
  <si>
    <t>502000</t>
  </si>
  <si>
    <t>502744</t>
  </si>
  <si>
    <t>510035</t>
  </si>
  <si>
    <t>501236</t>
  </si>
  <si>
    <t>502373</t>
  </si>
  <si>
    <t>500448</t>
  </si>
  <si>
    <t>328</t>
  </si>
  <si>
    <t>503135</t>
  </si>
  <si>
    <t>501237</t>
  </si>
  <si>
    <t>333326</t>
  </si>
  <si>
    <t>505081</t>
  </si>
  <si>
    <t>499005</t>
  </si>
  <si>
    <t>807068</t>
  </si>
  <si>
    <t>498253</t>
  </si>
  <si>
    <t>497858</t>
  </si>
  <si>
    <t>710634</t>
  </si>
  <si>
    <t>498603</t>
  </si>
  <si>
    <t>499007</t>
  </si>
  <si>
    <t>807710</t>
  </si>
  <si>
    <t>498255</t>
  </si>
  <si>
    <t>402327</t>
  </si>
  <si>
    <t>498606</t>
  </si>
  <si>
    <t>406017</t>
  </si>
  <si>
    <t>499009</t>
  </si>
  <si>
    <t>802699</t>
  </si>
  <si>
    <t>497860</t>
  </si>
  <si>
    <t>498608</t>
  </si>
  <si>
    <t>497862</t>
  </si>
  <si>
    <t>499011</t>
  </si>
  <si>
    <t>498610</t>
  </si>
  <si>
    <t>498259</t>
  </si>
  <si>
    <t>497863</t>
  </si>
  <si>
    <t>235040</t>
  </si>
  <si>
    <t>498612</t>
  </si>
  <si>
    <t>498261</t>
  </si>
  <si>
    <t>499018</t>
  </si>
  <si>
    <t>811013</t>
  </si>
  <si>
    <t>497867</t>
  </si>
  <si>
    <t>498621</t>
  </si>
  <si>
    <t>830648</t>
  </si>
  <si>
    <t>497871</t>
  </si>
  <si>
    <t>499025</t>
  </si>
  <si>
    <t>807614</t>
  </si>
  <si>
    <t>498271</t>
  </si>
  <si>
    <t>498626</t>
  </si>
  <si>
    <t>201</t>
  </si>
  <si>
    <t>499026</t>
  </si>
  <si>
    <t>498273</t>
  </si>
  <si>
    <t>498628</t>
  </si>
  <si>
    <t>498630</t>
  </si>
  <si>
    <t>203003</t>
  </si>
  <si>
    <t>497878</t>
  </si>
  <si>
    <t>498275</t>
  </si>
  <si>
    <t>402025</t>
  </si>
  <si>
    <t>498633</t>
  </si>
  <si>
    <t>499029</t>
  </si>
  <si>
    <t>702009</t>
  </si>
  <si>
    <t>498277</t>
  </si>
  <si>
    <t>499030</t>
  </si>
  <si>
    <t>820102</t>
  </si>
  <si>
    <t>498635</t>
  </si>
  <si>
    <t>498638</t>
  </si>
  <si>
    <t>105411</t>
  </si>
  <si>
    <t>497886</t>
  </si>
  <si>
    <t>498279</t>
  </si>
  <si>
    <t>408015</t>
  </si>
  <si>
    <t>499036</t>
  </si>
  <si>
    <t>498280</t>
  </si>
  <si>
    <t>497887</t>
  </si>
  <si>
    <t>103028</t>
  </si>
  <si>
    <t>499040</t>
  </si>
  <si>
    <t>745009</t>
  </si>
  <si>
    <t>498283</t>
  </si>
  <si>
    <t>498642</t>
  </si>
  <si>
    <t>499934</t>
  </si>
  <si>
    <t>498053</t>
  </si>
  <si>
    <t>500313</t>
  </si>
  <si>
    <t>504940</t>
  </si>
  <si>
    <t>958002</t>
  </si>
  <si>
    <t>499935</t>
  </si>
  <si>
    <t>241052</t>
  </si>
  <si>
    <t>499563</t>
  </si>
  <si>
    <t>504196</t>
  </si>
  <si>
    <t>830821</t>
  </si>
  <si>
    <t>501871</t>
  </si>
  <si>
    <t>500317</t>
  </si>
  <si>
    <t>320038</t>
  </si>
  <si>
    <t>501874</t>
  </si>
  <si>
    <t>498060</t>
  </si>
  <si>
    <t>106026</t>
  </si>
  <si>
    <t>504944</t>
  </si>
  <si>
    <t>950031</t>
  </si>
  <si>
    <t>504199</t>
  </si>
  <si>
    <t>499568</t>
  </si>
  <si>
    <t>501875</t>
  </si>
  <si>
    <t>502002</t>
  </si>
  <si>
    <t>504201</t>
  </si>
  <si>
    <t>500319</t>
  </si>
  <si>
    <t>499570</t>
  </si>
  <si>
    <t>241058</t>
  </si>
  <si>
    <t>498064</t>
  </si>
  <si>
    <t>500321</t>
  </si>
  <si>
    <t>333020</t>
  </si>
  <si>
    <t>497692</t>
  </si>
  <si>
    <t>115014</t>
  </si>
  <si>
    <t>498065</t>
  </si>
  <si>
    <t>499572</t>
  </si>
  <si>
    <t>227001</t>
  </si>
  <si>
    <t>504950</t>
  </si>
  <si>
    <t>957</t>
  </si>
  <si>
    <t>500323</t>
  </si>
  <si>
    <t>333029</t>
  </si>
  <si>
    <t>504206</t>
  </si>
  <si>
    <t>833665</t>
  </si>
  <si>
    <t>498446</t>
  </si>
  <si>
    <t>401008</t>
  </si>
  <si>
    <t>499574</t>
  </si>
  <si>
    <t>248007</t>
  </si>
  <si>
    <t>504207</t>
  </si>
  <si>
    <t>500326</t>
  </si>
  <si>
    <t>503431</t>
  </si>
  <si>
    <t>504952</t>
  </si>
  <si>
    <t>501883</t>
  </si>
  <si>
    <t>302010</t>
  </si>
  <si>
    <t>499576</t>
  </si>
  <si>
    <t>499947</t>
  </si>
  <si>
    <t>497696</t>
  </si>
  <si>
    <t>106093</t>
  </si>
  <si>
    <t>501884</t>
  </si>
  <si>
    <t>503136</t>
  </si>
  <si>
    <t>243080</t>
  </si>
  <si>
    <t>504328</t>
  </si>
  <si>
    <t>400691</t>
  </si>
  <si>
    <t>498192</t>
  </si>
  <si>
    <t>505082</t>
  </si>
  <si>
    <t>497813</t>
  </si>
  <si>
    <t>500451</t>
  </si>
  <si>
    <t>498193</t>
  </si>
  <si>
    <t>500452</t>
  </si>
  <si>
    <t>502748</t>
  </si>
  <si>
    <t>501241</t>
  </si>
  <si>
    <t>502377</t>
  </si>
  <si>
    <t>520</t>
  </si>
  <si>
    <t>503139</t>
  </si>
  <si>
    <t>505085</t>
  </si>
  <si>
    <t>807055</t>
  </si>
  <si>
    <t>505086</t>
  </si>
  <si>
    <t>503140</t>
  </si>
  <si>
    <t>600051</t>
  </si>
  <si>
    <t>498196</t>
  </si>
  <si>
    <t>500855</t>
  </si>
  <si>
    <t>206005</t>
  </si>
  <si>
    <t>498559</t>
  </si>
  <si>
    <t>412001</t>
  </si>
  <si>
    <t>500856</t>
  </si>
  <si>
    <t>325012</t>
  </si>
  <si>
    <t>502006</t>
  </si>
  <si>
    <t>557012</t>
  </si>
  <si>
    <t>497817</t>
  </si>
  <si>
    <t>104012</t>
  </si>
  <si>
    <t>502008</t>
  </si>
  <si>
    <t>503148</t>
  </si>
  <si>
    <t>501245</t>
  </si>
  <si>
    <t>251015</t>
  </si>
  <si>
    <t>505090</t>
  </si>
  <si>
    <t>822</t>
  </si>
  <si>
    <t>502754</t>
  </si>
  <si>
    <t>502381</t>
  </si>
  <si>
    <t>500070</t>
  </si>
  <si>
    <t>502010</t>
  </si>
  <si>
    <t>222005</t>
  </si>
  <si>
    <t>500860</t>
  </si>
  <si>
    <t>498201</t>
  </si>
  <si>
    <t>403006</t>
  </si>
  <si>
    <t>501291</t>
  </si>
  <si>
    <t>403008</t>
  </si>
  <si>
    <t>500509</t>
  </si>
  <si>
    <t>500510</t>
  </si>
  <si>
    <t>320019</t>
  </si>
  <si>
    <t>501691</t>
  </si>
  <si>
    <t>501692</t>
  </si>
  <si>
    <t>501297</t>
  </si>
  <si>
    <t>500516</t>
  </si>
  <si>
    <t>501299</t>
  </si>
  <si>
    <t>499751</t>
  </si>
  <si>
    <t>499753</t>
  </si>
  <si>
    <t>500520</t>
  </si>
  <si>
    <t>326008</t>
  </si>
  <si>
    <t>501301</t>
  </si>
  <si>
    <t>500524</t>
  </si>
  <si>
    <t>501303</t>
  </si>
  <si>
    <t>500526</t>
  </si>
  <si>
    <t>501305</t>
  </si>
  <si>
    <t>500529</t>
  </si>
  <si>
    <t>501308</t>
  </si>
  <si>
    <t>500531</t>
  </si>
  <si>
    <t>499759</t>
  </si>
  <si>
    <t>103011</t>
  </si>
  <si>
    <t>501706</t>
  </si>
  <si>
    <t>500533</t>
  </si>
  <si>
    <t>499761</t>
  </si>
  <si>
    <t>501708</t>
  </si>
  <si>
    <t>501311</t>
  </si>
  <si>
    <t>500535</t>
  </si>
  <si>
    <t>501312</t>
  </si>
  <si>
    <t>300027</t>
  </si>
  <si>
    <t>499765</t>
  </si>
  <si>
    <t>500537</t>
  </si>
  <si>
    <t>334614</t>
  </si>
  <si>
    <t>501710</t>
  </si>
  <si>
    <t>414003</t>
  </si>
  <si>
    <t>501315</t>
  </si>
  <si>
    <t>414092</t>
  </si>
  <si>
    <t>501316</t>
  </si>
  <si>
    <t>500539</t>
  </si>
  <si>
    <t>708003</t>
  </si>
  <si>
    <t>499769</t>
  </si>
  <si>
    <t>247028</t>
  </si>
  <si>
    <t>501712</t>
  </si>
  <si>
    <t>500541</t>
  </si>
  <si>
    <t>320032</t>
  </si>
  <si>
    <t>501319</t>
  </si>
  <si>
    <t>500543</t>
  </si>
  <si>
    <t>501714</t>
  </si>
  <si>
    <t>499773</t>
  </si>
  <si>
    <t>501320</t>
  </si>
  <si>
    <t>500548</t>
  </si>
  <si>
    <t>501716</t>
  </si>
  <si>
    <t>500550</t>
  </si>
  <si>
    <t>248011</t>
  </si>
  <si>
    <t>501718</t>
  </si>
  <si>
    <t>504211</t>
  </si>
  <si>
    <t>502262</t>
  </si>
  <si>
    <t>504954</t>
  </si>
  <si>
    <t>954002</t>
  </si>
  <si>
    <t>499579</t>
  </si>
  <si>
    <t>499951</t>
  </si>
  <si>
    <t>242071</t>
  </si>
  <si>
    <t>498450</t>
  </si>
  <si>
    <t>504339</t>
  </si>
  <si>
    <t>500072</t>
  </si>
  <si>
    <t>247029</t>
  </si>
  <si>
    <t>502756</t>
  </si>
  <si>
    <t>505094</t>
  </si>
  <si>
    <t>503154</t>
  </si>
  <si>
    <t>497821</t>
  </si>
  <si>
    <t>241086</t>
  </si>
  <si>
    <t>501249</t>
  </si>
  <si>
    <t>502012</t>
  </si>
  <si>
    <t>503155</t>
  </si>
  <si>
    <t>500460</t>
  </si>
  <si>
    <t>324005</t>
  </si>
  <si>
    <t>498204</t>
  </si>
  <si>
    <t>500863</t>
  </si>
  <si>
    <t>302055</t>
  </si>
  <si>
    <t>505095</t>
  </si>
  <si>
    <t>111073</t>
  </si>
  <si>
    <t>497822</t>
  </si>
  <si>
    <t>500074</t>
  </si>
  <si>
    <t>116725</t>
  </si>
  <si>
    <t>498205</t>
  </si>
  <si>
    <t>503158</t>
  </si>
  <si>
    <t>111054</t>
  </si>
  <si>
    <t>504343</t>
  </si>
  <si>
    <t>502760</t>
  </si>
  <si>
    <t>513008</t>
  </si>
  <si>
    <t>501255</t>
  </si>
  <si>
    <t>502014</t>
  </si>
  <si>
    <t>500464</t>
  </si>
  <si>
    <t>497825</t>
  </si>
  <si>
    <t>502761</t>
  </si>
  <si>
    <t>500868</t>
  </si>
  <si>
    <t>501256</t>
  </si>
  <si>
    <t>424797</t>
  </si>
  <si>
    <t>500076</t>
  </si>
  <si>
    <t>236016</t>
  </si>
  <si>
    <t>497826</t>
  </si>
  <si>
    <t>112050</t>
  </si>
  <si>
    <t>498567</t>
  </si>
  <si>
    <t>502016</t>
  </si>
  <si>
    <t>500869</t>
  </si>
  <si>
    <t>504345</t>
  </si>
  <si>
    <t>505098</t>
  </si>
  <si>
    <t>498209</t>
  </si>
  <si>
    <t>412356</t>
  </si>
  <si>
    <t>502018</t>
  </si>
  <si>
    <t>505099</t>
  </si>
  <si>
    <t>112046</t>
  </si>
  <si>
    <t>500467</t>
  </si>
  <si>
    <t>502764</t>
  </si>
  <si>
    <t>498213</t>
  </si>
  <si>
    <t>500469</t>
  </si>
  <si>
    <t>501259</t>
  </si>
  <si>
    <t>500910</t>
  </si>
  <si>
    <t>502054</t>
  </si>
  <si>
    <t>437102</t>
  </si>
  <si>
    <t>504021</t>
  </si>
  <si>
    <t>500913</t>
  </si>
  <si>
    <t>310004</t>
  </si>
  <si>
    <t>504023</t>
  </si>
  <si>
    <t>333602</t>
  </si>
  <si>
    <t>500914</t>
  </si>
  <si>
    <t>504028</t>
  </si>
  <si>
    <t>504030</t>
  </si>
  <si>
    <t>830056</t>
  </si>
  <si>
    <t>500921</t>
  </si>
  <si>
    <t>500922</t>
  </si>
  <si>
    <t>308004</t>
  </si>
  <si>
    <t>504032</t>
  </si>
  <si>
    <t>502063</t>
  </si>
  <si>
    <t>502064</t>
  </si>
  <si>
    <t>112092</t>
  </si>
  <si>
    <t>500925</t>
  </si>
  <si>
    <t>504034</t>
  </si>
  <si>
    <t>831615</t>
  </si>
  <si>
    <t>500926</t>
  </si>
  <si>
    <t>504036</t>
  </si>
  <si>
    <t>500929</t>
  </si>
  <si>
    <t>504039</t>
  </si>
  <si>
    <t>500930</t>
  </si>
  <si>
    <t>351006</t>
  </si>
  <si>
    <t>502072</t>
  </si>
  <si>
    <t>500933</t>
  </si>
  <si>
    <t>115032</t>
  </si>
  <si>
    <t>504043</t>
  </si>
  <si>
    <t>500934</t>
  </si>
  <si>
    <t>504361</t>
  </si>
  <si>
    <t>358009</t>
  </si>
  <si>
    <t>504045</t>
  </si>
  <si>
    <t>502075</t>
  </si>
  <si>
    <t>500938</t>
  </si>
  <si>
    <t>300023</t>
  </si>
  <si>
    <t>504047</t>
  </si>
  <si>
    <t>500940</t>
  </si>
  <si>
    <t>357002</t>
  </si>
  <si>
    <t>502079</t>
  </si>
  <si>
    <t>414093</t>
  </si>
  <si>
    <t>502080</t>
  </si>
  <si>
    <t>504049</t>
  </si>
  <si>
    <t>502081</t>
  </si>
  <si>
    <t>504050</t>
  </si>
  <si>
    <t>500945</t>
  </si>
  <si>
    <t>320011</t>
  </si>
  <si>
    <t>500946</t>
  </si>
  <si>
    <t>504053</t>
  </si>
  <si>
    <t>814011</t>
  </si>
  <si>
    <t>500950</t>
  </si>
  <si>
    <t>500951</t>
  </si>
  <si>
    <t>504057</t>
  </si>
  <si>
    <t>248649</t>
  </si>
  <si>
    <t>502089</t>
  </si>
  <si>
    <t>558006</t>
  </si>
  <si>
    <t>499421</t>
  </si>
  <si>
    <t>502090</t>
  </si>
  <si>
    <t>499425</t>
  </si>
  <si>
    <t>502094</t>
  </si>
  <si>
    <t>540013</t>
  </si>
  <si>
    <t>498072</t>
  </si>
  <si>
    <t>115629</t>
  </si>
  <si>
    <t>498451</t>
  </si>
  <si>
    <t>504956</t>
  </si>
  <si>
    <t>238034</t>
  </si>
  <si>
    <t>501887</t>
  </si>
  <si>
    <t>502264</t>
  </si>
  <si>
    <t>500048</t>
  </si>
  <si>
    <t>504215</t>
  </si>
  <si>
    <t>498073</t>
  </si>
  <si>
    <t>501888</t>
  </si>
  <si>
    <t>408358</t>
  </si>
  <si>
    <t>499583</t>
  </si>
  <si>
    <t>499955</t>
  </si>
  <si>
    <t>220471</t>
  </si>
  <si>
    <t>504958</t>
  </si>
  <si>
    <t>957005</t>
  </si>
  <si>
    <t>502266</t>
  </si>
  <si>
    <t>498454</t>
  </si>
  <si>
    <t>414107</t>
  </si>
  <si>
    <t>504218</t>
  </si>
  <si>
    <t>498455</t>
  </si>
  <si>
    <t>807559</t>
  </si>
  <si>
    <t>501890</t>
  </si>
  <si>
    <t>542023</t>
  </si>
  <si>
    <t>502268</t>
  </si>
  <si>
    <t>499958</t>
  </si>
  <si>
    <t>208001</t>
  </si>
  <si>
    <t>504219</t>
  </si>
  <si>
    <t>499959</t>
  </si>
  <si>
    <t>105015</t>
  </si>
  <si>
    <t>499587</t>
  </si>
  <si>
    <t>235089</t>
  </si>
  <si>
    <t>498458</t>
  </si>
  <si>
    <t>504222</t>
  </si>
  <si>
    <t>502270</t>
  </si>
  <si>
    <t>338017</t>
  </si>
  <si>
    <t>504964</t>
  </si>
  <si>
    <t>963</t>
  </si>
  <si>
    <t>499589</t>
  </si>
  <si>
    <t>105037</t>
  </si>
  <si>
    <t>502272</t>
  </si>
  <si>
    <t>504966</t>
  </si>
  <si>
    <t>961003</t>
  </si>
  <si>
    <t>501896</t>
  </si>
  <si>
    <t>504968</t>
  </si>
  <si>
    <t>504227</t>
  </si>
  <si>
    <t>499963</t>
  </si>
  <si>
    <t>498085</t>
  </si>
  <si>
    <t>504970</t>
  </si>
  <si>
    <t>498463</t>
  </si>
  <si>
    <t>499966</t>
  </si>
  <si>
    <t>504973</t>
  </si>
  <si>
    <t>502278</t>
  </si>
  <si>
    <t>506009</t>
  </si>
  <si>
    <t>502021</t>
  </si>
  <si>
    <t>502765</t>
  </si>
  <si>
    <t>500872</t>
  </si>
  <si>
    <t>503163</t>
  </si>
  <si>
    <t>500081</t>
  </si>
  <si>
    <t>110072</t>
  </si>
  <si>
    <t>501260</t>
  </si>
  <si>
    <t>502022</t>
  </si>
  <si>
    <t>503164</t>
  </si>
  <si>
    <t>498574</t>
  </si>
  <si>
    <t>408019</t>
  </si>
  <si>
    <t>502768</t>
  </si>
  <si>
    <t>499714</t>
  </si>
  <si>
    <t>502769</t>
  </si>
  <si>
    <t>508016</t>
  </si>
  <si>
    <t>500083</t>
  </si>
  <si>
    <t>501264</t>
  </si>
  <si>
    <t>502025</t>
  </si>
  <si>
    <t>500475</t>
  </si>
  <si>
    <t>505106</t>
  </si>
  <si>
    <t>502026</t>
  </si>
  <si>
    <t>501265</t>
  </si>
  <si>
    <t>503168</t>
  </si>
  <si>
    <t>615005</t>
  </si>
  <si>
    <t>505107</t>
  </si>
  <si>
    <t>112040</t>
  </si>
  <si>
    <t>502772</t>
  </si>
  <si>
    <t>498220</t>
  </si>
  <si>
    <t>498222</t>
  </si>
  <si>
    <t>712010</t>
  </si>
  <si>
    <t>499718</t>
  </si>
  <si>
    <t>503170</t>
  </si>
  <si>
    <t>498975</t>
  </si>
  <si>
    <t>497834</t>
  </si>
  <si>
    <t>504355</t>
  </si>
  <si>
    <t>498976</t>
  </si>
  <si>
    <t>500479</t>
  </si>
  <si>
    <t>241065</t>
  </si>
  <si>
    <t>500882</t>
  </si>
  <si>
    <t>502029</t>
  </si>
  <si>
    <t>498996</t>
  </si>
  <si>
    <t>813029</t>
  </si>
  <si>
    <t>501679</t>
  </si>
  <si>
    <t>338024</t>
  </si>
  <si>
    <t>504380</t>
  </si>
  <si>
    <t>504381</t>
  </si>
  <si>
    <t>499381</t>
  </si>
  <si>
    <t>503624</t>
  </si>
  <si>
    <t>504384</t>
  </si>
  <si>
    <t>300044</t>
  </si>
  <si>
    <t>504385</t>
  </si>
  <si>
    <t>503628</t>
  </si>
  <si>
    <t>499386</t>
  </si>
  <si>
    <t>503631</t>
  </si>
  <si>
    <t>733017</t>
  </si>
  <si>
    <t>499389</t>
  </si>
  <si>
    <t>503633</t>
  </si>
  <si>
    <t>499390</t>
  </si>
  <si>
    <t>504393</t>
  </si>
  <si>
    <t>504395</t>
  </si>
  <si>
    <t>900404</t>
  </si>
  <si>
    <t>503634</t>
  </si>
  <si>
    <t>813002</t>
  </si>
  <si>
    <t>499393</t>
  </si>
  <si>
    <t>814017</t>
  </si>
  <si>
    <t>499394</t>
  </si>
  <si>
    <t>800007</t>
  </si>
  <si>
    <t>504398</t>
  </si>
  <si>
    <t>900047</t>
  </si>
  <si>
    <t>503637</t>
  </si>
  <si>
    <t>503638</t>
  </si>
  <si>
    <t>499397</t>
  </si>
  <si>
    <t>504402</t>
  </si>
  <si>
    <t>504403</t>
  </si>
  <si>
    <t>503641</t>
  </si>
  <si>
    <t>499402</t>
  </si>
  <si>
    <t>503642</t>
  </si>
  <si>
    <t>503645</t>
  </si>
  <si>
    <t>300080</t>
  </si>
  <si>
    <t>503646</t>
  </si>
  <si>
    <t>499406</t>
  </si>
  <si>
    <t>498284</t>
  </si>
  <si>
    <t>499407</t>
  </si>
  <si>
    <t>504410</t>
  </si>
  <si>
    <t>497892</t>
  </si>
  <si>
    <t>110066</t>
  </si>
  <si>
    <t>503650</t>
  </si>
  <si>
    <t>745005</t>
  </si>
  <si>
    <t>504411</t>
  </si>
  <si>
    <t>498646</t>
  </si>
  <si>
    <t>499410</t>
  </si>
  <si>
    <t>830070</t>
  </si>
  <si>
    <t>503652</t>
  </si>
  <si>
    <t>497895</t>
  </si>
  <si>
    <t>830742</t>
  </si>
  <si>
    <t>501901</t>
  </si>
  <si>
    <t>504975</t>
  </si>
  <si>
    <t>498090</t>
  </si>
  <si>
    <t>114026</t>
  </si>
  <si>
    <t>498467</t>
  </si>
  <si>
    <t>498093</t>
  </si>
  <si>
    <t>499971</t>
  </si>
  <si>
    <t>501904</t>
  </si>
  <si>
    <t>504977</t>
  </si>
  <si>
    <t>402316</t>
  </si>
  <si>
    <t>504236</t>
  </si>
  <si>
    <t>821005</t>
  </si>
  <si>
    <t>501905</t>
  </si>
  <si>
    <t>498470</t>
  </si>
  <si>
    <t>497719</t>
  </si>
  <si>
    <t>509001</t>
  </si>
  <si>
    <t>498471</t>
  </si>
  <si>
    <t>502284</t>
  </si>
  <si>
    <t>506008</t>
  </si>
  <si>
    <t>498097</t>
  </si>
  <si>
    <t>104108</t>
  </si>
  <si>
    <t>499975</t>
  </si>
  <si>
    <t>242027</t>
  </si>
  <si>
    <t>504981</t>
  </si>
  <si>
    <t>971064</t>
  </si>
  <si>
    <t>497720</t>
  </si>
  <si>
    <t>501908</t>
  </si>
  <si>
    <t>500357</t>
  </si>
  <si>
    <t>330035</t>
  </si>
  <si>
    <t>504240</t>
  </si>
  <si>
    <t>502285</t>
  </si>
  <si>
    <t>501909</t>
  </si>
  <si>
    <t>546001</t>
  </si>
  <si>
    <t>500359</t>
  </si>
  <si>
    <t>499978</t>
  </si>
  <si>
    <t>499979</t>
  </si>
  <si>
    <t>504243</t>
  </si>
  <si>
    <t>826001</t>
  </si>
  <si>
    <t>500361</t>
  </si>
  <si>
    <t>497724</t>
  </si>
  <si>
    <t>220322</t>
  </si>
  <si>
    <t>501912</t>
  </si>
  <si>
    <t>545009</t>
  </si>
  <si>
    <t>498475</t>
  </si>
  <si>
    <t>503047</t>
  </si>
  <si>
    <t>504245</t>
  </si>
  <si>
    <t>497726</t>
  </si>
  <si>
    <t>501913</t>
  </si>
  <si>
    <t>498478</t>
  </si>
  <si>
    <t>502292</t>
  </si>
  <si>
    <t>499984</t>
  </si>
  <si>
    <t>505110</t>
  </si>
  <si>
    <t>503993</t>
  </si>
  <si>
    <t>498226</t>
  </si>
  <si>
    <t>408453</t>
  </si>
  <si>
    <t>497837</t>
  </si>
  <si>
    <t>502030</t>
  </si>
  <si>
    <t>500883</t>
  </si>
  <si>
    <t>499721</t>
  </si>
  <si>
    <t>242010</t>
  </si>
  <si>
    <t>502776</t>
  </si>
  <si>
    <t>501269</t>
  </si>
  <si>
    <t>115201</t>
  </si>
  <si>
    <t>497838</t>
  </si>
  <si>
    <t>498980</t>
  </si>
  <si>
    <t>499722</t>
  </si>
  <si>
    <t>501659</t>
  </si>
  <si>
    <t>500093</t>
  </si>
  <si>
    <t>498981</t>
  </si>
  <si>
    <t>504359</t>
  </si>
  <si>
    <t>326009</t>
  </si>
  <si>
    <t>501660</t>
  </si>
  <si>
    <t>406046</t>
  </si>
  <si>
    <t>502401</t>
  </si>
  <si>
    <t>500886</t>
  </si>
  <si>
    <t>304112</t>
  </si>
  <si>
    <t>505114</t>
  </si>
  <si>
    <t>326022</t>
  </si>
  <si>
    <t>500485</t>
  </si>
  <si>
    <t>503180</t>
  </si>
  <si>
    <t>502780</t>
  </si>
  <si>
    <t>320008</t>
  </si>
  <si>
    <t>505116</t>
  </si>
  <si>
    <t>500095</t>
  </si>
  <si>
    <t>498370</t>
  </si>
  <si>
    <t>499225</t>
  </si>
  <si>
    <t>499227</t>
  </si>
  <si>
    <t>806013</t>
  </si>
  <si>
    <t>499231</t>
  </si>
  <si>
    <t>499232</t>
  </si>
  <si>
    <t>499235</t>
  </si>
  <si>
    <t>807030</t>
  </si>
  <si>
    <t>499236</t>
  </si>
  <si>
    <t>813031</t>
  </si>
  <si>
    <t>499239</t>
  </si>
  <si>
    <t>499245</t>
  </si>
  <si>
    <t>807041</t>
  </si>
  <si>
    <t>499248</t>
  </si>
  <si>
    <t>499251</t>
  </si>
  <si>
    <t>499252</t>
  </si>
  <si>
    <t>499256</t>
  </si>
  <si>
    <t>499258</t>
  </si>
  <si>
    <t>813774</t>
  </si>
  <si>
    <t>499260</t>
  </si>
  <si>
    <t>813</t>
  </si>
  <si>
    <t>499262</t>
  </si>
  <si>
    <t>499270</t>
  </si>
  <si>
    <t>499278</t>
  </si>
  <si>
    <t>499280</t>
  </si>
  <si>
    <t>499284</t>
  </si>
  <si>
    <t>499298</t>
  </si>
  <si>
    <t>499307</t>
  </si>
  <si>
    <t>499308</t>
  </si>
  <si>
    <t>499312</t>
  </si>
  <si>
    <t>499316</t>
  </si>
  <si>
    <t>813639</t>
  </si>
  <si>
    <t>499320</t>
  </si>
  <si>
    <t>900067</t>
  </si>
  <si>
    <t>499321</t>
  </si>
  <si>
    <t>499326</t>
  </si>
  <si>
    <t>402017</t>
  </si>
  <si>
    <t>499327</t>
  </si>
  <si>
    <t>499331</t>
  </si>
  <si>
    <t>499334</t>
  </si>
  <si>
    <t>499335</t>
  </si>
  <si>
    <t>830883</t>
  </si>
  <si>
    <t>499338</t>
  </si>
  <si>
    <t>811022</t>
  </si>
  <si>
    <t>499339</t>
  </si>
  <si>
    <t>499342</t>
  </si>
  <si>
    <t>499343</t>
  </si>
  <si>
    <t>950010</t>
  </si>
  <si>
    <t>499346</t>
  </si>
  <si>
    <t>807767</t>
  </si>
  <si>
    <t>499350</t>
  </si>
  <si>
    <t>811007</t>
  </si>
  <si>
    <t>499355</t>
  </si>
  <si>
    <t>499356</t>
  </si>
  <si>
    <t>632102</t>
  </si>
  <si>
    <t>499359</t>
  </si>
  <si>
    <t>499360</t>
  </si>
  <si>
    <t>804013</t>
  </si>
  <si>
    <t>499364</t>
  </si>
  <si>
    <t>408011</t>
  </si>
  <si>
    <t>499367</t>
  </si>
  <si>
    <t>110202</t>
  </si>
  <si>
    <t>499368</t>
  </si>
  <si>
    <t>504372</t>
  </si>
  <si>
    <t>503197</t>
  </si>
  <si>
    <t>608009</t>
  </si>
  <si>
    <t>505128</t>
  </si>
  <si>
    <t>111036</t>
  </si>
  <si>
    <t>504758</t>
  </si>
  <si>
    <t>501556</t>
  </si>
  <si>
    <t>436</t>
  </si>
  <si>
    <t>503897</t>
  </si>
  <si>
    <t>498890</t>
  </si>
  <si>
    <t>813679</t>
  </si>
  <si>
    <t>503899</t>
  </si>
  <si>
    <t>501559</t>
  </si>
  <si>
    <t>501561</t>
  </si>
  <si>
    <t>503901</t>
  </si>
  <si>
    <t>242068</t>
  </si>
  <si>
    <t>498894</t>
  </si>
  <si>
    <t>503903</t>
  </si>
  <si>
    <t>741004</t>
  </si>
  <si>
    <t>501564</t>
  </si>
  <si>
    <t>498895</t>
  </si>
  <si>
    <t>700006</t>
  </si>
  <si>
    <t>501565</t>
  </si>
  <si>
    <t>501568</t>
  </si>
  <si>
    <t>503907</t>
  </si>
  <si>
    <t>238023</t>
  </si>
  <si>
    <t>498898</t>
  </si>
  <si>
    <t>427248</t>
  </si>
  <si>
    <t>501569</t>
  </si>
  <si>
    <t>498899</t>
  </si>
  <si>
    <t>503910</t>
  </si>
  <si>
    <t>501573</t>
  </si>
  <si>
    <t>503912</t>
  </si>
  <si>
    <t>498903</t>
  </si>
  <si>
    <t>231693</t>
  </si>
  <si>
    <t>503914</t>
  </si>
  <si>
    <t>736004</t>
  </si>
  <si>
    <t>501577</t>
  </si>
  <si>
    <t>501578</t>
  </si>
  <si>
    <t>498908</t>
  </si>
  <si>
    <t>498909</t>
  </si>
  <si>
    <t>498913</t>
  </si>
  <si>
    <t>498914</t>
  </si>
  <si>
    <t>807060</t>
  </si>
  <si>
    <t>503922</t>
  </si>
  <si>
    <t>501584</t>
  </si>
  <si>
    <t>498918</t>
  </si>
  <si>
    <t>498922</t>
  </si>
  <si>
    <t>503928</t>
  </si>
  <si>
    <t>734041</t>
  </si>
  <si>
    <t>501588</t>
  </si>
  <si>
    <t>501589</t>
  </si>
  <si>
    <t>432005</t>
  </si>
  <si>
    <t>498925</t>
  </si>
  <si>
    <t>501592</t>
  </si>
  <si>
    <t>421001</t>
  </si>
  <si>
    <t>501593</t>
  </si>
  <si>
    <t>503934</t>
  </si>
  <si>
    <t>498927</t>
  </si>
  <si>
    <t>498929</t>
  </si>
  <si>
    <t>800004</t>
  </si>
  <si>
    <t>501596</t>
  </si>
  <si>
    <t>501598</t>
  </si>
  <si>
    <t>439</t>
  </si>
  <si>
    <t>503938</t>
  </si>
  <si>
    <t>498931</t>
  </si>
  <si>
    <t>501602</t>
  </si>
  <si>
    <t>530018</t>
  </si>
  <si>
    <t>498933</t>
  </si>
  <si>
    <t>114759</t>
  </si>
  <si>
    <t>498371</t>
  </si>
  <si>
    <t>499500</t>
  </si>
  <si>
    <t>504878</t>
  </si>
  <si>
    <t>249634</t>
  </si>
  <si>
    <t>500256</t>
  </si>
  <si>
    <t>504133</t>
  </si>
  <si>
    <t>497999</t>
  </si>
  <si>
    <t>504879</t>
  </si>
  <si>
    <t>243079</t>
  </si>
  <si>
    <t>501811</t>
  </si>
  <si>
    <t>498375</t>
  </si>
  <si>
    <t>499502</t>
  </si>
  <si>
    <t>832002</t>
  </si>
  <si>
    <t>500258</t>
  </si>
  <si>
    <t>261006</t>
  </si>
  <si>
    <t>502186</t>
  </si>
  <si>
    <t>502188</t>
  </si>
  <si>
    <t>501814</t>
  </si>
  <si>
    <t>499879</t>
  </si>
  <si>
    <t>803001</t>
  </si>
  <si>
    <t>499880</t>
  </si>
  <si>
    <t>224003</t>
  </si>
  <si>
    <t>500260</t>
  </si>
  <si>
    <t>264018</t>
  </si>
  <si>
    <t>504883</t>
  </si>
  <si>
    <t>498378</t>
  </si>
  <si>
    <t>498003</t>
  </si>
  <si>
    <t>116790</t>
  </si>
  <si>
    <t>504884</t>
  </si>
  <si>
    <t>105604</t>
  </si>
  <si>
    <t>498379</t>
  </si>
  <si>
    <t>498004</t>
  </si>
  <si>
    <t>499506</t>
  </si>
  <si>
    <t>807042</t>
  </si>
  <si>
    <t>499883</t>
  </si>
  <si>
    <t>497625</t>
  </si>
  <si>
    <t>502191</t>
  </si>
  <si>
    <t>504140</t>
  </si>
  <si>
    <t>499884</t>
  </si>
  <si>
    <t>502193</t>
  </si>
  <si>
    <t>522034</t>
  </si>
  <si>
    <t>498007</t>
  </si>
  <si>
    <t>504888</t>
  </si>
  <si>
    <t>973049</t>
  </si>
  <si>
    <t>499508</t>
  </si>
  <si>
    <t>504889</t>
  </si>
  <si>
    <t>498383</t>
  </si>
  <si>
    <t>500264</t>
  </si>
  <si>
    <t>261</t>
  </si>
  <si>
    <t>498384</t>
  </si>
  <si>
    <t>499510</t>
  </si>
  <si>
    <t>504144</t>
  </si>
  <si>
    <t>830033</t>
  </si>
  <si>
    <t>499887</t>
  </si>
  <si>
    <t>804605</t>
  </si>
  <si>
    <t>497630</t>
  </si>
  <si>
    <t>504145</t>
  </si>
  <si>
    <t>502197</t>
  </si>
  <si>
    <t>498166</t>
  </si>
  <si>
    <t>242051</t>
  </si>
  <si>
    <t>499674</t>
  </si>
  <si>
    <t>501977</t>
  </si>
  <si>
    <t>498167</t>
  </si>
  <si>
    <t>500827</t>
  </si>
  <si>
    <t>402267</t>
  </si>
  <si>
    <t>501217</t>
  </si>
  <si>
    <t>504310</t>
  </si>
  <si>
    <t>505060</t>
  </si>
  <si>
    <t>501218</t>
  </si>
  <si>
    <t>500431</t>
  </si>
  <si>
    <t>497794</t>
  </si>
  <si>
    <t>500832</t>
  </si>
  <si>
    <t>303032</t>
  </si>
  <si>
    <t>504312</t>
  </si>
  <si>
    <t>830052</t>
  </si>
  <si>
    <t>498171</t>
  </si>
  <si>
    <t>105014</t>
  </si>
  <si>
    <t>500833</t>
  </si>
  <si>
    <t>325018</t>
  </si>
  <si>
    <t>499679</t>
  </si>
  <si>
    <t>497797</t>
  </si>
  <si>
    <t>501983</t>
  </si>
  <si>
    <t>501221</t>
  </si>
  <si>
    <t>504010</t>
  </si>
  <si>
    <t>502793</t>
  </si>
  <si>
    <t>500901</t>
  </si>
  <si>
    <t>502414</t>
  </si>
  <si>
    <t>497850</t>
  </si>
  <si>
    <t>501284</t>
  </si>
  <si>
    <t>499371</t>
  </si>
  <si>
    <t>806028</t>
  </si>
  <si>
    <t>500500</t>
  </si>
  <si>
    <t>335006</t>
  </si>
  <si>
    <t>502046</t>
  </si>
  <si>
    <t>504373</t>
  </si>
  <si>
    <t>502796</t>
  </si>
  <si>
    <t>300059</t>
  </si>
  <si>
    <t>505130</t>
  </si>
  <si>
    <t>114035</t>
  </si>
  <si>
    <t>498247</t>
  </si>
  <si>
    <t>500501</t>
  </si>
  <si>
    <t>500107</t>
  </si>
  <si>
    <t>502797</t>
  </si>
  <si>
    <t>497852</t>
  </si>
  <si>
    <t>502047</t>
  </si>
  <si>
    <t>505132</t>
  </si>
  <si>
    <t>498599</t>
  </si>
  <si>
    <t>504376</t>
  </si>
  <si>
    <t>498249</t>
  </si>
  <si>
    <t>503201</t>
  </si>
  <si>
    <t>504762</t>
  </si>
  <si>
    <t>900051</t>
  </si>
  <si>
    <t>502418</t>
  </si>
  <si>
    <t>504377</t>
  </si>
  <si>
    <t>499377</t>
  </si>
  <si>
    <t>803005</t>
  </si>
  <si>
    <t>502050</t>
  </si>
  <si>
    <t>500505</t>
  </si>
  <si>
    <t>104065</t>
  </si>
  <si>
    <t>498251</t>
  </si>
  <si>
    <t>504764</t>
  </si>
  <si>
    <t>498601</t>
  </si>
  <si>
    <t>503205</t>
  </si>
  <si>
    <t>499741</t>
  </si>
  <si>
    <t>251003</t>
  </si>
  <si>
    <t>503620</t>
  </si>
  <si>
    <t>114048</t>
  </si>
  <si>
    <t>500909</t>
  </si>
  <si>
    <t>499742</t>
  </si>
  <si>
    <t>505137</t>
  </si>
  <si>
    <t>498937</t>
  </si>
  <si>
    <t>501609</t>
  </si>
  <si>
    <t>503946</t>
  </si>
  <si>
    <t>503947</t>
  </si>
  <si>
    <t>701035</t>
  </si>
  <si>
    <t>501611</t>
  </si>
  <si>
    <t>503950</t>
  </si>
  <si>
    <t>723</t>
  </si>
  <si>
    <t>503951</t>
  </si>
  <si>
    <t>501615</t>
  </si>
  <si>
    <t>501616</t>
  </si>
  <si>
    <t>503955</t>
  </si>
  <si>
    <t>501620</t>
  </si>
  <si>
    <t>424131</t>
  </si>
  <si>
    <t>501621</t>
  </si>
  <si>
    <t>414674</t>
  </si>
  <si>
    <t>503958</t>
  </si>
  <si>
    <t>503959</t>
  </si>
  <si>
    <t>501626</t>
  </si>
  <si>
    <t>498951</t>
  </si>
  <si>
    <t>802784</t>
  </si>
  <si>
    <t>503962</t>
  </si>
  <si>
    <t>503963</t>
  </si>
  <si>
    <t>498953</t>
  </si>
  <si>
    <t>498955</t>
  </si>
  <si>
    <t>503967</t>
  </si>
  <si>
    <t>503968</t>
  </si>
  <si>
    <t>702025</t>
  </si>
  <si>
    <t>498957</t>
  </si>
  <si>
    <t>501639</t>
  </si>
  <si>
    <t>503976</t>
  </si>
  <si>
    <t>503977</t>
  </si>
  <si>
    <t>501642</t>
  </si>
  <si>
    <t>720005</t>
  </si>
  <si>
    <t>503983</t>
  </si>
  <si>
    <t>498966</t>
  </si>
  <si>
    <t>503984</t>
  </si>
  <si>
    <t>832004</t>
  </si>
  <si>
    <t>501647</t>
  </si>
  <si>
    <t>501648</t>
  </si>
  <si>
    <t>498970</t>
  </si>
  <si>
    <t>503987</t>
  </si>
  <si>
    <t>831603</t>
  </si>
  <si>
    <t>501651</t>
  </si>
  <si>
    <t>501652</t>
  </si>
  <si>
    <t>499888</t>
  </si>
  <si>
    <t>406611</t>
  </si>
  <si>
    <t>504892</t>
  </si>
  <si>
    <t>970029</t>
  </si>
  <si>
    <t>498011</t>
  </si>
  <si>
    <t>501823</t>
  </si>
  <si>
    <t>504148</t>
  </si>
  <si>
    <t>498387</t>
  </si>
  <si>
    <t>414091</t>
  </si>
  <si>
    <t>497633</t>
  </si>
  <si>
    <t>502202</t>
  </si>
  <si>
    <t>499891</t>
  </si>
  <si>
    <t>498388</t>
  </si>
  <si>
    <t>423</t>
  </si>
  <si>
    <t>497634</t>
  </si>
  <si>
    <t>499516</t>
  </si>
  <si>
    <t>504149</t>
  </si>
  <si>
    <t>498015</t>
  </si>
  <si>
    <t>108047</t>
  </si>
  <si>
    <t>501826</t>
  </si>
  <si>
    <t>502203</t>
  </si>
  <si>
    <t>500270</t>
  </si>
  <si>
    <t>504897</t>
  </si>
  <si>
    <t>501827</t>
  </si>
  <si>
    <t>498016</t>
  </si>
  <si>
    <t>497638</t>
  </si>
  <si>
    <t>499895</t>
  </si>
  <si>
    <t>220095</t>
  </si>
  <si>
    <t>502205</t>
  </si>
  <si>
    <t>437106</t>
  </si>
  <si>
    <t>499519</t>
  </si>
  <si>
    <t>499896</t>
  </si>
  <si>
    <t>498392</t>
  </si>
  <si>
    <t>504152</t>
  </si>
  <si>
    <t>499522</t>
  </si>
  <si>
    <t>524006</t>
  </si>
  <si>
    <t>497643</t>
  </si>
  <si>
    <t>500274</t>
  </si>
  <si>
    <t>413012</t>
  </si>
  <si>
    <t>499524</t>
  </si>
  <si>
    <t>504153</t>
  </si>
  <si>
    <t>504901</t>
  </si>
  <si>
    <t>103001</t>
  </si>
  <si>
    <t>500276</t>
  </si>
  <si>
    <t>502209</t>
  </si>
  <si>
    <t>498020</t>
  </si>
  <si>
    <t>220731</t>
  </si>
  <si>
    <t>497644</t>
  </si>
  <si>
    <t>498395</t>
  </si>
  <si>
    <t>498396</t>
  </si>
  <si>
    <t>504904</t>
  </si>
  <si>
    <t>504157</t>
  </si>
  <si>
    <t>499528</t>
  </si>
  <si>
    <t>500278</t>
  </si>
  <si>
    <t>500435</t>
  </si>
  <si>
    <t>320040</t>
  </si>
  <si>
    <t>505065</t>
  </si>
  <si>
    <t>499681</t>
  </si>
  <si>
    <t>235010</t>
  </si>
  <si>
    <t>500436</t>
  </si>
  <si>
    <t>498174</t>
  </si>
  <si>
    <t>111048</t>
  </si>
  <si>
    <t>503117</t>
  </si>
  <si>
    <t>402006</t>
  </si>
  <si>
    <t>501222</t>
  </si>
  <si>
    <t>235071</t>
  </si>
  <si>
    <t>504316</t>
  </si>
  <si>
    <t>501986</t>
  </si>
  <si>
    <t>503121</t>
  </si>
  <si>
    <t>652004</t>
  </si>
  <si>
    <t>501987</t>
  </si>
  <si>
    <t>500439</t>
  </si>
  <si>
    <t>100026</t>
  </si>
  <si>
    <t>500837</t>
  </si>
  <si>
    <t>300101</t>
  </si>
  <si>
    <t>499685</t>
  </si>
  <si>
    <t>503122</t>
  </si>
  <si>
    <t>528018</t>
  </si>
  <si>
    <t>241056</t>
  </si>
  <si>
    <t>498178</t>
  </si>
  <si>
    <t>501225</t>
  </si>
  <si>
    <t>504318</t>
  </si>
  <si>
    <t>498547</t>
  </si>
  <si>
    <t>407027</t>
  </si>
  <si>
    <t>501991</t>
  </si>
  <si>
    <t>734042</t>
  </si>
  <si>
    <t>501227</t>
  </si>
  <si>
    <t>498179</t>
  </si>
  <si>
    <t>500840</t>
  </si>
  <si>
    <t>300029</t>
  </si>
  <si>
    <t>503125</t>
  </si>
  <si>
    <t>104062</t>
  </si>
  <si>
    <t>505072</t>
  </si>
  <si>
    <t>505073</t>
  </si>
  <si>
    <t>501993</t>
  </si>
  <si>
    <t>351025</t>
  </si>
  <si>
    <t>503126</t>
  </si>
  <si>
    <t>498182</t>
  </si>
  <si>
    <t>497805</t>
  </si>
  <si>
    <t>498183</t>
  </si>
  <si>
    <t>497806</t>
  </si>
  <si>
    <t>502368</t>
  </si>
  <si>
    <t>500443</t>
  </si>
  <si>
    <t>498551</t>
  </si>
  <si>
    <t>497856</t>
  </si>
  <si>
    <t>108029</t>
  </si>
  <si>
    <t>502800</t>
  </si>
  <si>
    <t>502801</t>
  </si>
  <si>
    <t>502422</t>
  </si>
  <si>
    <t>502426</t>
  </si>
  <si>
    <t>526023</t>
  </si>
  <si>
    <t>502804</t>
  </si>
  <si>
    <t>502805</t>
  </si>
  <si>
    <t>502429</t>
  </si>
  <si>
    <t>509011</t>
  </si>
  <si>
    <t>502430</t>
  </si>
  <si>
    <t>502809</t>
  </si>
  <si>
    <t>502433</t>
  </si>
  <si>
    <t>302043</t>
  </si>
  <si>
    <t>502812</t>
  </si>
  <si>
    <t>221424</t>
  </si>
  <si>
    <t>502814</t>
  </si>
  <si>
    <t>807056</t>
  </si>
  <si>
    <t>502437</t>
  </si>
  <si>
    <t>502438</t>
  </si>
  <si>
    <t>502818</t>
  </si>
  <si>
    <t>502442</t>
  </si>
  <si>
    <t>502825</t>
  </si>
  <si>
    <t>502828</t>
  </si>
  <si>
    <t>502829</t>
  </si>
  <si>
    <t>106061</t>
  </si>
  <si>
    <t>502446</t>
  </si>
  <si>
    <t>502447</t>
  </si>
  <si>
    <t>502833</t>
  </si>
  <si>
    <t>502456</t>
  </si>
  <si>
    <t>502458</t>
  </si>
  <si>
    <t>497896</t>
  </si>
  <si>
    <t>504414</t>
  </si>
  <si>
    <t>907106</t>
  </si>
  <si>
    <t>502838</t>
  </si>
  <si>
    <t>498650</t>
  </si>
  <si>
    <t>221028</t>
  </si>
  <si>
    <t>502839</t>
  </si>
  <si>
    <t>503656</t>
  </si>
  <si>
    <t>231070</t>
  </si>
  <si>
    <t>504415</t>
  </si>
  <si>
    <t>831119</t>
  </si>
  <si>
    <t>502462</t>
  </si>
  <si>
    <t>502842</t>
  </si>
  <si>
    <t>504417</t>
  </si>
  <si>
    <t>499417</t>
  </si>
  <si>
    <t>498655</t>
  </si>
  <si>
    <t>104071</t>
  </si>
  <si>
    <t>498291</t>
  </si>
  <si>
    <t>502466</t>
  </si>
  <si>
    <t>503660</t>
  </si>
  <si>
    <t>502467</t>
  </si>
  <si>
    <t>411008</t>
  </si>
  <si>
    <t>502843</t>
  </si>
  <si>
    <t>498658</t>
  </si>
  <si>
    <t>502882</t>
  </si>
  <si>
    <t>502883</t>
  </si>
  <si>
    <t>502886</t>
  </si>
  <si>
    <t>502891</t>
  </si>
  <si>
    <t>502895</t>
  </si>
  <si>
    <t>502899</t>
  </si>
  <si>
    <t>502900</t>
  </si>
  <si>
    <t>502903</t>
  </si>
  <si>
    <t>502912</t>
  </si>
  <si>
    <t>502913</t>
  </si>
  <si>
    <t>502917</t>
  </si>
  <si>
    <t>502920</t>
  </si>
  <si>
    <t>830644</t>
  </si>
  <si>
    <t>502928</t>
  </si>
  <si>
    <t>105056</t>
  </si>
  <si>
    <t>502929</t>
  </si>
  <si>
    <t>807717</t>
  </si>
  <si>
    <t>502932</t>
  </si>
  <si>
    <t>502936</t>
  </si>
  <si>
    <t>637102</t>
  </si>
  <si>
    <t>502937</t>
  </si>
  <si>
    <t>655011</t>
  </si>
  <si>
    <t>502941</t>
  </si>
  <si>
    <t>502944</t>
  </si>
  <si>
    <t>502945</t>
  </si>
  <si>
    <t>502949</t>
  </si>
  <si>
    <t>502952</t>
  </si>
  <si>
    <t>502958</t>
  </si>
  <si>
    <t>105066</t>
  </si>
  <si>
    <t>502962</t>
  </si>
  <si>
    <t>502965</t>
  </si>
  <si>
    <t>502970</t>
  </si>
  <si>
    <t>640103</t>
  </si>
  <si>
    <t>502971</t>
  </si>
  <si>
    <t>100021</t>
  </si>
  <si>
    <t>502975</t>
  </si>
  <si>
    <t>502976</t>
  </si>
  <si>
    <t>114011</t>
  </si>
  <si>
    <t>502979</t>
  </si>
  <si>
    <t>502983</t>
  </si>
  <si>
    <t>502984</t>
  </si>
  <si>
    <t>502987</t>
  </si>
  <si>
    <t>104109</t>
  </si>
  <si>
    <t>502988</t>
  </si>
  <si>
    <t>414075</t>
  </si>
  <si>
    <t>502993</t>
  </si>
  <si>
    <t>806031</t>
  </si>
  <si>
    <t>502996</t>
  </si>
  <si>
    <t>502997</t>
  </si>
  <si>
    <t>804406</t>
  </si>
  <si>
    <t>503000</t>
  </si>
  <si>
    <t>404031</t>
  </si>
  <si>
    <t>238006</t>
  </si>
  <si>
    <t>111067</t>
  </si>
  <si>
    <t>503042</t>
  </si>
  <si>
    <t>503043</t>
  </si>
  <si>
    <t>503046</t>
  </si>
  <si>
    <t>504905</t>
  </si>
  <si>
    <t>498398</t>
  </si>
  <si>
    <t>499902</t>
  </si>
  <si>
    <t>501834</t>
  </si>
  <si>
    <t>502213</t>
  </si>
  <si>
    <t>499530</t>
  </si>
  <si>
    <t>335018</t>
  </si>
  <si>
    <t>497650</t>
  </si>
  <si>
    <t>501835</t>
  </si>
  <si>
    <t>424</t>
  </si>
  <si>
    <t>500281</t>
  </si>
  <si>
    <t>502215</t>
  </si>
  <si>
    <t>241561</t>
  </si>
  <si>
    <t>498400</t>
  </si>
  <si>
    <t>499904</t>
  </si>
  <si>
    <t>504161</t>
  </si>
  <si>
    <t>498024</t>
  </si>
  <si>
    <t>504163</t>
  </si>
  <si>
    <t>104623</t>
  </si>
  <si>
    <t>500285</t>
  </si>
  <si>
    <t>499534</t>
  </si>
  <si>
    <t>498402</t>
  </si>
  <si>
    <t>497653</t>
  </si>
  <si>
    <t>502220</t>
  </si>
  <si>
    <t>300072</t>
  </si>
  <si>
    <t>497654</t>
  </si>
  <si>
    <t>500290</t>
  </si>
  <si>
    <t>504168</t>
  </si>
  <si>
    <t>502222</t>
  </si>
  <si>
    <t>504169</t>
  </si>
  <si>
    <t>830038</t>
  </si>
  <si>
    <t>498028</t>
  </si>
  <si>
    <t>502223</t>
  </si>
  <si>
    <t>498407</t>
  </si>
  <si>
    <t>500292</t>
  </si>
  <si>
    <t>501842</t>
  </si>
  <si>
    <t>497657</t>
  </si>
  <si>
    <t>108009</t>
  </si>
  <si>
    <t>504173</t>
  </si>
  <si>
    <t>501843</t>
  </si>
  <si>
    <t>504174</t>
  </si>
  <si>
    <t>498409</t>
  </si>
  <si>
    <t>500295</t>
  </si>
  <si>
    <t>499540</t>
  </si>
  <si>
    <t>502228</t>
  </si>
  <si>
    <t>498032</t>
  </si>
  <si>
    <t>501846</t>
  </si>
  <si>
    <t>500297</t>
  </si>
  <si>
    <t>502229</t>
  </si>
  <si>
    <t>498413</t>
  </si>
  <si>
    <t>502505</t>
  </si>
  <si>
    <t>402319</t>
  </si>
  <si>
    <t>502506</t>
  </si>
  <si>
    <t>502510</t>
  </si>
  <si>
    <t>502512</t>
  </si>
  <si>
    <t>505018</t>
  </si>
  <si>
    <t>502516</t>
  </si>
  <si>
    <t>502517</t>
  </si>
  <si>
    <t>506013</t>
  </si>
  <si>
    <t>502520</t>
  </si>
  <si>
    <t>502524</t>
  </si>
  <si>
    <t>502525</t>
  </si>
  <si>
    <t>502528</t>
  </si>
  <si>
    <t>502529</t>
  </si>
  <si>
    <t>502532</t>
  </si>
  <si>
    <t>502533</t>
  </si>
  <si>
    <t>502536</t>
  </si>
  <si>
    <t>502537</t>
  </si>
  <si>
    <t>502540</t>
  </si>
  <si>
    <t>502541</t>
  </si>
  <si>
    <t>502544</t>
  </si>
  <si>
    <t>502545</t>
  </si>
  <si>
    <t>502571</t>
  </si>
  <si>
    <t>504009</t>
  </si>
  <si>
    <t>502575</t>
  </si>
  <si>
    <t>502576</t>
  </si>
  <si>
    <t>502584</t>
  </si>
  <si>
    <t>502585</t>
  </si>
  <si>
    <t>502589</t>
  </si>
  <si>
    <t>502593</t>
  </si>
  <si>
    <t>502597</t>
  </si>
  <si>
    <t>505006</t>
  </si>
  <si>
    <t>502598</t>
  </si>
  <si>
    <t>502601</t>
  </si>
  <si>
    <t>502602</t>
  </si>
  <si>
    <t>502606</t>
  </si>
  <si>
    <t>502610</t>
  </si>
  <si>
    <t>330062</t>
  </si>
  <si>
    <t>502614</t>
  </si>
  <si>
    <t>310011</t>
  </si>
  <si>
    <t>502619</t>
  </si>
  <si>
    <t>502622</t>
  </si>
  <si>
    <t>502623</t>
  </si>
  <si>
    <t>502626</t>
  </si>
  <si>
    <t>502627</t>
  </si>
  <si>
    <t>502630</t>
  </si>
  <si>
    <t>502634</t>
  </si>
  <si>
    <t>502635</t>
  </si>
  <si>
    <t>502639</t>
  </si>
  <si>
    <t>502642</t>
  </si>
  <si>
    <t>502643</t>
  </si>
  <si>
    <t>502650</t>
  </si>
  <si>
    <t>502658</t>
  </si>
  <si>
    <t>502659</t>
  </si>
  <si>
    <t>500005</t>
  </si>
  <si>
    <t>503207</t>
  </si>
  <si>
    <t>503211</t>
  </si>
  <si>
    <t>503213</t>
  </si>
  <si>
    <t>503215</t>
  </si>
  <si>
    <t>623</t>
  </si>
  <si>
    <t>503217</t>
  </si>
  <si>
    <t>503219</t>
  </si>
  <si>
    <t>606010</t>
  </si>
  <si>
    <t>503221</t>
  </si>
  <si>
    <t>503227</t>
  </si>
  <si>
    <t>503229</t>
  </si>
  <si>
    <t>503240</t>
  </si>
  <si>
    <t>503247</t>
  </si>
  <si>
    <t>503248</t>
  </si>
  <si>
    <t>499782</t>
  </si>
  <si>
    <t>502470</t>
  </si>
  <si>
    <t>112044</t>
  </si>
  <si>
    <t>502847</t>
  </si>
  <si>
    <t>501729</t>
  </si>
  <si>
    <t>497911</t>
  </si>
  <si>
    <t>499996</t>
  </si>
  <si>
    <t>248002</t>
  </si>
  <si>
    <t>502309</t>
  </si>
  <si>
    <t>499625</t>
  </si>
  <si>
    <t>503068</t>
  </si>
  <si>
    <t>503069</t>
  </si>
  <si>
    <t>498495</t>
  </si>
  <si>
    <t>402273</t>
  </si>
  <si>
    <t>950023</t>
  </si>
  <si>
    <t>499629</t>
  </si>
  <si>
    <t>500782</t>
  </si>
  <si>
    <t>505008</t>
  </si>
  <si>
    <t>499630</t>
  </si>
  <si>
    <t>806030</t>
  </si>
  <si>
    <t>498498</t>
  </si>
  <si>
    <t>502313</t>
  </si>
  <si>
    <t>498499</t>
  </si>
  <si>
    <t>237015</t>
  </si>
  <si>
    <t>503073</t>
  </si>
  <si>
    <t>505011</t>
  </si>
  <si>
    <t>498501</t>
  </si>
  <si>
    <t>502316</t>
  </si>
  <si>
    <t>503076</t>
  </si>
  <si>
    <t>632007</t>
  </si>
  <si>
    <t>498503</t>
  </si>
  <si>
    <t>499634</t>
  </si>
  <si>
    <t>231007</t>
  </si>
  <si>
    <t>500786</t>
  </si>
  <si>
    <t>334021</t>
  </si>
  <si>
    <t>502317</t>
  </si>
  <si>
    <t>503077</t>
  </si>
  <si>
    <t>106248</t>
  </si>
  <si>
    <t>500009</t>
  </si>
  <si>
    <t>241001</t>
  </si>
  <si>
    <t>504273</t>
  </si>
  <si>
    <t>497756</t>
  </si>
  <si>
    <t>498505</t>
  </si>
  <si>
    <t>502320</t>
  </si>
  <si>
    <t>499637</t>
  </si>
  <si>
    <t>950026</t>
  </si>
  <si>
    <t>503080</t>
  </si>
  <si>
    <t>634103</t>
  </si>
  <si>
    <t>505016</t>
  </si>
  <si>
    <t>500792</t>
  </si>
  <si>
    <t>500793</t>
  </si>
  <si>
    <t>307003</t>
  </si>
  <si>
    <t>499638</t>
  </si>
  <si>
    <t>237620</t>
  </si>
  <si>
    <t>503444</t>
  </si>
  <si>
    <t>504612</t>
  </si>
  <si>
    <t>427008</t>
  </si>
  <si>
    <t>504613</t>
  </si>
  <si>
    <t>235039</t>
  </si>
  <si>
    <t>503449</t>
  </si>
  <si>
    <t>600001</t>
  </si>
  <si>
    <t>504617</t>
  </si>
  <si>
    <t>503454</t>
  </si>
  <si>
    <t>503455</t>
  </si>
  <si>
    <t>504620</t>
  </si>
  <si>
    <t>940009</t>
  </si>
  <si>
    <t>504621</t>
  </si>
  <si>
    <t>320062</t>
  </si>
  <si>
    <t>503458</t>
  </si>
  <si>
    <t>608005</t>
  </si>
  <si>
    <t>504624</t>
  </si>
  <si>
    <t>806041</t>
  </si>
  <si>
    <t>504632</t>
  </si>
  <si>
    <t>504633</t>
  </si>
  <si>
    <t>504636</t>
  </si>
  <si>
    <t>912007</t>
  </si>
  <si>
    <t>504637</t>
  </si>
  <si>
    <t>813017</t>
  </si>
  <si>
    <t>504639</t>
  </si>
  <si>
    <t>503473</t>
  </si>
  <si>
    <t>503474</t>
  </si>
  <si>
    <t>504641</t>
  </si>
  <si>
    <t>704002</t>
  </si>
  <si>
    <t>504643</t>
  </si>
  <si>
    <t>504645</t>
  </si>
  <si>
    <t>504647</t>
  </si>
  <si>
    <t>504649</t>
  </si>
  <si>
    <t>504653</t>
  </si>
  <si>
    <t>504655</t>
  </si>
  <si>
    <t>900023</t>
  </si>
  <si>
    <t>504657</t>
  </si>
  <si>
    <t>504661</t>
  </si>
  <si>
    <t>504663</t>
  </si>
  <si>
    <t>358007</t>
  </si>
  <si>
    <t>504666</t>
  </si>
  <si>
    <t>503500</t>
  </si>
  <si>
    <t>503501</t>
  </si>
  <si>
    <t>504669</t>
  </si>
  <si>
    <t>504670</t>
  </si>
  <si>
    <t>504673</t>
  </si>
  <si>
    <t>334011</t>
  </si>
  <si>
    <t>503504</t>
  </si>
  <si>
    <t>612010</t>
  </si>
  <si>
    <t>503505</t>
  </si>
  <si>
    <t>504677</t>
  </si>
  <si>
    <t>503509</t>
  </si>
  <si>
    <t>503512</t>
  </si>
  <si>
    <t>503513</t>
  </si>
  <si>
    <t>408241</t>
  </si>
  <si>
    <t>504686</t>
  </si>
  <si>
    <t>503516</t>
  </si>
  <si>
    <t>621021</t>
  </si>
  <si>
    <t>503517</t>
  </si>
  <si>
    <t>813669</t>
  </si>
  <si>
    <t>503523</t>
  </si>
  <si>
    <t>718007</t>
  </si>
  <si>
    <t>504689</t>
  </si>
  <si>
    <t>235</t>
  </si>
  <si>
    <t>504983</t>
  </si>
  <si>
    <t>504984</t>
  </si>
  <si>
    <t>961005</t>
  </si>
  <si>
    <t>504985</t>
  </si>
  <si>
    <t>950001</t>
  </si>
  <si>
    <t>504988</t>
  </si>
  <si>
    <t>504990</t>
  </si>
  <si>
    <t>504991</t>
  </si>
  <si>
    <t>504993</t>
  </si>
  <si>
    <t>504994</t>
  </si>
  <si>
    <t>504995</t>
  </si>
  <si>
    <t>504996</t>
  </si>
  <si>
    <t>504997</t>
  </si>
  <si>
    <t>504998</t>
  </si>
  <si>
    <t>505000</t>
  </si>
  <si>
    <t>505004</t>
  </si>
  <si>
    <t>505009</t>
  </si>
  <si>
    <t>891001</t>
  </si>
  <si>
    <t>505027</t>
  </si>
  <si>
    <t>505032</t>
  </si>
  <si>
    <t>505042</t>
  </si>
  <si>
    <t>505043</t>
  </si>
  <si>
    <t>505046</t>
  </si>
  <si>
    <t>820004</t>
  </si>
  <si>
    <t>505050</t>
  </si>
  <si>
    <t>505051</t>
  </si>
  <si>
    <t>811709</t>
  </si>
  <si>
    <t>505054</t>
  </si>
  <si>
    <t>505055</t>
  </si>
  <si>
    <t>505058</t>
  </si>
  <si>
    <t>800001</t>
  </si>
  <si>
    <t>505062</t>
  </si>
  <si>
    <t>807554</t>
  </si>
  <si>
    <t>505066</t>
  </si>
  <si>
    <t>505067</t>
  </si>
  <si>
    <t>505070</t>
  </si>
  <si>
    <t>813688</t>
  </si>
  <si>
    <t>505071</t>
  </si>
  <si>
    <t>231606</t>
  </si>
  <si>
    <t>505074</t>
  </si>
  <si>
    <t>505075</t>
  </si>
  <si>
    <t>880007</t>
  </si>
  <si>
    <t>505079</t>
  </si>
  <si>
    <t>505083</t>
  </si>
  <si>
    <t>807716</t>
  </si>
  <si>
    <t>505084</t>
  </si>
  <si>
    <t>505087</t>
  </si>
  <si>
    <t>505092</t>
  </si>
  <si>
    <t>111042</t>
  </si>
  <si>
    <t>505093</t>
  </si>
  <si>
    <t>505096</t>
  </si>
  <si>
    <t>505097</t>
  </si>
  <si>
    <t>505101</t>
  </si>
  <si>
    <t>111094</t>
  </si>
  <si>
    <t>505104</t>
  </si>
  <si>
    <t>505108</t>
  </si>
  <si>
    <t>505117</t>
  </si>
  <si>
    <t>505121</t>
  </si>
  <si>
    <t>105065</t>
  </si>
  <si>
    <t>505122</t>
  </si>
  <si>
    <t>111011</t>
  </si>
  <si>
    <t>505127</t>
  </si>
  <si>
    <t>505129</t>
  </si>
  <si>
    <t>505131</t>
  </si>
  <si>
    <t>206011</t>
  </si>
  <si>
    <t>504820</t>
  </si>
  <si>
    <t>974006</t>
  </si>
  <si>
    <t>504821</t>
  </si>
  <si>
    <t>504824</t>
  </si>
  <si>
    <t>497942</t>
  </si>
  <si>
    <t>497943</t>
  </si>
  <si>
    <t>497945</t>
  </si>
  <si>
    <t>497947</t>
  </si>
  <si>
    <t>497949</t>
  </si>
  <si>
    <t>504853</t>
  </si>
  <si>
    <t>504854</t>
  </si>
  <si>
    <t>981006</t>
  </si>
  <si>
    <t>504857</t>
  </si>
  <si>
    <t>504858</t>
  </si>
  <si>
    <t>973056</t>
  </si>
  <si>
    <t>504861</t>
  </si>
  <si>
    <t>504862</t>
  </si>
  <si>
    <t>504120</t>
  </si>
  <si>
    <t>502167</t>
  </si>
  <si>
    <t>497981</t>
  </si>
  <si>
    <t>497982</t>
  </si>
  <si>
    <t>974010</t>
  </si>
  <si>
    <t>502168</t>
  </si>
  <si>
    <t>500242</t>
  </si>
  <si>
    <t>269025</t>
  </si>
  <si>
    <t>504124</t>
  </si>
  <si>
    <t>499864</t>
  </si>
  <si>
    <t>497986</t>
  </si>
  <si>
    <t>114037</t>
  </si>
  <si>
    <t>504125</t>
  </si>
  <si>
    <t>497987</t>
  </si>
  <si>
    <t>499865</t>
  </si>
  <si>
    <t>502172</t>
  </si>
  <si>
    <t>502173</t>
  </si>
  <si>
    <t>504870</t>
  </si>
  <si>
    <t>324036</t>
  </si>
  <si>
    <t>497991</t>
  </si>
  <si>
    <t>116075</t>
  </si>
  <si>
    <t>502176</t>
  </si>
  <si>
    <t>499869</t>
  </si>
  <si>
    <t>235044</t>
  </si>
  <si>
    <t>502177</t>
  </si>
  <si>
    <t>500252</t>
  </si>
  <si>
    <t>238001</t>
  </si>
  <si>
    <t>504874</t>
  </si>
  <si>
    <t>500254</t>
  </si>
  <si>
    <t>497996</t>
  </si>
  <si>
    <t>499873</t>
  </si>
  <si>
    <t>243093</t>
  </si>
  <si>
    <t>502180</t>
  </si>
  <si>
    <t>502181</t>
  </si>
  <si>
    <t>504132</t>
  </si>
  <si>
    <t>500982</t>
  </si>
  <si>
    <t>320022</t>
  </si>
  <si>
    <t>500983</t>
  </si>
  <si>
    <t>220571</t>
  </si>
  <si>
    <t>500986</t>
  </si>
  <si>
    <t>500987</t>
  </si>
  <si>
    <t>500991</t>
  </si>
  <si>
    <t>500992</t>
  </si>
  <si>
    <t>360005</t>
  </si>
  <si>
    <t>501021</t>
  </si>
  <si>
    <t>501028</t>
  </si>
  <si>
    <t>501029</t>
  </si>
  <si>
    <t>501032</t>
  </si>
  <si>
    <t>351008</t>
  </si>
  <si>
    <t>501033</t>
  </si>
  <si>
    <t>408012</t>
  </si>
  <si>
    <t>501039</t>
  </si>
  <si>
    <t>501041</t>
  </si>
  <si>
    <t>104005</t>
  </si>
  <si>
    <t>501046</t>
  </si>
  <si>
    <t>360</t>
  </si>
  <si>
    <t>501050</t>
  </si>
  <si>
    <t>501051</t>
  </si>
  <si>
    <t>501055</t>
  </si>
  <si>
    <t>366004</t>
  </si>
  <si>
    <t>501058</t>
  </si>
  <si>
    <t>501059</t>
  </si>
  <si>
    <t>501067</t>
  </si>
  <si>
    <t>501068</t>
  </si>
  <si>
    <t>501074</t>
  </si>
  <si>
    <t>501077</t>
  </si>
  <si>
    <t>351023</t>
  </si>
  <si>
    <t>501081</t>
  </si>
  <si>
    <t>241061</t>
  </si>
  <si>
    <t>501087</t>
  </si>
  <si>
    <t>501091</t>
  </si>
  <si>
    <t>501092</t>
  </si>
  <si>
    <t>501096</t>
  </si>
  <si>
    <t>501097</t>
  </si>
  <si>
    <t>501101</t>
  </si>
  <si>
    <t>501102</t>
  </si>
  <si>
    <t>501105</t>
  </si>
  <si>
    <t>501106</t>
  </si>
  <si>
    <t>356007</t>
  </si>
  <si>
    <t>501113</t>
  </si>
  <si>
    <t>501117</t>
  </si>
  <si>
    <t>110055</t>
  </si>
  <si>
    <t>501122</t>
  </si>
  <si>
    <t>501123</t>
  </si>
  <si>
    <t>501127</t>
  </si>
  <si>
    <t>501130</t>
  </si>
  <si>
    <t>501133</t>
  </si>
  <si>
    <t>501135</t>
  </si>
  <si>
    <t>501140</t>
  </si>
  <si>
    <t>501144</t>
  </si>
  <si>
    <t>351027</t>
  </si>
  <si>
    <t>503525</t>
  </si>
  <si>
    <t>504690</t>
  </si>
  <si>
    <t>802711</t>
  </si>
  <si>
    <t>503529</t>
  </si>
  <si>
    <t>503532</t>
  </si>
  <si>
    <t>504693</t>
  </si>
  <si>
    <t>504694</t>
  </si>
  <si>
    <t>923015</t>
  </si>
  <si>
    <t>503535</t>
  </si>
  <si>
    <t>732001</t>
  </si>
  <si>
    <t>503537</t>
  </si>
  <si>
    <t>504697</t>
  </si>
  <si>
    <t>900043</t>
  </si>
  <si>
    <t>503542</t>
  </si>
  <si>
    <t>504701</t>
  </si>
  <si>
    <t>503543</t>
  </si>
  <si>
    <t>504702</t>
  </si>
  <si>
    <t>503546</t>
  </si>
  <si>
    <t>638</t>
  </si>
  <si>
    <t>503547</t>
  </si>
  <si>
    <t>504709</t>
  </si>
  <si>
    <t>814036</t>
  </si>
  <si>
    <t>503550</t>
  </si>
  <si>
    <t>503553</t>
  </si>
  <si>
    <t>503565</t>
  </si>
  <si>
    <t>504714</t>
  </si>
  <si>
    <t>503566</t>
  </si>
  <si>
    <t>504718</t>
  </si>
  <si>
    <t>114031</t>
  </si>
  <si>
    <t>503574</t>
  </si>
  <si>
    <t>504722</t>
  </si>
  <si>
    <t>900066</t>
  </si>
  <si>
    <t>503577</t>
  </si>
  <si>
    <t>503578</t>
  </si>
  <si>
    <t>744005</t>
  </si>
  <si>
    <t>504725</t>
  </si>
  <si>
    <t>710035</t>
  </si>
  <si>
    <t>503581</t>
  </si>
  <si>
    <t>504728</t>
  </si>
  <si>
    <t>503583</t>
  </si>
  <si>
    <t>503586</t>
  </si>
  <si>
    <t>503587</t>
  </si>
  <si>
    <t>498744</t>
  </si>
  <si>
    <t>501421</t>
  </si>
  <si>
    <t>503739</t>
  </si>
  <si>
    <t>501423</t>
  </si>
  <si>
    <t>503743</t>
  </si>
  <si>
    <t>100006</t>
  </si>
  <si>
    <t>498747</t>
  </si>
  <si>
    <t>503744</t>
  </si>
  <si>
    <t>501425</t>
  </si>
  <si>
    <t>437103</t>
  </si>
  <si>
    <t>498751</t>
  </si>
  <si>
    <t>503747</t>
  </si>
  <si>
    <t>710002</t>
  </si>
  <si>
    <t>498752</t>
  </si>
  <si>
    <t>704001</t>
  </si>
  <si>
    <t>503748</t>
  </si>
  <si>
    <t>722007</t>
  </si>
  <si>
    <t>501429</t>
  </si>
  <si>
    <t>501430</t>
  </si>
  <si>
    <t>498755</t>
  </si>
  <si>
    <t>503752</t>
  </si>
  <si>
    <t>320073</t>
  </si>
  <si>
    <t>501433</t>
  </si>
  <si>
    <t>503757</t>
  </si>
  <si>
    <t>498759</t>
  </si>
  <si>
    <t>503758</t>
  </si>
  <si>
    <t>503762</t>
  </si>
  <si>
    <t>110010</t>
  </si>
  <si>
    <t>503763</t>
  </si>
  <si>
    <t>501445</t>
  </si>
  <si>
    <t>498767</t>
  </si>
  <si>
    <t>708006</t>
  </si>
  <si>
    <t>501446</t>
  </si>
  <si>
    <t>498768</t>
  </si>
  <si>
    <t>306008</t>
  </si>
  <si>
    <t>503767</t>
  </si>
  <si>
    <t>498771</t>
  </si>
  <si>
    <t>501191</t>
  </si>
  <si>
    <t>505035</t>
  </si>
  <si>
    <t>501192</t>
  </si>
  <si>
    <t>500025</t>
  </si>
  <si>
    <t>502333</t>
  </si>
  <si>
    <t>500805</t>
  </si>
  <si>
    <t>501957</t>
  </si>
  <si>
    <t>104083</t>
  </si>
  <si>
    <t>501197</t>
  </si>
  <si>
    <t>500806</t>
  </si>
  <si>
    <t>302003</t>
  </si>
  <si>
    <t>502337</t>
  </si>
  <si>
    <t>501198</t>
  </si>
  <si>
    <t>498150</t>
  </si>
  <si>
    <t>114047</t>
  </si>
  <si>
    <t>235016</t>
  </si>
  <si>
    <t>504293</t>
  </si>
  <si>
    <t>503096</t>
  </si>
  <si>
    <t>500411</t>
  </si>
  <si>
    <t>499655</t>
  </si>
  <si>
    <t>505040</t>
  </si>
  <si>
    <t>891016</t>
  </si>
  <si>
    <t>500412</t>
  </si>
  <si>
    <t>504296</t>
  </si>
  <si>
    <t>633102</t>
  </si>
  <si>
    <t>503097</t>
  </si>
  <si>
    <t>498522</t>
  </si>
  <si>
    <t>502340</t>
  </si>
  <si>
    <t>499658</t>
  </si>
  <si>
    <t>498154</t>
  </si>
  <si>
    <t>498523</t>
  </si>
  <si>
    <t>400002</t>
  </si>
  <si>
    <t>499659</t>
  </si>
  <si>
    <t>502341</t>
  </si>
  <si>
    <t>504298</t>
  </si>
  <si>
    <t>830016</t>
  </si>
  <si>
    <t>500814</t>
  </si>
  <si>
    <t>306</t>
  </si>
  <si>
    <t>501203</t>
  </si>
  <si>
    <t>500415</t>
  </si>
  <si>
    <t>320066</t>
  </si>
  <si>
    <t>498155</t>
  </si>
  <si>
    <t>500416</t>
  </si>
  <si>
    <t>503100</t>
  </si>
  <si>
    <t>640109</t>
  </si>
  <si>
    <t>501204</t>
  </si>
  <si>
    <t>500818</t>
  </si>
  <si>
    <t>302008</t>
  </si>
  <si>
    <t>504365</t>
  </si>
  <si>
    <t>500099</t>
  </si>
  <si>
    <t>248001</t>
  </si>
  <si>
    <t>497845</t>
  </si>
  <si>
    <t>221038</t>
  </si>
  <si>
    <t>499729</t>
  </si>
  <si>
    <t>500492</t>
  </si>
  <si>
    <t>504750</t>
  </si>
  <si>
    <t>237622</t>
  </si>
  <si>
    <t>503606</t>
  </si>
  <si>
    <t>505123</t>
  </si>
  <si>
    <t>503607</t>
  </si>
  <si>
    <t>730605</t>
  </si>
  <si>
    <t>500101</t>
  </si>
  <si>
    <t>239005</t>
  </si>
  <si>
    <t>498989</t>
  </si>
  <si>
    <t>504005</t>
  </si>
  <si>
    <t>501281</t>
  </si>
  <si>
    <t>504754</t>
  </si>
  <si>
    <t>502042</t>
  </si>
  <si>
    <t>110037</t>
  </si>
  <si>
    <t>503592</t>
  </si>
  <si>
    <t>504738</t>
  </si>
  <si>
    <t>504740</t>
  </si>
  <si>
    <t>900005</t>
  </si>
  <si>
    <t>503595</t>
  </si>
  <si>
    <t>716004</t>
  </si>
  <si>
    <t>503596</t>
  </si>
  <si>
    <t>504744</t>
  </si>
  <si>
    <t>503601</t>
  </si>
  <si>
    <t>711012</t>
  </si>
  <si>
    <t>504746</t>
  </si>
  <si>
    <t>927003</t>
  </si>
  <si>
    <t>500891</t>
  </si>
  <si>
    <t>498986</t>
  </si>
  <si>
    <t>804002</t>
  </si>
  <si>
    <t>502785</t>
  </si>
  <si>
    <t>505140</t>
  </si>
  <si>
    <t>111079</t>
  </si>
  <si>
    <t>505141</t>
  </si>
  <si>
    <t>231724</t>
  </si>
  <si>
    <t>505143</t>
  </si>
  <si>
    <t>108022</t>
  </si>
  <si>
    <t>505144</t>
  </si>
  <si>
    <t>106079</t>
  </si>
  <si>
    <t>505145</t>
  </si>
  <si>
    <t>222002</t>
  </si>
  <si>
    <t>505146</t>
  </si>
  <si>
    <t>505147</t>
  </si>
  <si>
    <t>505148</t>
  </si>
  <si>
    <t>505149</t>
  </si>
  <si>
    <t>330053</t>
  </si>
  <si>
    <t>505150</t>
  </si>
  <si>
    <t>505151</t>
  </si>
  <si>
    <t>505152</t>
  </si>
  <si>
    <t>505153</t>
  </si>
  <si>
    <t>505154</t>
  </si>
  <si>
    <t>505155</t>
  </si>
  <si>
    <t>505156</t>
  </si>
  <si>
    <t>505157</t>
  </si>
  <si>
    <t>505158</t>
  </si>
  <si>
    <t>241504</t>
  </si>
  <si>
    <t>505159</t>
  </si>
  <si>
    <t>241</t>
  </si>
  <si>
    <t>505160</t>
  </si>
  <si>
    <t>234014</t>
  </si>
  <si>
    <t>505161</t>
  </si>
  <si>
    <t>505162</t>
  </si>
  <si>
    <t>505163</t>
  </si>
  <si>
    <t>505166</t>
  </si>
  <si>
    <t>505168</t>
  </si>
  <si>
    <t>505170</t>
  </si>
  <si>
    <t>503685</t>
  </si>
  <si>
    <t>503686</t>
  </si>
  <si>
    <t>498696</t>
  </si>
  <si>
    <t>231653</t>
  </si>
  <si>
    <t>498697</t>
  </si>
  <si>
    <t>503689</t>
  </si>
  <si>
    <t>503690</t>
  </si>
  <si>
    <t>498700</t>
  </si>
  <si>
    <t>498701</t>
  </si>
  <si>
    <t>498704</t>
  </si>
  <si>
    <t>202005</t>
  </si>
  <si>
    <t>503694</t>
  </si>
  <si>
    <t>498705</t>
  </si>
  <si>
    <t>501384</t>
  </si>
  <si>
    <t>503697</t>
  </si>
  <si>
    <t>735</t>
  </si>
  <si>
    <t>503698</t>
  </si>
  <si>
    <t>737</t>
  </si>
  <si>
    <t>498709</t>
  </si>
  <si>
    <t>501388</t>
  </si>
  <si>
    <t>501389</t>
  </si>
  <si>
    <t>503705</t>
  </si>
  <si>
    <t>710045</t>
  </si>
  <si>
    <t>503706</t>
  </si>
  <si>
    <t>498713</t>
  </si>
  <si>
    <t>201007</t>
  </si>
  <si>
    <t>501393</t>
  </si>
  <si>
    <t>498716</t>
  </si>
  <si>
    <t>501395</t>
  </si>
  <si>
    <t>501397</t>
  </si>
  <si>
    <t>498718</t>
  </si>
  <si>
    <t>701021</t>
  </si>
  <si>
    <t>503709</t>
  </si>
  <si>
    <t>503710</t>
  </si>
  <si>
    <t>498721</t>
  </si>
  <si>
    <t>501403</t>
  </si>
  <si>
    <t>498722</t>
  </si>
  <si>
    <t>702031</t>
  </si>
  <si>
    <t>503713</t>
  </si>
  <si>
    <t>501405</t>
  </si>
  <si>
    <t>413604</t>
  </si>
  <si>
    <t>503714</t>
  </si>
  <si>
    <t>501148</t>
  </si>
  <si>
    <t>501150</t>
  </si>
  <si>
    <t>368</t>
  </si>
  <si>
    <t>504278</t>
  </si>
  <si>
    <t>505019</t>
  </si>
  <si>
    <t>807701</t>
  </si>
  <si>
    <t>501176</t>
  </si>
  <si>
    <t>498507</t>
  </si>
  <si>
    <t>500399</t>
  </si>
  <si>
    <t>501177</t>
  </si>
  <si>
    <t>499642</t>
  </si>
  <si>
    <t>500400</t>
  </si>
  <si>
    <t>704028</t>
  </si>
  <si>
    <t>499643</t>
  </si>
  <si>
    <t>244011</t>
  </si>
  <si>
    <t>498509</t>
  </si>
  <si>
    <t>503084</t>
  </si>
  <si>
    <t>505024</t>
  </si>
  <si>
    <t>890006</t>
  </si>
  <si>
    <t>500796</t>
  </si>
  <si>
    <t>501180</t>
  </si>
  <si>
    <t>504282</t>
  </si>
  <si>
    <t>505025</t>
  </si>
  <si>
    <t>721002</t>
  </si>
  <si>
    <t>500403</t>
  </si>
  <si>
    <t>501181</t>
  </si>
  <si>
    <t>499646</t>
  </si>
  <si>
    <t>220067</t>
  </si>
  <si>
    <t>503088</t>
  </si>
  <si>
    <t>221002</t>
  </si>
  <si>
    <t>502328</t>
  </si>
  <si>
    <t>500058</t>
  </si>
  <si>
    <t>498511</t>
  </si>
  <si>
    <t>499647</t>
  </si>
  <si>
    <t>241077</t>
  </si>
  <si>
    <t>502329</t>
  </si>
  <si>
    <t>498142</t>
  </si>
  <si>
    <t>894020</t>
  </si>
  <si>
    <t>504285</t>
  </si>
  <si>
    <t>498513</t>
  </si>
  <si>
    <t>501953</t>
  </si>
  <si>
    <t>551008</t>
  </si>
  <si>
    <t>501185</t>
  </si>
  <si>
    <t>420088</t>
  </si>
  <si>
    <t>500801</t>
  </si>
  <si>
    <t>498515</t>
  </si>
  <si>
    <t>501186</t>
  </si>
  <si>
    <t>220336</t>
  </si>
  <si>
    <t>500407</t>
  </si>
  <si>
    <t>406634</t>
  </si>
  <si>
    <t>504289</t>
  </si>
  <si>
    <t>503092</t>
  </si>
  <si>
    <t>499650</t>
  </si>
  <si>
    <t>499651</t>
  </si>
  <si>
    <t>231038</t>
  </si>
  <si>
    <t>498725</t>
  </si>
  <si>
    <t>498726</t>
  </si>
  <si>
    <t>503720</t>
  </si>
  <si>
    <t>730007</t>
  </si>
  <si>
    <t>503721</t>
  </si>
  <si>
    <t>720003</t>
  </si>
  <si>
    <t>501411</t>
  </si>
  <si>
    <t>414041</t>
  </si>
  <si>
    <t>498730</t>
  </si>
  <si>
    <t>700024</t>
  </si>
  <si>
    <t>503727</t>
  </si>
  <si>
    <t>503728</t>
  </si>
  <si>
    <t>498735</t>
  </si>
  <si>
    <t>111009</t>
  </si>
  <si>
    <t>503732</t>
  </si>
  <si>
    <t>600010</t>
  </si>
  <si>
    <t>503734</t>
  </si>
  <si>
    <t>498740</t>
  </si>
  <si>
    <t>501419</t>
  </si>
  <si>
    <t>498743</t>
  </si>
  <si>
    <t>503181</t>
  </si>
  <si>
    <t>408021</t>
  </si>
  <si>
    <t>497841</t>
  </si>
  <si>
    <t>501273</t>
  </si>
  <si>
    <t>503997</t>
  </si>
  <si>
    <t>820009</t>
  </si>
  <si>
    <t>502781</t>
  </si>
  <si>
    <t>300103</t>
  </si>
  <si>
    <t>501664</t>
  </si>
  <si>
    <t>497842</t>
  </si>
  <si>
    <t>104093</t>
  </si>
  <si>
    <t>498232</t>
  </si>
  <si>
    <t>501666</t>
  </si>
  <si>
    <t>501276</t>
  </si>
  <si>
    <t>500488</t>
  </si>
  <si>
    <t>242035</t>
  </si>
  <si>
    <t>505119</t>
  </si>
  <si>
    <t>110060</t>
  </si>
  <si>
    <t>501277</t>
  </si>
  <si>
    <t>502405</t>
  </si>
  <si>
    <t>503184</t>
  </si>
  <si>
    <t>235022</t>
  </si>
  <si>
    <t>504012</t>
  </si>
  <si>
    <t>804015</t>
  </si>
  <si>
    <t>500115</t>
  </si>
  <si>
    <t>504766</t>
  </si>
  <si>
    <t>504768</t>
  </si>
  <si>
    <t>900024</t>
  </si>
  <si>
    <t>504770</t>
  </si>
  <si>
    <t>504771</t>
  </si>
  <si>
    <t>970007</t>
  </si>
  <si>
    <t>500119</t>
  </si>
  <si>
    <t>504774</t>
  </si>
  <si>
    <t>500123</t>
  </si>
  <si>
    <t>100003</t>
  </si>
  <si>
    <t>500125</t>
  </si>
  <si>
    <t>231620</t>
  </si>
  <si>
    <t>500127</t>
  </si>
  <si>
    <t>263015</t>
  </si>
  <si>
    <t>504778</t>
  </si>
  <si>
    <t>504779</t>
  </si>
  <si>
    <t>973043</t>
  </si>
  <si>
    <t>504782</t>
  </si>
  <si>
    <t>500131</t>
  </si>
  <si>
    <t>500135</t>
  </si>
  <si>
    <t>221019</t>
  </si>
  <si>
    <t>504786</t>
  </si>
  <si>
    <t>500137</t>
  </si>
  <si>
    <t>222001</t>
  </si>
  <si>
    <t>504787</t>
  </si>
  <si>
    <t>112055</t>
  </si>
  <si>
    <t>505164</t>
  </si>
  <si>
    <t>500139</t>
  </si>
  <si>
    <t>505165</t>
  </si>
  <si>
    <t>504790</t>
  </si>
  <si>
    <t>505167</t>
  </si>
  <si>
    <t>504791</t>
  </si>
  <si>
    <t>505169</t>
  </si>
  <si>
    <t>500146</t>
  </si>
  <si>
    <t>504794</t>
  </si>
  <si>
    <t>970025</t>
  </si>
  <si>
    <t>500149</t>
  </si>
  <si>
    <t>504795</t>
  </si>
  <si>
    <t>499775</t>
  </si>
  <si>
    <t>501323</t>
  </si>
  <si>
    <t>500553</t>
  </si>
  <si>
    <t>500555</t>
  </si>
  <si>
    <t>501327</t>
  </si>
  <si>
    <t>501721</t>
  </si>
  <si>
    <t>501328</t>
  </si>
  <si>
    <t>500153</t>
  </si>
  <si>
    <t>251036</t>
  </si>
  <si>
    <t>501725</t>
  </si>
  <si>
    <t>421004</t>
  </si>
  <si>
    <t>499780</t>
  </si>
  <si>
    <t>499419</t>
  </si>
  <si>
    <t>802033</t>
  </si>
  <si>
    <t>504419</t>
  </si>
  <si>
    <t>911164</t>
  </si>
  <si>
    <t>498660</t>
  </si>
  <si>
    <t>500157</t>
  </si>
  <si>
    <t>242067</t>
  </si>
  <si>
    <t>504421</t>
  </si>
  <si>
    <t>501728</t>
  </si>
  <si>
    <t>502846</t>
  </si>
  <si>
    <t>500191</t>
  </si>
  <si>
    <t>404036</t>
  </si>
  <si>
    <t>500195</t>
  </si>
  <si>
    <t>500201</t>
  </si>
  <si>
    <t>499824</t>
  </si>
  <si>
    <t>241017</t>
  </si>
  <si>
    <t>500202</t>
  </si>
  <si>
    <t>265002</t>
  </si>
  <si>
    <t>499825</t>
  </si>
  <si>
    <t>106073</t>
  </si>
  <si>
    <t>500204</t>
  </si>
  <si>
    <t>499829</t>
  </si>
  <si>
    <t>220046</t>
  </si>
  <si>
    <t>500208</t>
  </si>
  <si>
    <t>116064</t>
  </si>
  <si>
    <t>500211</t>
  </si>
  <si>
    <t>499832</t>
  </si>
  <si>
    <t>407054</t>
  </si>
  <si>
    <t>499837</t>
  </si>
  <si>
    <t>499838</t>
  </si>
  <si>
    <t>499841</t>
  </si>
  <si>
    <t>235052</t>
  </si>
  <si>
    <t>499842</t>
  </si>
  <si>
    <t>500586</t>
  </si>
  <si>
    <t>100015</t>
  </si>
  <si>
    <t>500589</t>
  </si>
  <si>
    <t>500593</t>
  </si>
  <si>
    <t>326016</t>
  </si>
  <si>
    <t>500594</t>
  </si>
  <si>
    <t>500597</t>
  </si>
  <si>
    <t>320035</t>
  </si>
  <si>
    <t>500598</t>
  </si>
  <si>
    <t>500601</t>
  </si>
  <si>
    <t>622005</t>
  </si>
  <si>
    <t>500602</t>
  </si>
  <si>
    <t>500610</t>
  </si>
  <si>
    <t>500611</t>
  </si>
  <si>
    <t>500616</t>
  </si>
  <si>
    <t>500621</t>
  </si>
  <si>
    <t>500624</t>
  </si>
  <si>
    <t>327009</t>
  </si>
  <si>
    <t>500625</t>
  </si>
  <si>
    <t>500628</t>
  </si>
  <si>
    <t>500632</t>
  </si>
  <si>
    <t>500636</t>
  </si>
  <si>
    <t>500641</t>
  </si>
  <si>
    <t>500647</t>
  </si>
  <si>
    <t>500656</t>
  </si>
  <si>
    <t>334014</t>
  </si>
  <si>
    <t>500659</t>
  </si>
  <si>
    <t>500660</t>
  </si>
  <si>
    <t>500665</t>
  </si>
  <si>
    <t>334019</t>
  </si>
  <si>
    <t>500668</t>
  </si>
  <si>
    <t>327004</t>
  </si>
  <si>
    <t>500669</t>
  </si>
  <si>
    <t>500672</t>
  </si>
  <si>
    <t>500673</t>
  </si>
  <si>
    <t>500676</t>
  </si>
  <si>
    <t>338001</t>
  </si>
  <si>
    <t>500677</t>
  </si>
  <si>
    <t>500680</t>
  </si>
  <si>
    <t>500681</t>
  </si>
  <si>
    <t>500711</t>
  </si>
  <si>
    <t>402262</t>
  </si>
  <si>
    <t>500714</t>
  </si>
  <si>
    <t>500715</t>
  </si>
  <si>
    <t>500718</t>
  </si>
  <si>
    <t>500719</t>
  </si>
  <si>
    <t>500722</t>
  </si>
  <si>
    <t>500723</t>
  </si>
  <si>
    <t>500733</t>
  </si>
  <si>
    <t>500737</t>
  </si>
  <si>
    <t>300025</t>
  </si>
  <si>
    <t>500738</t>
  </si>
  <si>
    <t>500741</t>
  </si>
  <si>
    <t>503277</t>
  </si>
  <si>
    <t>503281</t>
  </si>
  <si>
    <t>503282</t>
  </si>
  <si>
    <t>503285</t>
  </si>
  <si>
    <t>503286</t>
  </si>
  <si>
    <t>503289</t>
  </si>
  <si>
    <t>503290</t>
  </si>
  <si>
    <t>603002</t>
  </si>
  <si>
    <t>503293</t>
  </si>
  <si>
    <t>503294</t>
  </si>
  <si>
    <t>503297</t>
  </si>
  <si>
    <t>616005</t>
  </si>
  <si>
    <t>503301</t>
  </si>
  <si>
    <t>503302</t>
  </si>
  <si>
    <t>503305</t>
  </si>
  <si>
    <t>503306</t>
  </si>
  <si>
    <t>231036</t>
  </si>
  <si>
    <t>503311</t>
  </si>
  <si>
    <t>503312</t>
  </si>
  <si>
    <t>503315</t>
  </si>
  <si>
    <t>503316</t>
  </si>
  <si>
    <t>503319</t>
  </si>
  <si>
    <t>503352</t>
  </si>
  <si>
    <t>404394</t>
  </si>
  <si>
    <t>503353</t>
  </si>
  <si>
    <t>241040</t>
  </si>
  <si>
    <t>503356</t>
  </si>
  <si>
    <t>806045</t>
  </si>
  <si>
    <t>503357</t>
  </si>
  <si>
    <t>503360</t>
  </si>
  <si>
    <t>830704</t>
  </si>
  <si>
    <t>503364</t>
  </si>
  <si>
    <t>503365</t>
  </si>
  <si>
    <t>622006</t>
  </si>
  <si>
    <t>503370</t>
  </si>
  <si>
    <t>503371</t>
  </si>
  <si>
    <t>503375</t>
  </si>
  <si>
    <t>503378</t>
  </si>
  <si>
    <t>503381</t>
  </si>
  <si>
    <t>236001</t>
  </si>
  <si>
    <t>503382</t>
  </si>
  <si>
    <t>503385</t>
  </si>
  <si>
    <t>807059</t>
  </si>
  <si>
    <t>503386</t>
  </si>
  <si>
    <t>238018</t>
  </si>
  <si>
    <t>503389</t>
  </si>
  <si>
    <t>503390</t>
  </si>
  <si>
    <t>503393</t>
  </si>
  <si>
    <t>437101</t>
  </si>
  <si>
    <t>503394</t>
  </si>
  <si>
    <t>503397</t>
  </si>
  <si>
    <t>503402</t>
  </si>
  <si>
    <t>721011</t>
  </si>
  <si>
    <t>503407</t>
  </si>
  <si>
    <t>334004</t>
  </si>
  <si>
    <t>503412</t>
  </si>
  <si>
    <t>503415</t>
  </si>
  <si>
    <t>503416</t>
  </si>
  <si>
    <t>600008</t>
  </si>
  <si>
    <t>503424</t>
  </si>
  <si>
    <t>621020</t>
  </si>
  <si>
    <t>503434</t>
  </si>
  <si>
    <t>503435</t>
  </si>
  <si>
    <t>622011</t>
  </si>
  <si>
    <t>503439</t>
  </si>
  <si>
    <t>504676</t>
  </si>
  <si>
    <t>504679</t>
  </si>
  <si>
    <t>504680</t>
  </si>
  <si>
    <t>928005</t>
  </si>
  <si>
    <t>504688</t>
  </si>
  <si>
    <t>710612</t>
  </si>
  <si>
    <t>504695</t>
  </si>
  <si>
    <t>504696</t>
  </si>
  <si>
    <t>504699</t>
  </si>
  <si>
    <t>813661</t>
  </si>
  <si>
    <t>504700</t>
  </si>
  <si>
    <t>504703</t>
  </si>
  <si>
    <t>504704</t>
  </si>
  <si>
    <t>504707</t>
  </si>
  <si>
    <t>830713</t>
  </si>
  <si>
    <t>504711</t>
  </si>
  <si>
    <t>504715</t>
  </si>
  <si>
    <t>504719</t>
  </si>
  <si>
    <t>904011</t>
  </si>
  <si>
    <t>504720</t>
  </si>
  <si>
    <t>504724</t>
  </si>
  <si>
    <t>238035</t>
  </si>
  <si>
    <t>504727</t>
  </si>
  <si>
    <t>504729</t>
  </si>
  <si>
    <t>913002</t>
  </si>
  <si>
    <t>504733</t>
  </si>
  <si>
    <t>504737</t>
  </si>
  <si>
    <t>504741</t>
  </si>
  <si>
    <t>504743</t>
  </si>
  <si>
    <t>504757</t>
  </si>
  <si>
    <t>504759</t>
  </si>
  <si>
    <t>504761</t>
  </si>
  <si>
    <t>504763</t>
  </si>
  <si>
    <t>504767</t>
  </si>
  <si>
    <t>504769</t>
  </si>
  <si>
    <t>932018</t>
  </si>
  <si>
    <t>504776</t>
  </si>
  <si>
    <t>504777</t>
  </si>
  <si>
    <t>973037</t>
  </si>
  <si>
    <t>504781</t>
  </si>
  <si>
    <t>504784</t>
  </si>
  <si>
    <t>504788</t>
  </si>
  <si>
    <t>504789</t>
  </si>
  <si>
    <t>504792</t>
  </si>
  <si>
    <t>504793</t>
  </si>
  <si>
    <t>970028</t>
  </si>
  <si>
    <t>504800</t>
  </si>
  <si>
    <t>807032</t>
  </si>
  <si>
    <t>504804</t>
  </si>
  <si>
    <t>504805</t>
  </si>
  <si>
    <t>504806</t>
  </si>
  <si>
    <t>504807</t>
  </si>
  <si>
    <t>220331</t>
  </si>
  <si>
    <t>504808</t>
  </si>
  <si>
    <t>220492</t>
  </si>
  <si>
    <t>504811</t>
  </si>
  <si>
    <t>504816</t>
  </si>
  <si>
    <t>976007</t>
  </si>
  <si>
    <t>504819</t>
  </si>
  <si>
    <t>504822</t>
  </si>
  <si>
    <t>504823</t>
  </si>
  <si>
    <t>970004</t>
  </si>
  <si>
    <t>504827</t>
  </si>
  <si>
    <t>500747</t>
  </si>
  <si>
    <t>500752</t>
  </si>
  <si>
    <t>320003</t>
  </si>
  <si>
    <t>500757</t>
  </si>
  <si>
    <t>500762</t>
  </si>
  <si>
    <t>501916</t>
  </si>
  <si>
    <t>404003</t>
  </si>
  <si>
    <t>500765</t>
  </si>
  <si>
    <t>502296</t>
  </si>
  <si>
    <t>501917</t>
  </si>
  <si>
    <t>500766</t>
  </si>
  <si>
    <t>237007</t>
  </si>
  <si>
    <t>500371</t>
  </si>
  <si>
    <t>503054</t>
  </si>
  <si>
    <t>499991</t>
  </si>
  <si>
    <t>500373</t>
  </si>
  <si>
    <t>501920</t>
  </si>
  <si>
    <t>500770</t>
  </si>
  <si>
    <t>308003</t>
  </si>
  <si>
    <t>502300</t>
  </si>
  <si>
    <t>499617</t>
  </si>
  <si>
    <t>243090</t>
  </si>
  <si>
    <t>502301</t>
  </si>
  <si>
    <t>503060</t>
  </si>
  <si>
    <t>497738</t>
  </si>
  <si>
    <t>115020</t>
  </si>
  <si>
    <t>501925</t>
  </si>
  <si>
    <t>500774</t>
  </si>
  <si>
    <t>502305</t>
  </si>
  <si>
    <t>110025</t>
  </si>
  <si>
    <t>499620</t>
  </si>
  <si>
    <t>242047</t>
  </si>
  <si>
    <t>499997</t>
  </si>
  <si>
    <t>499621</t>
  </si>
  <si>
    <t>268020</t>
  </si>
  <si>
    <t>503064</t>
  </si>
  <si>
    <t>497742</t>
  </si>
  <si>
    <t>497744</t>
  </si>
  <si>
    <t>221024</t>
  </si>
  <si>
    <t>500000</t>
  </si>
  <si>
    <t>220108</t>
  </si>
  <si>
    <t>504457</t>
  </si>
  <si>
    <t>830755</t>
  </si>
  <si>
    <t>504458</t>
  </si>
  <si>
    <t>504461</t>
  </si>
  <si>
    <t>504462</t>
  </si>
  <si>
    <t>420013</t>
  </si>
  <si>
    <t>504469</t>
  </si>
  <si>
    <t>504470</t>
  </si>
  <si>
    <t>900042</t>
  </si>
  <si>
    <t>504474</t>
  </si>
  <si>
    <t>504477</t>
  </si>
  <si>
    <t>504478</t>
  </si>
  <si>
    <t>926003</t>
  </si>
  <si>
    <t>504481</t>
  </si>
  <si>
    <t>807312</t>
  </si>
  <si>
    <t>504482</t>
  </si>
  <si>
    <t>504487</t>
  </si>
  <si>
    <t>504488</t>
  </si>
  <si>
    <t>504491</t>
  </si>
  <si>
    <t>504492</t>
  </si>
  <si>
    <t>811772</t>
  </si>
  <si>
    <t>504495</t>
  </si>
  <si>
    <t>504499</t>
  </si>
  <si>
    <t>504500</t>
  </si>
  <si>
    <t>236024</t>
  </si>
  <si>
    <t>504503</t>
  </si>
  <si>
    <t>504507</t>
  </si>
  <si>
    <t>104482</t>
  </si>
  <si>
    <t>504511</t>
  </si>
  <si>
    <t>909141</t>
  </si>
  <si>
    <t>504542</t>
  </si>
  <si>
    <t>504546</t>
  </si>
  <si>
    <t>830606</t>
  </si>
  <si>
    <t>504549</t>
  </si>
  <si>
    <t>504550</t>
  </si>
  <si>
    <t>504554</t>
  </si>
  <si>
    <t>830839</t>
  </si>
  <si>
    <t>504557</t>
  </si>
  <si>
    <t>504561</t>
  </si>
  <si>
    <t>504562</t>
  </si>
  <si>
    <t>504565</t>
  </si>
  <si>
    <t>927001</t>
  </si>
  <si>
    <t>504566</t>
  </si>
  <si>
    <t>504569</t>
  </si>
  <si>
    <t>504570</t>
  </si>
  <si>
    <t>806022</t>
  </si>
  <si>
    <t>504579</t>
  </si>
  <si>
    <t>504580</t>
  </si>
  <si>
    <t>504588</t>
  </si>
  <si>
    <t>504591</t>
  </si>
  <si>
    <t>504592</t>
  </si>
  <si>
    <t>504595</t>
  </si>
  <si>
    <t>504596</t>
  </si>
  <si>
    <t>504599</t>
  </si>
  <si>
    <t>407205</t>
  </si>
  <si>
    <t>504600</t>
  </si>
  <si>
    <t>504603</t>
  </si>
  <si>
    <t>504604</t>
  </si>
  <si>
    <t>504607</t>
  </si>
  <si>
    <t>504829</t>
  </si>
  <si>
    <t>973014</t>
  </si>
  <si>
    <t>504831</t>
  </si>
  <si>
    <t>504832</t>
  </si>
  <si>
    <t>970014</t>
  </si>
  <si>
    <t>504833</t>
  </si>
  <si>
    <t>504835</t>
  </si>
  <si>
    <t>504837</t>
  </si>
  <si>
    <t>504838</t>
  </si>
  <si>
    <t>971053</t>
  </si>
  <si>
    <t>504839</t>
  </si>
  <si>
    <t>970024</t>
  </si>
  <si>
    <t>504841</t>
  </si>
  <si>
    <t>504842</t>
  </si>
  <si>
    <t>504843</t>
  </si>
  <si>
    <t>504844</t>
  </si>
  <si>
    <t>970</t>
  </si>
  <si>
    <t>504845</t>
  </si>
  <si>
    <t>504846</t>
  </si>
  <si>
    <t>803004</t>
  </si>
  <si>
    <t>504849</t>
  </si>
  <si>
    <t>504850</t>
  </si>
  <si>
    <t>504852</t>
  </si>
  <si>
    <t>504856</t>
  </si>
  <si>
    <t>504859</t>
  </si>
  <si>
    <t>100</t>
  </si>
  <si>
    <t>504860</t>
  </si>
  <si>
    <t>270003</t>
  </si>
  <si>
    <t>504863</t>
  </si>
  <si>
    <t>504864</t>
  </si>
  <si>
    <t>504868</t>
  </si>
  <si>
    <t>504871</t>
  </si>
  <si>
    <t>971001</t>
  </si>
  <si>
    <t>504872</t>
  </si>
  <si>
    <t>981003</t>
  </si>
  <si>
    <t>504877</t>
  </si>
  <si>
    <t>504880</t>
  </si>
  <si>
    <t>504885</t>
  </si>
  <si>
    <t>504886</t>
  </si>
  <si>
    <t>970020</t>
  </si>
  <si>
    <t>504890</t>
  </si>
  <si>
    <t>238026</t>
  </si>
  <si>
    <t>504895</t>
  </si>
  <si>
    <t>504898</t>
  </si>
  <si>
    <t>973034</t>
  </si>
  <si>
    <t>504902</t>
  </si>
  <si>
    <t>970052</t>
  </si>
  <si>
    <t>504906</t>
  </si>
  <si>
    <t>241010</t>
  </si>
  <si>
    <t>504907</t>
  </si>
  <si>
    <t>970016</t>
  </si>
  <si>
    <t>504910</t>
  </si>
  <si>
    <t>504915</t>
  </si>
  <si>
    <t>504918</t>
  </si>
  <si>
    <t>504919</t>
  </si>
  <si>
    <t>504927</t>
  </si>
  <si>
    <t>973</t>
  </si>
  <si>
    <t>504930</t>
  </si>
  <si>
    <t>504931</t>
  </si>
  <si>
    <t>504935</t>
  </si>
  <si>
    <t>249647</t>
  </si>
  <si>
    <t>504937</t>
  </si>
  <si>
    <t>950104</t>
  </si>
  <si>
    <t>504941</t>
  </si>
  <si>
    <t>959002</t>
  </si>
  <si>
    <t>504945</t>
  </si>
  <si>
    <t>504947</t>
  </si>
  <si>
    <t>504949</t>
  </si>
  <si>
    <t>504955</t>
  </si>
  <si>
    <t>950030</t>
  </si>
  <si>
    <t>504963</t>
  </si>
  <si>
    <t>504965</t>
  </si>
  <si>
    <t>963004</t>
  </si>
  <si>
    <t>504969</t>
  </si>
  <si>
    <t>950009</t>
  </si>
  <si>
    <t>504972</t>
  </si>
  <si>
    <t>504974</t>
  </si>
  <si>
    <t>958001</t>
  </si>
  <si>
    <t>504976</t>
  </si>
  <si>
    <t>504978</t>
  </si>
  <si>
    <t>504980</t>
  </si>
  <si>
    <t>231005</t>
  </si>
  <si>
    <t>504982</t>
  </si>
  <si>
    <t>504081</t>
  </si>
  <si>
    <t>821013</t>
  </si>
  <si>
    <t>504082</t>
  </si>
  <si>
    <t>502119</t>
  </si>
  <si>
    <t>502120</t>
  </si>
  <si>
    <t>501758</t>
  </si>
  <si>
    <t>504085</t>
  </si>
  <si>
    <t>504086</t>
  </si>
  <si>
    <t>502123</t>
  </si>
  <si>
    <t>501762</t>
  </si>
  <si>
    <t>502124</t>
  </si>
  <si>
    <t>501763</t>
  </si>
  <si>
    <t>501767</t>
  </si>
  <si>
    <t>502128</t>
  </si>
  <si>
    <t>502130</t>
  </si>
  <si>
    <t>501770</t>
  </si>
  <si>
    <t>502133</t>
  </si>
  <si>
    <t>502134</t>
  </si>
  <si>
    <t>502137</t>
  </si>
  <si>
    <t>502143</t>
  </si>
  <si>
    <t>414102</t>
  </si>
  <si>
    <t>502144</t>
  </si>
  <si>
    <t>502147</t>
  </si>
  <si>
    <t>502156</t>
  </si>
  <si>
    <t>499850</t>
  </si>
  <si>
    <t>499851</t>
  </si>
  <si>
    <t>220050</t>
  </si>
  <si>
    <t>502160</t>
  </si>
  <si>
    <t>499854</t>
  </si>
  <si>
    <t>108012</t>
  </si>
  <si>
    <t>499855</t>
  </si>
  <si>
    <t>220098</t>
  </si>
  <si>
    <t>504116</t>
  </si>
  <si>
    <t>502163</t>
  </si>
  <si>
    <t>502164</t>
  </si>
  <si>
    <t>501795</t>
  </si>
  <si>
    <t>500239</t>
  </si>
  <si>
    <t>269029</t>
  </si>
  <si>
    <t>499859</t>
  </si>
  <si>
    <t>4433</t>
  </si>
  <si>
    <t>003906</t>
  </si>
  <si>
    <t>003907</t>
  </si>
  <si>
    <t>003908</t>
  </si>
  <si>
    <t>003909</t>
  </si>
  <si>
    <t>003910</t>
  </si>
  <si>
    <t>003911</t>
  </si>
  <si>
    <t>003912</t>
  </si>
  <si>
    <t>003913</t>
  </si>
  <si>
    <t>003914</t>
  </si>
  <si>
    <t>003915</t>
  </si>
  <si>
    <t>003916</t>
  </si>
  <si>
    <t>003917</t>
  </si>
  <si>
    <t>003918</t>
  </si>
  <si>
    <t>003919</t>
  </si>
  <si>
    <t>003920</t>
  </si>
  <si>
    <t>003921</t>
  </si>
  <si>
    <t>003922</t>
  </si>
  <si>
    <t>003923</t>
  </si>
  <si>
    <t>003924</t>
  </si>
  <si>
    <t>003925</t>
  </si>
  <si>
    <t>003926</t>
  </si>
  <si>
    <t>003927</t>
  </si>
  <si>
    <t>003928</t>
  </si>
  <si>
    <t>003929</t>
  </si>
  <si>
    <t>003930</t>
  </si>
  <si>
    <t>003931</t>
  </si>
  <si>
    <t>003932</t>
  </si>
  <si>
    <t>003933</t>
  </si>
  <si>
    <t>003934</t>
  </si>
  <si>
    <t>003935</t>
  </si>
  <si>
    <t>003936</t>
  </si>
  <si>
    <t>003937</t>
  </si>
  <si>
    <t>003938</t>
  </si>
  <si>
    <t>003939</t>
  </si>
  <si>
    <t>003940</t>
  </si>
  <si>
    <t>003941</t>
  </si>
  <si>
    <t>003942</t>
  </si>
  <si>
    <t>003943</t>
  </si>
  <si>
    <t>003944</t>
  </si>
  <si>
    <t>003945</t>
  </si>
  <si>
    <t>003946</t>
  </si>
  <si>
    <t>003947</t>
  </si>
  <si>
    <t>003948</t>
  </si>
  <si>
    <t>003949</t>
  </si>
  <si>
    <t>003950</t>
  </si>
  <si>
    <t>003951</t>
  </si>
  <si>
    <t>003952</t>
  </si>
  <si>
    <t>003953</t>
  </si>
  <si>
    <t>003954</t>
  </si>
  <si>
    <t>003955</t>
  </si>
  <si>
    <t>003956</t>
  </si>
  <si>
    <t>003957</t>
  </si>
  <si>
    <t>003958</t>
  </si>
  <si>
    <t>003959</t>
  </si>
  <si>
    <t>003960</t>
  </si>
  <si>
    <t>003961</t>
  </si>
  <si>
    <t>003962</t>
  </si>
  <si>
    <t>003963</t>
  </si>
  <si>
    <t>003964</t>
  </si>
  <si>
    <t>003965</t>
  </si>
  <si>
    <t>003966</t>
  </si>
  <si>
    <t>003967</t>
  </si>
  <si>
    <t>003968</t>
  </si>
  <si>
    <t>003969</t>
  </si>
  <si>
    <t>003970</t>
  </si>
  <si>
    <t>003971</t>
  </si>
  <si>
    <t>003972</t>
  </si>
  <si>
    <t>003973</t>
  </si>
  <si>
    <t>003974</t>
  </si>
  <si>
    <t>003975</t>
  </si>
  <si>
    <t>003976</t>
  </si>
  <si>
    <t>003977</t>
  </si>
  <si>
    <t>003978</t>
  </si>
  <si>
    <t>003979</t>
  </si>
  <si>
    <t>003980</t>
  </si>
  <si>
    <t>003981</t>
  </si>
  <si>
    <t>003982</t>
  </si>
  <si>
    <t>003983</t>
  </si>
  <si>
    <t>003984</t>
  </si>
  <si>
    <t>003985</t>
  </si>
  <si>
    <t>003986</t>
  </si>
  <si>
    <t>003987</t>
  </si>
  <si>
    <t>003988</t>
  </si>
  <si>
    <t>003989</t>
  </si>
  <si>
    <t>003990</t>
  </si>
  <si>
    <t>003991</t>
  </si>
  <si>
    <t>003992</t>
  </si>
  <si>
    <t>003993</t>
  </si>
  <si>
    <t>003994</t>
  </si>
  <si>
    <t>003995</t>
  </si>
  <si>
    <t>003996</t>
  </si>
  <si>
    <t>003997</t>
  </si>
  <si>
    <t>003998</t>
  </si>
  <si>
    <t>003999</t>
  </si>
  <si>
    <t>004000</t>
  </si>
  <si>
    <t>004001</t>
  </si>
  <si>
    <t>004002</t>
  </si>
  <si>
    <t>004003</t>
  </si>
  <si>
    <t>004004</t>
  </si>
  <si>
    <t>004005</t>
  </si>
  <si>
    <t>004006</t>
  </si>
  <si>
    <t>004007</t>
  </si>
  <si>
    <t>004008</t>
  </si>
  <si>
    <t>004009</t>
  </si>
  <si>
    <t>004010</t>
  </si>
  <si>
    <t>004011</t>
  </si>
  <si>
    <t>004012</t>
  </si>
  <si>
    <t>004013</t>
  </si>
  <si>
    <t>004014</t>
  </si>
  <si>
    <t>004015</t>
  </si>
  <si>
    <t>004016</t>
  </si>
  <si>
    <t>004017</t>
  </si>
  <si>
    <t>004018</t>
  </si>
  <si>
    <t>004019</t>
  </si>
  <si>
    <t>004020</t>
  </si>
  <si>
    <t>004021</t>
  </si>
  <si>
    <t>004022</t>
  </si>
  <si>
    <t>004023</t>
  </si>
  <si>
    <t>004024</t>
  </si>
  <si>
    <t>004025</t>
  </si>
  <si>
    <t>004026</t>
  </si>
  <si>
    <t>004027</t>
  </si>
  <si>
    <t>004028</t>
  </si>
  <si>
    <t>004029</t>
  </si>
  <si>
    <t>004030</t>
  </si>
  <si>
    <t>004031</t>
  </si>
  <si>
    <t>004032</t>
  </si>
  <si>
    <t>004033</t>
  </si>
  <si>
    <t>004034</t>
  </si>
  <si>
    <t>004035</t>
  </si>
  <si>
    <t>004036</t>
  </si>
  <si>
    <t>004037</t>
  </si>
  <si>
    <t>004038</t>
  </si>
  <si>
    <t>004039</t>
  </si>
  <si>
    <t>004040</t>
  </si>
  <si>
    <t>004041</t>
  </si>
  <si>
    <t>004042</t>
  </si>
  <si>
    <t>004043</t>
  </si>
  <si>
    <t>004044</t>
  </si>
  <si>
    <t>004045</t>
  </si>
  <si>
    <t>004046</t>
  </si>
  <si>
    <t>004047</t>
  </si>
  <si>
    <t>004048</t>
  </si>
  <si>
    <t>004049</t>
  </si>
  <si>
    <t>004050</t>
  </si>
  <si>
    <t>004051</t>
  </si>
  <si>
    <t>004052</t>
  </si>
  <si>
    <t>004053</t>
  </si>
  <si>
    <t>004054</t>
  </si>
  <si>
    <t>004055</t>
  </si>
  <si>
    <t>004056</t>
  </si>
  <si>
    <t>004057</t>
  </si>
  <si>
    <t>004058</t>
  </si>
  <si>
    <t>004059</t>
  </si>
  <si>
    <t>004060</t>
  </si>
  <si>
    <t>004061</t>
  </si>
  <si>
    <t>004062</t>
  </si>
  <si>
    <t>004063</t>
  </si>
  <si>
    <t>004064</t>
  </si>
  <si>
    <t>004065</t>
  </si>
  <si>
    <t>004066</t>
  </si>
  <si>
    <t>004067</t>
  </si>
  <si>
    <t>004068</t>
  </si>
  <si>
    <t>004069</t>
  </si>
  <si>
    <t>004070</t>
  </si>
  <si>
    <t>004071</t>
  </si>
  <si>
    <t>004072</t>
  </si>
  <si>
    <t>004073</t>
  </si>
  <si>
    <t>004074</t>
  </si>
  <si>
    <t>004075</t>
  </si>
  <si>
    <t>004076</t>
  </si>
  <si>
    <t>004077</t>
  </si>
  <si>
    <t>004078</t>
  </si>
  <si>
    <t>004079</t>
  </si>
  <si>
    <t>004080</t>
  </si>
  <si>
    <t>004081</t>
  </si>
  <si>
    <t>004082</t>
  </si>
  <si>
    <t>004083</t>
  </si>
  <si>
    <t>004084</t>
  </si>
  <si>
    <t>004085</t>
  </si>
  <si>
    <t>004086</t>
  </si>
  <si>
    <t>004087</t>
  </si>
  <si>
    <t>004088</t>
  </si>
  <si>
    <t>004089</t>
  </si>
  <si>
    <t>004090</t>
  </si>
  <si>
    <t>004091</t>
  </si>
  <si>
    <t>004092</t>
  </si>
  <si>
    <t>004093</t>
  </si>
  <si>
    <t>004094</t>
  </si>
  <si>
    <t>004095</t>
  </si>
  <si>
    <t>004096</t>
  </si>
  <si>
    <t>004097</t>
  </si>
  <si>
    <t>004098</t>
  </si>
  <si>
    <t>004099</t>
  </si>
  <si>
    <t>004100</t>
  </si>
  <si>
    <t>004101</t>
  </si>
  <si>
    <t>004102</t>
  </si>
  <si>
    <t>004103</t>
  </si>
  <si>
    <t>004104</t>
  </si>
  <si>
    <t>004105</t>
  </si>
  <si>
    <t>004106</t>
  </si>
  <si>
    <t>004107</t>
  </si>
  <si>
    <t>004108</t>
  </si>
  <si>
    <t>004109</t>
  </si>
  <si>
    <t>004110</t>
  </si>
  <si>
    <t>004111</t>
  </si>
  <si>
    <t>004112</t>
  </si>
  <si>
    <t>004113</t>
  </si>
  <si>
    <t>004114</t>
  </si>
  <si>
    <t>004115</t>
  </si>
  <si>
    <t>004116</t>
  </si>
  <si>
    <t>004117</t>
  </si>
  <si>
    <t>004118</t>
  </si>
  <si>
    <t>004119</t>
  </si>
  <si>
    <t>004120</t>
  </si>
  <si>
    <t>004121</t>
  </si>
  <si>
    <t>004122</t>
  </si>
  <si>
    <t>004123</t>
  </si>
  <si>
    <t>004124</t>
  </si>
  <si>
    <t>004125</t>
  </si>
  <si>
    <t>004126</t>
  </si>
  <si>
    <t>004127</t>
  </si>
  <si>
    <t>004128</t>
  </si>
  <si>
    <t>004129</t>
  </si>
  <si>
    <t>004130</t>
  </si>
  <si>
    <t>004131</t>
  </si>
  <si>
    <t>004132</t>
  </si>
  <si>
    <t>004133</t>
  </si>
  <si>
    <t>004134</t>
  </si>
  <si>
    <t>004135</t>
  </si>
  <si>
    <t>004136</t>
  </si>
  <si>
    <t>004137</t>
  </si>
  <si>
    <t>004138</t>
  </si>
  <si>
    <t>004139</t>
  </si>
  <si>
    <t>004140</t>
  </si>
  <si>
    <t>004141</t>
  </si>
  <si>
    <t>004142</t>
  </si>
  <si>
    <t>004143</t>
  </si>
  <si>
    <t>004144</t>
  </si>
  <si>
    <t>004145</t>
  </si>
  <si>
    <t>004146</t>
  </si>
  <si>
    <t>004147</t>
  </si>
  <si>
    <t>004148</t>
  </si>
  <si>
    <t>004149</t>
  </si>
  <si>
    <t>004150</t>
  </si>
  <si>
    <t>004151</t>
  </si>
  <si>
    <t>004152</t>
  </si>
  <si>
    <t>004153</t>
  </si>
  <si>
    <t>004154</t>
  </si>
  <si>
    <t>004155</t>
  </si>
  <si>
    <t>004156</t>
  </si>
  <si>
    <t>004157</t>
  </si>
  <si>
    <t>004158</t>
  </si>
  <si>
    <t>004159</t>
  </si>
  <si>
    <t>004160</t>
  </si>
  <si>
    <t>004161</t>
  </si>
  <si>
    <t>004162</t>
  </si>
  <si>
    <t>004163</t>
  </si>
  <si>
    <t>004164</t>
  </si>
  <si>
    <t>004165</t>
  </si>
  <si>
    <t>004166</t>
  </si>
  <si>
    <t>004167</t>
  </si>
  <si>
    <t>004168</t>
  </si>
  <si>
    <t>004169</t>
  </si>
  <si>
    <t>004170</t>
  </si>
  <si>
    <t>004171</t>
  </si>
  <si>
    <t>004172</t>
  </si>
  <si>
    <t>004173</t>
  </si>
  <si>
    <t>004174</t>
  </si>
  <si>
    <t>004175</t>
  </si>
  <si>
    <t>004176</t>
  </si>
  <si>
    <t>004177</t>
  </si>
  <si>
    <t>004178</t>
  </si>
  <si>
    <t>004179</t>
  </si>
  <si>
    <t>004180</t>
  </si>
  <si>
    <t>004181</t>
  </si>
  <si>
    <t>004182</t>
  </si>
  <si>
    <t>004183</t>
  </si>
  <si>
    <t>004184</t>
  </si>
  <si>
    <t>004185</t>
  </si>
  <si>
    <t>004186</t>
  </si>
  <si>
    <t>004187</t>
  </si>
  <si>
    <t>004188</t>
  </si>
  <si>
    <t>004189</t>
  </si>
  <si>
    <t>004190</t>
  </si>
  <si>
    <t>004191</t>
  </si>
  <si>
    <t>004192</t>
  </si>
  <si>
    <t>004193</t>
  </si>
  <si>
    <t>004194</t>
  </si>
  <si>
    <t>004195</t>
  </si>
  <si>
    <t>004196</t>
  </si>
  <si>
    <t>004197</t>
  </si>
  <si>
    <t>004198</t>
  </si>
  <si>
    <t>004199</t>
  </si>
  <si>
    <t>004200</t>
  </si>
  <si>
    <t>004201</t>
  </si>
  <si>
    <t>004202</t>
  </si>
  <si>
    <t>004203</t>
  </si>
  <si>
    <t>004204</t>
  </si>
  <si>
    <t>004205</t>
  </si>
  <si>
    <t>004206</t>
  </si>
  <si>
    <t>004207</t>
  </si>
  <si>
    <t>004208</t>
  </si>
  <si>
    <t>004209</t>
  </si>
  <si>
    <t>004210</t>
  </si>
  <si>
    <t>004211</t>
  </si>
  <si>
    <t>004212</t>
  </si>
  <si>
    <t>004213</t>
  </si>
  <si>
    <t>004214</t>
  </si>
  <si>
    <t>004215</t>
  </si>
  <si>
    <t>004216</t>
  </si>
  <si>
    <t>004217</t>
  </si>
  <si>
    <t>004218</t>
  </si>
  <si>
    <t>004219</t>
  </si>
  <si>
    <t>004220</t>
  </si>
  <si>
    <t>004221</t>
  </si>
  <si>
    <t>004222</t>
  </si>
  <si>
    <t>004223</t>
  </si>
  <si>
    <t>004224</t>
  </si>
  <si>
    <t>004225</t>
  </si>
  <si>
    <t>004226</t>
  </si>
  <si>
    <t>004227</t>
  </si>
  <si>
    <t>004228</t>
  </si>
  <si>
    <t>004229</t>
  </si>
  <si>
    <t>004230</t>
  </si>
  <si>
    <t>004231</t>
  </si>
  <si>
    <t>004232</t>
  </si>
  <si>
    <t>004233</t>
  </si>
  <si>
    <t>004234</t>
  </si>
  <si>
    <t>004235</t>
  </si>
  <si>
    <t>004236</t>
  </si>
  <si>
    <t>004237</t>
  </si>
  <si>
    <t>004238</t>
  </si>
  <si>
    <t>004239</t>
  </si>
  <si>
    <t>004240</t>
  </si>
  <si>
    <t>004241</t>
  </si>
  <si>
    <t>004242</t>
  </si>
  <si>
    <t>004243</t>
  </si>
  <si>
    <t>004244</t>
  </si>
  <si>
    <t>004245</t>
  </si>
  <si>
    <t>004246</t>
  </si>
  <si>
    <t>004247</t>
  </si>
  <si>
    <t>004248</t>
  </si>
  <si>
    <t>004249</t>
  </si>
  <si>
    <t>004250</t>
  </si>
  <si>
    <t>004251</t>
  </si>
  <si>
    <t>004252</t>
  </si>
  <si>
    <t>004253</t>
  </si>
  <si>
    <t>004254</t>
  </si>
  <si>
    <t>004255</t>
  </si>
  <si>
    <t>004256</t>
  </si>
  <si>
    <t>004257</t>
  </si>
  <si>
    <t>004258</t>
  </si>
  <si>
    <t>004259</t>
  </si>
  <si>
    <t>004260</t>
  </si>
  <si>
    <t>004261</t>
  </si>
  <si>
    <t>004262</t>
  </si>
  <si>
    <t>004263</t>
  </si>
  <si>
    <t>004264</t>
  </si>
  <si>
    <t>004265</t>
  </si>
  <si>
    <t>004266</t>
  </si>
  <si>
    <t>004267</t>
  </si>
  <si>
    <t>004268</t>
  </si>
  <si>
    <t>004269</t>
  </si>
  <si>
    <t>004270</t>
  </si>
  <si>
    <t>004271</t>
  </si>
  <si>
    <t>004272</t>
  </si>
  <si>
    <t>004273</t>
  </si>
  <si>
    <t>004274</t>
  </si>
  <si>
    <t>004275</t>
  </si>
  <si>
    <t>004276</t>
  </si>
  <si>
    <t>004277</t>
  </si>
  <si>
    <t>004278</t>
  </si>
  <si>
    <t>004279</t>
  </si>
  <si>
    <t>004280</t>
  </si>
  <si>
    <t>004281</t>
  </si>
  <si>
    <t>004282</t>
  </si>
  <si>
    <t>004283</t>
  </si>
  <si>
    <t>004284</t>
  </si>
  <si>
    <t>004285</t>
  </si>
  <si>
    <t>004286</t>
  </si>
  <si>
    <t>004287</t>
  </si>
  <si>
    <t>004288</t>
  </si>
  <si>
    <t>004289</t>
  </si>
  <si>
    <t>004290</t>
  </si>
  <si>
    <t>004291</t>
  </si>
  <si>
    <t>004292</t>
  </si>
  <si>
    <t>004293</t>
  </si>
  <si>
    <t>004294</t>
  </si>
  <si>
    <t>004295</t>
  </si>
  <si>
    <t>004296</t>
  </si>
  <si>
    <t>004297</t>
  </si>
  <si>
    <t>004298</t>
  </si>
  <si>
    <t>004299</t>
  </si>
  <si>
    <t>004300</t>
  </si>
  <si>
    <t>004301</t>
  </si>
  <si>
    <t>004302</t>
  </si>
  <si>
    <t>004303</t>
  </si>
  <si>
    <t>004304</t>
  </si>
  <si>
    <t>004305</t>
  </si>
  <si>
    <t>004306</t>
  </si>
  <si>
    <t>004307</t>
  </si>
  <si>
    <t>004308</t>
  </si>
  <si>
    <t>004309</t>
  </si>
  <si>
    <t>004310</t>
  </si>
  <si>
    <t>004311</t>
  </si>
  <si>
    <t>004312</t>
  </si>
  <si>
    <t>004313</t>
  </si>
  <si>
    <t>004314</t>
  </si>
  <si>
    <t>004315</t>
  </si>
  <si>
    <t>004316</t>
  </si>
  <si>
    <t>004317</t>
  </si>
  <si>
    <t>004318</t>
  </si>
  <si>
    <t>004319</t>
  </si>
  <si>
    <t>004320</t>
  </si>
  <si>
    <t>004321</t>
  </si>
  <si>
    <t>004322</t>
  </si>
  <si>
    <t>004323</t>
  </si>
  <si>
    <t>004324</t>
  </si>
  <si>
    <t>004325</t>
  </si>
  <si>
    <t>004326</t>
  </si>
  <si>
    <t>004327</t>
  </si>
  <si>
    <t>004328</t>
  </si>
  <si>
    <t>004329</t>
  </si>
  <si>
    <t>004330</t>
  </si>
  <si>
    <t>004331</t>
  </si>
  <si>
    <t>004332</t>
  </si>
  <si>
    <t>004333</t>
  </si>
  <si>
    <t>004334</t>
  </si>
  <si>
    <t>004335</t>
  </si>
  <si>
    <t>004336</t>
  </si>
  <si>
    <t>004337</t>
  </si>
  <si>
    <t>004338</t>
  </si>
  <si>
    <t>004339</t>
  </si>
  <si>
    <t>004340</t>
  </si>
  <si>
    <t>004341</t>
  </si>
  <si>
    <t>004342</t>
  </si>
  <si>
    <t>004343</t>
  </si>
  <si>
    <t>004344</t>
  </si>
  <si>
    <t>004345</t>
  </si>
  <si>
    <t>004346</t>
  </si>
  <si>
    <t>004347</t>
  </si>
  <si>
    <t>004348</t>
  </si>
  <si>
    <t>004349</t>
  </si>
  <si>
    <t>004350</t>
  </si>
  <si>
    <t>004351</t>
  </si>
  <si>
    <t>004352</t>
  </si>
  <si>
    <t>004353</t>
  </si>
  <si>
    <t>004354</t>
  </si>
  <si>
    <t>004355</t>
  </si>
  <si>
    <t>004356</t>
  </si>
  <si>
    <t>004357</t>
  </si>
  <si>
    <t>004358</t>
  </si>
  <si>
    <t>004359</t>
  </si>
  <si>
    <t>004360</t>
  </si>
  <si>
    <t>004361</t>
  </si>
  <si>
    <t>004362</t>
  </si>
  <si>
    <t>004363</t>
  </si>
  <si>
    <t>004364</t>
  </si>
  <si>
    <t>004365</t>
  </si>
  <si>
    <t>004366</t>
  </si>
  <si>
    <t>004367</t>
  </si>
  <si>
    <t>004368</t>
  </si>
  <si>
    <t>004369</t>
  </si>
  <si>
    <t>004370</t>
  </si>
  <si>
    <t>004371</t>
  </si>
  <si>
    <t>004372</t>
  </si>
  <si>
    <t>004373</t>
  </si>
  <si>
    <t>004374</t>
  </si>
  <si>
    <t>004375</t>
  </si>
  <si>
    <t>004376</t>
  </si>
  <si>
    <t>004377</t>
  </si>
  <si>
    <t>004378</t>
  </si>
  <si>
    <t>004379</t>
  </si>
  <si>
    <t>004380</t>
  </si>
  <si>
    <t>004381</t>
  </si>
  <si>
    <t>004382</t>
  </si>
  <si>
    <t>004383</t>
  </si>
  <si>
    <t>004384</t>
  </si>
  <si>
    <t>004385</t>
  </si>
  <si>
    <t>004386</t>
  </si>
  <si>
    <t>004387</t>
  </si>
  <si>
    <t>004388</t>
  </si>
  <si>
    <t>004389</t>
  </si>
  <si>
    <t>004390</t>
  </si>
  <si>
    <t>004391</t>
  </si>
  <si>
    <t>004392</t>
  </si>
  <si>
    <t>004393</t>
  </si>
  <si>
    <t>004394</t>
  </si>
  <si>
    <t>004395</t>
  </si>
  <si>
    <t>004396</t>
  </si>
  <si>
    <t>004397</t>
  </si>
  <si>
    <t>004398</t>
  </si>
  <si>
    <t>004399</t>
  </si>
  <si>
    <t>004400</t>
  </si>
  <si>
    <t>004401</t>
  </si>
  <si>
    <t>004402</t>
  </si>
  <si>
    <t>004403</t>
  </si>
  <si>
    <t>004404</t>
  </si>
  <si>
    <t>004405</t>
  </si>
  <si>
    <t>004406</t>
  </si>
  <si>
    <t>004407</t>
  </si>
  <si>
    <t>004408</t>
  </si>
  <si>
    <t>004409</t>
  </si>
  <si>
    <t>004410</t>
  </si>
  <si>
    <t>004411</t>
  </si>
  <si>
    <t>004412</t>
  </si>
  <si>
    <t>004413</t>
  </si>
  <si>
    <t>004414</t>
  </si>
  <si>
    <t>004415</t>
  </si>
  <si>
    <t>004416</t>
  </si>
  <si>
    <t>004417</t>
  </si>
  <si>
    <t>004418</t>
  </si>
  <si>
    <t>004419</t>
  </si>
  <si>
    <t>004420</t>
  </si>
  <si>
    <t>004421</t>
  </si>
  <si>
    <t>004422</t>
  </si>
  <si>
    <t>004423</t>
  </si>
  <si>
    <t>004424</t>
  </si>
  <si>
    <t>004425</t>
  </si>
  <si>
    <t>004426</t>
  </si>
  <si>
    <t>004427</t>
  </si>
  <si>
    <t>004428</t>
  </si>
  <si>
    <t>004429</t>
  </si>
  <si>
    <t>004430</t>
  </si>
  <si>
    <t>004431</t>
  </si>
  <si>
    <t>004432</t>
  </si>
  <si>
    <t>DataInput2</t>
    <phoneticPr fontId="22" type="noConversion"/>
  </si>
  <si>
    <t>E:\DATA\PNTJOB\PDF600(495含特別色).job</t>
    <phoneticPr fontId="22" type="noConversion"/>
  </si>
  <si>
    <t>E:\DATA\PNTJOB\PDF600(495含特別色).job</t>
    <phoneticPr fontId="22" type="noConversion"/>
  </si>
  <si>
    <t>DataOutput1</t>
    <phoneticPr fontId="22" type="noConversion"/>
  </si>
  <si>
    <t>TXT</t>
    <phoneticPr fontId="22" type="noConversion"/>
  </si>
  <si>
    <t>PDF檔名</t>
    <phoneticPr fontId="22" type="noConversion"/>
  </si>
  <si>
    <t>頁數</t>
    <phoneticPr fontId="22" type="noConversion"/>
  </si>
  <si>
    <t>保單號碼</t>
    <phoneticPr fontId="22" type="noConversion"/>
  </si>
  <si>
    <t>郵遞區號</t>
    <phoneticPr fontId="22" type="noConversion"/>
  </si>
  <si>
    <t>地址1</t>
    <phoneticPr fontId="22" type="noConversion"/>
  </si>
  <si>
    <t>地址2</t>
    <phoneticPr fontId="22" type="noConversion"/>
  </si>
  <si>
    <t>催告號碼</t>
    <phoneticPr fontId="22" type="noConversion"/>
  </si>
  <si>
    <t>大宗掛號號碼</t>
    <phoneticPr fontId="22" type="noConversion"/>
  </si>
  <si>
    <t>安聯人壽-每日PDF檔</t>
    <phoneticPr fontId="22" type="noConversion"/>
  </si>
  <si>
    <t>DataOutput2</t>
    <phoneticPr fontId="22" type="noConversion"/>
  </si>
  <si>
    <t>正式</t>
    <phoneticPr fontId="22" type="noConversion"/>
  </si>
  <si>
    <t>1</t>
    <phoneticPr fontId="22" type="noConversion"/>
  </si>
  <si>
    <t>=</t>
    <phoneticPr fontId="22" type="noConversion"/>
  </si>
  <si>
    <t>dir內容</t>
    <phoneticPr fontId="22" type="noConversion"/>
  </si>
  <si>
    <t>比對符號</t>
    <phoneticPr fontId="22" type="noConversion"/>
  </si>
  <si>
    <t>※1.將客戶提供的檔案，一定會有的檔案列在下方，以利程式檢查
  2.路徑固定放在當天作業目錄的data目錄下</t>
    <phoneticPr fontId="22" type="noConversion"/>
  </si>
  <si>
    <t>*.txt</t>
    <phoneticPr fontId="22" type="noConversion"/>
  </si>
  <si>
    <t>李軒</t>
    <phoneticPr fontId="22" type="noConversion"/>
  </si>
  <si>
    <t>110台北市信義區信義路五段100號5樓</t>
  </si>
  <si>
    <t>02-8789-5858分機1746</t>
    <phoneticPr fontId="22" type="noConversion"/>
  </si>
  <si>
    <t>E:\DATA\PNTJOB\PDF600(495含特別色+拆檔).job</t>
    <phoneticPr fontId="22" type="noConversion"/>
  </si>
  <si>
    <t>TEST</t>
    <phoneticPr fontId="22" type="noConversion"/>
  </si>
  <si>
    <t>201797A099000</t>
    <phoneticPr fontId="22" type="noConversion"/>
  </si>
  <si>
    <t>DataInput3</t>
    <phoneticPr fontId="22" type="noConversion"/>
  </si>
  <si>
    <t>POSTtel</t>
    <phoneticPr fontId="4" type="noConversion"/>
  </si>
  <si>
    <t>PostPath</t>
    <phoneticPr fontId="4" type="noConversion"/>
  </si>
  <si>
    <t>難字清冊</t>
    <phoneticPr fontId="22" type="noConversion"/>
  </si>
  <si>
    <t>PDFTST</t>
    <phoneticPr fontId="22" type="noConversion"/>
  </si>
  <si>
    <t>補號</t>
    <phoneticPr fontId="22" type="noConversion"/>
  </si>
  <si>
    <t>DataInput_ERR</t>
    <phoneticPr fontId="22" type="noConversion"/>
  </si>
  <si>
    <t>＊請確認有把抽測txt全部放到TST底下</t>
    <phoneticPr fontId="22" type="noConversion"/>
  </si>
  <si>
    <t>補號_P2</t>
    <phoneticPr fontId="22" type="noConversion"/>
  </si>
  <si>
    <t>補號_P3</t>
    <phoneticPr fontId="22" type="noConversion"/>
  </si>
  <si>
    <t>補號_PP</t>
    <phoneticPr fontId="22" type="noConversion"/>
  </si>
  <si>
    <t>1017_PDF_掛號.wfd</t>
    <phoneticPr fontId="22" type="noConversion"/>
  </si>
  <si>
    <t>檢查PDF檔名</t>
  </si>
  <si>
    <t>檢查欄位</t>
  </si>
  <si>
    <t>X</t>
  </si>
  <si>
    <t>Y</t>
  </si>
  <si>
    <t>Width</t>
    <phoneticPr fontId="4" type="noConversion"/>
  </si>
  <si>
    <t>Height</t>
    <phoneticPr fontId="4" type="noConversion"/>
  </si>
  <si>
    <t>檢查所在頁數</t>
    <phoneticPr fontId="4" type="noConversion"/>
  </si>
  <si>
    <t>檢查欄位固定值</t>
  </si>
  <si>
    <t>比對條件</t>
    <phoneticPr fontId="4" type="noConversion"/>
  </si>
  <si>
    <t>相同的[檢查欄位]名稱
檢查值是否需要皆符合條件</t>
    <phoneticPr fontId="4" type="noConversion"/>
  </si>
  <si>
    <t>編碼格式(Encodeing)</t>
    <phoneticPr fontId="4" type="noConversion"/>
  </si>
  <si>
    <t>姓名</t>
  </si>
  <si>
    <t>地址</t>
  </si>
  <si>
    <t>X軸模距(ModeOffsetX)</t>
  </si>
  <si>
    <t>newZIP</t>
  </si>
  <si>
    <t>Y軸模距(ModeOffsetY)</t>
  </si>
  <si>
    <t>TransformerX軸(TransformerOffsetX)</t>
  </si>
  <si>
    <t>排孔邊流水號</t>
  </si>
  <si>
    <t>檔名-拆檔檔案序號-續編排孔張數流水號</t>
    <phoneticPr fontId="4" type="noConversion"/>
  </si>
  <si>
    <t>TransformerY軸(TransformerOffsetY)</t>
  </si>
  <si>
    <t>*-00*</t>
    <phoneticPr fontId="4" type="noConversion"/>
  </si>
  <si>
    <t>對半切</t>
  </si>
  <si>
    <t>縱切數(WOFF)</t>
  </si>
  <si>
    <t>Andrew</t>
    <phoneticPr fontId="4" type="noConversion"/>
  </si>
  <si>
    <t>02492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</si>
</sst>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76" formatCode="_(&quot;$&quot;* #,##0.00_);_(&quot;$&quot;* \(#,##0.00\);_(&quot;$&quot;* &quot;-&quot;??_);_(@_)"/>
    <numFmt numFmtId="177" formatCode="0.00_)"/>
    <numFmt numFmtId="178" formatCode="[DBNum1][$-404]yyyy&quot;年&quot;m&quot;月&quot;d&quot;日&quot;;@"/>
    <numFmt numFmtId="179" formatCode="0.00_ "/>
  </numFmts>
  <fonts count="72"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5"/>
      <color theme="3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  <font>
      <sz val="12"/>
      <name val="細明體"/>
      <family val="3"/>
      <charset val="136"/>
    </font>
    <font>
      <sz val="12"/>
      <name val="新細明體"/>
      <family val="1"/>
      <charset val="136"/>
    </font>
    <font>
      <sz val="12"/>
      <color indexed="8"/>
      <name val="細明體"/>
      <family val="3"/>
      <charset val="136"/>
    </font>
    <font>
      <sz val="12"/>
      <color indexed="9"/>
      <name val="細明體"/>
      <family val="3"/>
      <charset val="136"/>
    </font>
    <font>
      <sz val="12"/>
      <color indexed="8"/>
      <name val="新細明體"/>
      <family val="1"/>
      <charset val="136"/>
    </font>
    <font>
      <sz val="12"/>
      <color indexed="60"/>
      <name val="細明體"/>
      <family val="3"/>
      <charset val="136"/>
    </font>
    <font>
      <b/>
      <sz val="12"/>
      <color indexed="8"/>
      <name val="細明體"/>
      <family val="3"/>
      <charset val="136"/>
    </font>
    <font>
      <sz val="12"/>
      <color indexed="17"/>
      <name val="細明體"/>
      <family val="3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細明體"/>
      <family val="3"/>
      <charset val="136"/>
    </font>
    <font>
      <sz val="12"/>
      <color indexed="52"/>
      <name val="細明體"/>
      <family val="3"/>
      <charset val="136"/>
    </font>
    <font>
      <i/>
      <sz val="12"/>
      <color indexed="23"/>
      <name val="細明體"/>
      <family val="3"/>
      <charset val="136"/>
    </font>
    <font>
      <b/>
      <sz val="15"/>
      <color indexed="56"/>
      <name val="細明體"/>
      <family val="3"/>
      <charset val="136"/>
    </font>
    <font>
      <b/>
      <sz val="13"/>
      <color indexed="56"/>
      <name val="細明體"/>
      <family val="3"/>
      <charset val="136"/>
    </font>
    <font>
      <b/>
      <sz val="11"/>
      <color indexed="56"/>
      <name val="細明體"/>
      <family val="3"/>
      <charset val="136"/>
    </font>
    <font>
      <b/>
      <sz val="18"/>
      <color indexed="56"/>
      <name val="新細明體"/>
      <family val="1"/>
      <charset val="136"/>
    </font>
    <font>
      <sz val="12"/>
      <color indexed="62"/>
      <name val="細明體"/>
      <family val="3"/>
      <charset val="136"/>
    </font>
    <font>
      <b/>
      <sz val="12"/>
      <color indexed="63"/>
      <name val="細明體"/>
      <family val="3"/>
      <charset val="136"/>
    </font>
    <font>
      <b/>
      <sz val="12"/>
      <color indexed="9"/>
      <name val="細明體"/>
      <family val="3"/>
      <charset val="136"/>
    </font>
    <font>
      <sz val="12"/>
      <color indexed="20"/>
      <name val="細明體"/>
      <family val="3"/>
      <charset val="136"/>
    </font>
    <font>
      <sz val="12"/>
      <color indexed="20"/>
      <name val="新細明體"/>
      <family val="1"/>
      <charset val="136"/>
    </font>
    <font>
      <sz val="12"/>
      <color indexed="10"/>
      <name val="細明體"/>
      <family val="3"/>
      <charset val="136"/>
    </font>
    <font>
      <sz val="10"/>
      <name val="Helv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b/>
      <i/>
      <sz val="16"/>
      <name val="Helv"/>
      <family val="2"/>
    </font>
    <font>
      <sz val="1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22"/>
      <color theme="1"/>
      <name val="細明體"/>
      <family val="3"/>
      <charset val="136"/>
    </font>
    <font>
      <sz val="14"/>
      <color theme="1"/>
      <name val="細明體"/>
      <family val="3"/>
      <charset val="136"/>
    </font>
    <font>
      <sz val="12"/>
      <color theme="1"/>
      <name val="細明體"/>
      <family val="3"/>
      <charset val="136"/>
    </font>
    <font>
      <b/>
      <sz val="18"/>
      <color indexed="8"/>
      <name val="細明體"/>
      <family val="3"/>
      <charset val="136"/>
    </font>
    <font>
      <b/>
      <sz val="16"/>
      <color indexed="8"/>
      <name val="細明體"/>
      <family val="3"/>
      <charset val="136"/>
    </font>
    <font>
      <sz val="10"/>
      <color rgb="FF7030A0"/>
      <name val="細明體"/>
      <family val="3"/>
      <charset val="136"/>
    </font>
    <font>
      <u/>
      <sz val="12"/>
      <color theme="10"/>
      <name val="新細明體"/>
      <family val="1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sz val="18"/>
      <color indexed="8"/>
      <name val="細明體"/>
      <family val="3"/>
      <charset val="136"/>
    </font>
    <font>
      <b/>
      <sz val="12"/>
      <color rgb="FF7030A0"/>
      <name val="細明體"/>
      <family val="3"/>
      <charset val="136"/>
    </font>
    <font>
      <sz val="12"/>
      <color theme="0"/>
      <name val="細明體"/>
      <family val="3"/>
      <charset val="136"/>
    </font>
    <font>
      <b/>
      <sz val="16"/>
      <color rgb="FFFF0000"/>
      <name val="Arial Unicode MS"/>
      <family val="2"/>
      <charset val="136"/>
    </font>
    <font>
      <b/>
      <sz val="12"/>
      <color rgb="FF0070C0"/>
      <name val="細明體"/>
      <family val="3"/>
      <charset val="136"/>
    </font>
    <font>
      <b/>
      <sz val="16"/>
      <color rgb="FF7030A0"/>
      <name val="標楷體"/>
      <family val="4"/>
      <charset val="136"/>
    </font>
    <font>
      <sz val="16"/>
      <color rgb="FFFF0000"/>
      <name val="Microsoft JhengHei UI"/>
      <family val="1"/>
      <charset val="136"/>
    </font>
    <font>
      <b/>
      <sz val="12"/>
      <color theme="1"/>
      <name val="微軟正黑體"/>
      <family val="2"/>
      <charset val="136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2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7" tint="0.79998168889431442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232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0" fillId="22" borderId="2" applyNumberFormat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5" fillId="23" borderId="4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30" borderId="2" applyNumberFormat="0" applyAlignment="0" applyProtection="0">
      <alignment vertical="center"/>
    </xf>
    <xf numFmtId="0" fontId="18" fillId="22" borderId="8" applyNumberFormat="0" applyAlignment="0" applyProtection="0">
      <alignment vertical="center"/>
    </xf>
    <xf numFmtId="0" fontId="19" fillId="31" borderId="9" applyNumberFormat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4" fillId="0" borderId="0"/>
    <xf numFmtId="0" fontId="25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5" fillId="40" borderId="0" applyNumberFormat="0" applyBorder="0" applyAlignment="0" applyProtection="0">
      <alignment vertical="center"/>
    </xf>
    <xf numFmtId="0" fontId="25" fillId="41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5" fillId="42" borderId="0" applyNumberFormat="0" applyBorder="0" applyAlignment="0" applyProtection="0">
      <alignment vertical="center"/>
    </xf>
    <xf numFmtId="0" fontId="26" fillId="43" borderId="0" applyNumberFormat="0" applyBorder="0" applyAlignment="0" applyProtection="0">
      <alignment vertical="center"/>
    </xf>
    <xf numFmtId="0" fontId="26" fillId="40" borderId="0" applyNumberFormat="0" applyBorder="0" applyAlignment="0" applyProtection="0">
      <alignment vertical="center"/>
    </xf>
    <xf numFmtId="0" fontId="26" fillId="41" borderId="0" applyNumberFormat="0" applyBorder="0" applyAlignment="0" applyProtection="0">
      <alignment vertical="center"/>
    </xf>
    <xf numFmtId="0" fontId="26" fillId="44" borderId="0" applyNumberFormat="0" applyBorder="0" applyAlignment="0" applyProtection="0">
      <alignment vertical="center"/>
    </xf>
    <xf numFmtId="0" fontId="26" fillId="45" borderId="0" applyNumberFormat="0" applyBorder="0" applyAlignment="0" applyProtection="0">
      <alignment vertical="center"/>
    </xf>
    <xf numFmtId="0" fontId="26" fillId="46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7" fillId="0" borderId="0">
      <alignment vertical="center"/>
    </xf>
    <xf numFmtId="0" fontId="24" fillId="0" borderId="0">
      <alignment vertical="center"/>
    </xf>
    <xf numFmtId="0" fontId="27" fillId="0" borderId="0">
      <alignment vertical="center"/>
    </xf>
    <xf numFmtId="43" fontId="24" fillId="0" borderId="0" applyFont="0" applyFill="0" applyBorder="0" applyAlignment="0" applyProtection="0"/>
    <xf numFmtId="0" fontId="28" fillId="47" borderId="0" applyNumberFormat="0" applyBorder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2" fillId="48" borderId="13" applyNumberFormat="0" applyAlignment="0" applyProtection="0">
      <alignment vertical="center"/>
    </xf>
    <xf numFmtId="0" fontId="33" fillId="0" borderId="14" applyNumberFormat="0" applyFill="0" applyAlignment="0" applyProtection="0">
      <alignment vertical="center"/>
    </xf>
    <xf numFmtId="0" fontId="25" fillId="49" borderId="15" applyNumberFormat="0" applyFon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26" fillId="50" borderId="0" applyNumberFormat="0" applyBorder="0" applyAlignment="0" applyProtection="0">
      <alignment vertical="center"/>
    </xf>
    <xf numFmtId="0" fontId="26" fillId="51" borderId="0" applyNumberFormat="0" applyBorder="0" applyAlignment="0" applyProtection="0">
      <alignment vertical="center"/>
    </xf>
    <xf numFmtId="0" fontId="26" fillId="52" borderId="0" applyNumberFormat="0" applyBorder="0" applyAlignment="0" applyProtection="0">
      <alignment vertical="center"/>
    </xf>
    <xf numFmtId="0" fontId="26" fillId="44" borderId="0" applyNumberFormat="0" applyBorder="0" applyAlignment="0" applyProtection="0">
      <alignment vertical="center"/>
    </xf>
    <xf numFmtId="0" fontId="26" fillId="45" borderId="0" applyNumberFormat="0" applyBorder="0" applyAlignment="0" applyProtection="0">
      <alignment vertical="center"/>
    </xf>
    <xf numFmtId="0" fontId="26" fillId="53" borderId="0" applyNumberFormat="0" applyBorder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8" borderId="13" applyNumberFormat="0" applyAlignment="0" applyProtection="0">
      <alignment vertical="center"/>
    </xf>
    <xf numFmtId="0" fontId="40" fillId="48" borderId="19" applyNumberFormat="0" applyAlignment="0" applyProtection="0">
      <alignment vertical="center"/>
    </xf>
    <xf numFmtId="0" fontId="41" fillId="54" borderId="20" applyNumberFormat="0" applyAlignment="0" applyProtection="0">
      <alignment vertical="center"/>
    </xf>
    <xf numFmtId="0" fontId="42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2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4" fillId="0" borderId="0"/>
    <xf numFmtId="0" fontId="45" fillId="0" borderId="0"/>
    <xf numFmtId="0" fontId="46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6" fillId="0" borderId="0"/>
    <xf numFmtId="0" fontId="46" fillId="0" borderId="0"/>
    <xf numFmtId="0" fontId="45" fillId="0" borderId="0"/>
    <xf numFmtId="0" fontId="46" fillId="0" borderId="0"/>
    <xf numFmtId="0" fontId="45" fillId="0" borderId="0"/>
    <xf numFmtId="0" fontId="46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27" fillId="35" borderId="0" applyNumberFormat="0" applyBorder="0" applyAlignment="0" applyProtection="0">
      <alignment vertical="center"/>
    </xf>
    <xf numFmtId="43" fontId="47" fillId="0" borderId="0" applyFont="0" applyFill="0" applyBorder="0" applyAlignment="0" applyProtection="0">
      <alignment vertical="center"/>
    </xf>
    <xf numFmtId="176" fontId="24" fillId="0" borderId="0" applyFont="0" applyFill="0" applyBorder="0" applyAlignment="0" applyProtection="0"/>
    <xf numFmtId="0" fontId="48" fillId="0" borderId="22" applyNumberFormat="0" applyAlignment="0" applyProtection="0">
      <alignment horizontal="left" vertical="center"/>
    </xf>
    <xf numFmtId="0" fontId="48" fillId="0" borderId="23">
      <alignment horizontal="left" vertical="center"/>
    </xf>
    <xf numFmtId="0" fontId="24" fillId="0" borderId="0" applyNumberFormat="0" applyFont="0" applyFill="0" applyBorder="0" applyAlignment="0" applyProtection="0">
      <alignment vertical="center"/>
    </xf>
    <xf numFmtId="177" fontId="49" fillId="0" borderId="0"/>
    <xf numFmtId="0" fontId="47" fillId="0" borderId="0">
      <alignment vertical="center"/>
    </xf>
    <xf numFmtId="0" fontId="50" fillId="55" borderId="0"/>
    <xf numFmtId="0" fontId="24" fillId="0" borderId="0"/>
    <xf numFmtId="0" fontId="27" fillId="0" borderId="0">
      <alignment vertical="center"/>
    </xf>
    <xf numFmtId="0" fontId="24" fillId="0" borderId="0">
      <alignment vertical="center"/>
    </xf>
    <xf numFmtId="0" fontId="24" fillId="0" borderId="0"/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46" fillId="0" borderId="0"/>
    <xf numFmtId="0" fontId="46" fillId="0" borderId="0"/>
    <xf numFmtId="0" fontId="5" fillId="0" borderId="0">
      <alignment vertical="center"/>
    </xf>
    <xf numFmtId="0" fontId="5" fillId="0" borderId="0">
      <alignment vertical="center"/>
    </xf>
    <xf numFmtId="0" fontId="24" fillId="0" borderId="0"/>
    <xf numFmtId="0" fontId="61" fillId="0" borderId="0" applyNumberFormat="0" applyFill="0" applyBorder="0" applyAlignment="0" applyProtection="0">
      <alignment vertical="center"/>
    </xf>
    <xf numFmtId="0" fontId="24" fillId="0" borderId="0"/>
    <xf numFmtId="0" fontId="24" fillId="0" borderId="0"/>
    <xf numFmtId="0" fontId="24" fillId="0" borderId="0"/>
    <xf numFmtId="0" fontId="24" fillId="0" borderId="0">
      <alignment vertical="center"/>
    </xf>
    <xf numFmtId="0" fontId="3" fillId="0" borderId="0">
      <alignment vertical="center"/>
    </xf>
    <xf numFmtId="0" fontId="24" fillId="0" borderId="0"/>
    <xf numFmtId="0" fontId="5" fillId="0" borderId="0">
      <alignment vertical="center"/>
    </xf>
    <xf numFmtId="0" fontId="23" fillId="0" borderId="0">
      <alignment vertical="center"/>
    </xf>
    <xf numFmtId="0" fontId="24" fillId="0" borderId="0"/>
    <xf numFmtId="0" fontId="24" fillId="0" borderId="0"/>
    <xf numFmtId="0" fontId="2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0" xfId="0" quotePrefix="1">
      <alignment vertical="center"/>
    </xf>
    <xf numFmtId="0" fontId="55" fillId="0" borderId="11" xfId="217" applyFont="1" applyBorder="1">
      <alignment vertical="center"/>
    </xf>
    <xf numFmtId="0" fontId="57" fillId="0" borderId="0" xfId="217" applyFont="1" applyAlignment="1">
      <alignment horizontal="center" vertical="center"/>
    </xf>
    <xf numFmtId="0" fontId="57" fillId="0" borderId="0" xfId="217" applyFont="1">
      <alignment vertical="center"/>
    </xf>
    <xf numFmtId="0" fontId="25" fillId="57" borderId="11" xfId="217" applyFont="1" applyFill="1" applyBorder="1" applyAlignment="1">
      <alignment horizontal="center" vertical="center" wrapText="1"/>
    </xf>
    <xf numFmtId="0" fontId="61" fillId="0" borderId="0" xfId="220">
      <alignment vertical="center"/>
    </xf>
    <xf numFmtId="0" fontId="0" fillId="56" borderId="0" xfId="0" applyFill="1">
      <alignment vertical="center"/>
    </xf>
    <xf numFmtId="3" fontId="0" fillId="0" borderId="0" xfId="0" applyNumberFormat="1">
      <alignment vertical="center"/>
    </xf>
    <xf numFmtId="22" fontId="0" fillId="0" borderId="0" xfId="0" quotePrefix="1" applyNumberFormat="1">
      <alignment vertical="center"/>
    </xf>
    <xf numFmtId="0" fontId="62" fillId="58" borderId="11" xfId="217" applyFont="1" applyFill="1" applyBorder="1" applyAlignment="1">
      <alignment horizontal="left" vertical="center"/>
    </xf>
    <xf numFmtId="0" fontId="63" fillId="0" borderId="11" xfId="217" quotePrefix="1" applyFont="1" applyBorder="1">
      <alignment vertical="center"/>
    </xf>
    <xf numFmtId="0" fontId="5" fillId="0" borderId="0" xfId="217">
      <alignment vertical="center"/>
    </xf>
    <xf numFmtId="0" fontId="63" fillId="0" borderId="11" xfId="217" applyFont="1" applyBorder="1">
      <alignment vertical="center"/>
    </xf>
    <xf numFmtId="0" fontId="63" fillId="56" borderId="11" xfId="217" applyFont="1" applyFill="1" applyBorder="1">
      <alignment vertical="center"/>
    </xf>
    <xf numFmtId="0" fontId="62" fillId="58" borderId="21" xfId="217" applyFont="1" applyFill="1" applyBorder="1" applyAlignment="1">
      <alignment horizontal="left" vertical="center"/>
    </xf>
    <xf numFmtId="0" fontId="63" fillId="0" borderId="21" xfId="217" applyFont="1" applyBorder="1">
      <alignment vertical="center"/>
    </xf>
    <xf numFmtId="0" fontId="62" fillId="59" borderId="10" xfId="217" applyFont="1" applyFill="1" applyBorder="1" applyAlignment="1">
      <alignment horizontal="left" vertical="center" wrapText="1"/>
    </xf>
    <xf numFmtId="0" fontId="63" fillId="0" borderId="10" xfId="217" quotePrefix="1" applyFont="1" applyBorder="1" applyAlignment="1">
      <alignment horizontal="left" vertical="center"/>
    </xf>
    <xf numFmtId="0" fontId="62" fillId="59" borderId="11" xfId="217" applyFont="1" applyFill="1" applyBorder="1" applyAlignment="1">
      <alignment horizontal="left" vertical="center" wrapText="1"/>
    </xf>
    <xf numFmtId="0" fontId="63" fillId="0" borderId="11" xfId="217" applyFont="1" applyBorder="1" applyAlignment="1">
      <alignment horizontal="left" vertical="center"/>
    </xf>
    <xf numFmtId="0" fontId="62" fillId="59" borderId="21" xfId="217" applyFont="1" applyFill="1" applyBorder="1" applyAlignment="1">
      <alignment horizontal="left" vertical="center" wrapText="1"/>
    </xf>
    <xf numFmtId="0" fontId="63" fillId="0" borderId="21" xfId="217" applyFont="1" applyBorder="1" applyAlignment="1">
      <alignment horizontal="left" vertical="center"/>
    </xf>
    <xf numFmtId="0" fontId="63" fillId="60" borderId="10" xfId="217" quotePrefix="1" applyFont="1" applyFill="1" applyBorder="1" applyAlignment="1">
      <alignment horizontal="left" vertical="center" wrapText="1"/>
    </xf>
    <xf numFmtId="0" fontId="62" fillId="56" borderId="10" xfId="217" applyFont="1" applyFill="1" applyBorder="1">
      <alignment vertical="center"/>
    </xf>
    <xf numFmtId="0" fontId="63" fillId="60" borderId="11" xfId="217" quotePrefix="1" applyFont="1" applyFill="1" applyBorder="1" applyAlignment="1">
      <alignment horizontal="left" vertical="center" wrapText="1"/>
    </xf>
    <xf numFmtId="0" fontId="62" fillId="56" borderId="11" xfId="217" quotePrefix="1" applyFont="1" applyFill="1" applyBorder="1">
      <alignment vertical="center"/>
    </xf>
    <xf numFmtId="0" fontId="63" fillId="60" borderId="11" xfId="217" applyFont="1" applyFill="1" applyBorder="1" applyAlignment="1">
      <alignment horizontal="left" vertical="center" wrapText="1"/>
    </xf>
    <xf numFmtId="0" fontId="62" fillId="56" borderId="11" xfId="217" quotePrefix="1" applyFont="1" applyFill="1" applyBorder="1" applyAlignment="1">
      <alignment horizontal="left" vertical="center"/>
    </xf>
    <xf numFmtId="0" fontId="62" fillId="56" borderId="11" xfId="217" applyFont="1" applyFill="1" applyBorder="1" applyAlignment="1">
      <alignment horizontal="left" vertical="center"/>
    </xf>
    <xf numFmtId="0" fontId="63" fillId="60" borderId="21" xfId="217" applyFont="1" applyFill="1" applyBorder="1" applyAlignment="1">
      <alignment horizontal="left" vertical="center" wrapText="1"/>
    </xf>
    <xf numFmtId="0" fontId="62" fillId="56" borderId="21" xfId="217" applyFont="1" applyFill="1" applyBorder="1" applyAlignment="1">
      <alignment horizontal="left" vertical="center"/>
    </xf>
    <xf numFmtId="0" fontId="62" fillId="61" borderId="10" xfId="217" applyFont="1" applyFill="1" applyBorder="1" applyAlignment="1">
      <alignment horizontal="left" vertical="center" wrapText="1"/>
    </xf>
    <xf numFmtId="0" fontId="62" fillId="56" borderId="10" xfId="217" applyFont="1" applyFill="1" applyBorder="1" applyAlignment="1">
      <alignment horizontal="left" vertical="center"/>
    </xf>
    <xf numFmtId="0" fontId="62" fillId="61" borderId="11" xfId="217" applyFont="1" applyFill="1" applyBorder="1" applyAlignment="1">
      <alignment horizontal="left" vertical="center" wrapText="1"/>
    </xf>
    <xf numFmtId="0" fontId="62" fillId="61" borderId="21" xfId="217" applyFont="1" applyFill="1" applyBorder="1" applyAlignment="1">
      <alignment horizontal="left" vertical="center" wrapText="1"/>
    </xf>
    <xf numFmtId="0" fontId="62" fillId="62" borderId="10" xfId="217" applyFont="1" applyFill="1" applyBorder="1" applyAlignment="1">
      <alignment horizontal="left" vertical="center" wrapText="1"/>
    </xf>
    <xf numFmtId="0" fontId="62" fillId="0" borderId="10" xfId="217" applyFont="1" applyBorder="1">
      <alignment vertical="center"/>
    </xf>
    <xf numFmtId="0" fontId="62" fillId="62" borderId="11" xfId="217" applyFont="1" applyFill="1" applyBorder="1" applyAlignment="1">
      <alignment horizontal="left" vertical="center" wrapText="1"/>
    </xf>
    <xf numFmtId="0" fontId="57" fillId="56" borderId="21" xfId="217" applyFont="1" applyFill="1" applyBorder="1">
      <alignment vertical="center"/>
    </xf>
    <xf numFmtId="0" fontId="57" fillId="56" borderId="21" xfId="217" applyFont="1" applyFill="1" applyBorder="1" applyAlignment="1">
      <alignment horizontal="left" vertical="center"/>
    </xf>
    <xf numFmtId="0" fontId="57" fillId="56" borderId="0" xfId="217" applyFont="1" applyFill="1" applyAlignment="1">
      <alignment horizontal="center" vertical="center"/>
    </xf>
    <xf numFmtId="0" fontId="56" fillId="56" borderId="0" xfId="217" applyFont="1" applyFill="1" applyAlignment="1">
      <alignment horizontal="center" vertical="center"/>
    </xf>
    <xf numFmtId="0" fontId="57" fillId="63" borderId="11" xfId="217" applyFont="1" applyFill="1" applyBorder="1" applyAlignment="1">
      <alignment horizontal="center" vertical="center" wrapText="1"/>
    </xf>
    <xf numFmtId="0" fontId="25" fillId="63" borderId="11" xfId="217" applyFont="1" applyFill="1" applyBorder="1" applyAlignment="1">
      <alignment horizontal="center" vertical="center" wrapText="1"/>
    </xf>
    <xf numFmtId="0" fontId="25" fillId="64" borderId="25" xfId="217" applyFont="1" applyFill="1" applyBorder="1" applyAlignment="1">
      <alignment horizontal="center" vertical="center" wrapText="1"/>
    </xf>
    <xf numFmtId="0" fontId="65" fillId="0" borderId="11" xfId="217" applyFont="1" applyBorder="1" applyAlignment="1">
      <alignment horizontal="center" vertical="center"/>
    </xf>
    <xf numFmtId="0" fontId="66" fillId="65" borderId="11" xfId="217" applyFont="1" applyFill="1" applyBorder="1">
      <alignment vertical="center"/>
    </xf>
    <xf numFmtId="0" fontId="0" fillId="0" borderId="24" xfId="0" applyBorder="1">
      <alignment vertical="center"/>
    </xf>
    <xf numFmtId="0" fontId="60" fillId="0" borderId="0" xfId="217" applyFont="1">
      <alignment vertical="center"/>
    </xf>
    <xf numFmtId="178" fontId="60" fillId="0" borderId="0" xfId="217" applyNumberFormat="1" applyFont="1">
      <alignment vertical="center"/>
    </xf>
    <xf numFmtId="0" fontId="0" fillId="0" borderId="0" xfId="217" applyFont="1">
      <alignment vertical="center"/>
    </xf>
    <xf numFmtId="0" fontId="5" fillId="0" borderId="0" xfId="217" applyAlignment="1">
      <alignment horizontal="center" vertical="center"/>
    </xf>
    <xf numFmtId="0" fontId="5" fillId="57" borderId="0" xfId="0" applyFont="1" applyFill="1">
      <alignment vertical="center"/>
    </xf>
    <xf numFmtId="0" fontId="67" fillId="56" borderId="0" xfId="0" applyFont="1" applyFill="1">
      <alignment vertical="center"/>
    </xf>
    <xf numFmtId="49" fontId="57" fillId="0" borderId="24" xfId="0" applyNumberFormat="1" applyFont="1" applyBorder="1">
      <alignment vertical="center"/>
    </xf>
    <xf numFmtId="49" fontId="57" fillId="0" borderId="24" xfId="0" applyNumberFormat="1" applyFont="1" applyBorder="1" applyAlignment="1">
      <alignment horizontal="center" vertical="center"/>
    </xf>
    <xf numFmtId="49" fontId="57" fillId="0" borderId="24" xfId="0" quotePrefix="1" applyNumberFormat="1" applyFont="1" applyBorder="1" applyAlignment="1">
      <alignment horizontal="center" vertical="center"/>
    </xf>
    <xf numFmtId="49" fontId="57" fillId="0" borderId="26" xfId="0" quotePrefix="1" applyNumberFormat="1" applyFont="1" applyBorder="1">
      <alignment vertical="center"/>
    </xf>
    <xf numFmtId="49" fontId="57" fillId="0" borderId="26" xfId="0" quotePrefix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68" fillId="56" borderId="11" xfId="0" applyNumberFormat="1" applyFont="1" applyFill="1" applyBorder="1" applyAlignment="1">
      <alignment horizontal="center" vertical="center"/>
    </xf>
    <xf numFmtId="178" fontId="62" fillId="0" borderId="11" xfId="217" applyNumberFormat="1" applyFont="1" applyBorder="1" applyAlignment="1">
      <alignment horizontal="left" vertical="center"/>
    </xf>
    <xf numFmtId="0" fontId="70" fillId="0" borderId="0" xfId="0" applyFont="1">
      <alignment vertical="center"/>
    </xf>
    <xf numFmtId="0" fontId="8" fillId="58" borderId="30" xfId="231" applyFont="1" applyFill="1" applyBorder="1" applyAlignment="1">
      <alignment horizontal="center" vertical="center"/>
    </xf>
    <xf numFmtId="0" fontId="8" fillId="58" borderId="30" xfId="231" applyFont="1" applyFill="1" applyBorder="1" applyAlignment="1">
      <alignment horizontal="center" vertical="center" wrapText="1"/>
    </xf>
    <xf numFmtId="0" fontId="71" fillId="66" borderId="31" xfId="231" applyFont="1" applyFill="1" applyBorder="1" applyAlignment="1">
      <alignment horizontal="left" vertical="center"/>
    </xf>
    <xf numFmtId="0" fontId="2" fillId="0" borderId="0" xfId="231">
      <alignment vertical="center"/>
    </xf>
    <xf numFmtId="0" fontId="71" fillId="66" borderId="33" xfId="231" applyFont="1" applyFill="1" applyBorder="1" applyAlignment="1">
      <alignment horizontal="left" vertical="center"/>
    </xf>
    <xf numFmtId="0" fontId="71" fillId="66" borderId="35" xfId="231" applyFont="1" applyFill="1" applyBorder="1" applyAlignment="1">
      <alignment horizontal="left" vertical="center"/>
    </xf>
    <xf numFmtId="0" fontId="1" fillId="0" borderId="0" xfId="231" applyFont="1">
      <alignment vertical="center"/>
    </xf>
    <xf numFmtId="0" fontId="63" fillId="0" borderId="32" xfId="231" applyFont="1" applyBorder="1">
      <alignment vertical="center"/>
    </xf>
    <xf numFmtId="0" fontId="63" fillId="0" borderId="34" xfId="0" applyFont="1" applyBorder="1">
      <alignment vertical="center"/>
    </xf>
    <xf numFmtId="0" fontId="63" fillId="0" borderId="34" xfId="231" applyFont="1" applyBorder="1">
      <alignment vertical="center"/>
    </xf>
    <xf numFmtId="179" fontId="63" fillId="0" borderId="34" xfId="231" applyNumberFormat="1" applyFont="1" applyBorder="1">
      <alignment vertical="center"/>
    </xf>
    <xf numFmtId="179" fontId="63" fillId="0" borderId="36" xfId="231" applyNumberFormat="1" applyFont="1" applyBorder="1">
      <alignment vertical="center"/>
    </xf>
    <xf numFmtId="49" fontId="69" fillId="0" borderId="29" xfId="0" applyNumberFormat="1" applyFont="1" applyBorder="1" applyAlignment="1">
      <alignment horizontal="left" vertical="center" wrapText="1"/>
    </xf>
    <xf numFmtId="49" fontId="69" fillId="0" borderId="0" xfId="0" applyNumberFormat="1" applyFont="1" applyAlignment="1">
      <alignment horizontal="left" vertical="center" wrapText="1"/>
    </xf>
    <xf numFmtId="49" fontId="68" fillId="56" borderId="28" xfId="0" applyNumberFormat="1" applyFont="1" applyFill="1" applyBorder="1" applyAlignment="1">
      <alignment horizontal="center" vertical="center"/>
    </xf>
    <xf numFmtId="49" fontId="68" fillId="56" borderId="27" xfId="0" applyNumberFormat="1" applyFont="1" applyFill="1" applyBorder="1" applyAlignment="1">
      <alignment horizontal="center" vertical="center"/>
    </xf>
  </cellXfs>
  <cellStyles count="232">
    <cellStyle name="_9701 GE comm(rd)" xfId="102" xr:uid="{00000000-0005-0000-0000-000000000000}"/>
    <cellStyle name="_970415_GE_received" xfId="103" xr:uid="{00000000-0005-0000-0000-000001000000}"/>
    <cellStyle name="_970515received" xfId="104" xr:uid="{00000000-0005-0000-0000-000002000000}"/>
    <cellStyle name="_970615received" xfId="105" xr:uid="{00000000-0005-0000-0000-000003000000}"/>
    <cellStyle name="_9707 GE comm(rd)" xfId="106" xr:uid="{00000000-0005-0000-0000-000004000000}"/>
    <cellStyle name="_9709 GE comm(rd)" xfId="107" xr:uid="{00000000-0005-0000-0000-000005000000}"/>
    <cellStyle name="_9710 GE comm佣金總表" xfId="108" xr:uid="{00000000-0005-0000-0000-000006000000}"/>
    <cellStyle name="_9711 GE VIE-RD" xfId="109" xr:uid="{00000000-0005-0000-0000-000007000000}"/>
    <cellStyle name="_9801 GE comm" xfId="110" xr:uid="{00000000-0005-0000-0000-000008000000}"/>
    <cellStyle name="_9801 GE comm(rd)" xfId="111" xr:uid="{00000000-0005-0000-0000-000009000000}"/>
    <cellStyle name="_9802 GE comm" xfId="112" xr:uid="{00000000-0005-0000-0000-00000A000000}"/>
    <cellStyle name="_9802 GE comm(rd)" xfId="113" xr:uid="{00000000-0005-0000-0000-00000B000000}"/>
    <cellStyle name="_9803 GE comm" xfId="114" xr:uid="{00000000-0005-0000-0000-00000C000000}"/>
    <cellStyle name="_9803 GE comm(rd)" xfId="115" xr:uid="{00000000-0005-0000-0000-00000D000000}"/>
    <cellStyle name="_9804 CMB數字" xfId="116" xr:uid="{00000000-0005-0000-0000-00000E000000}"/>
    <cellStyle name="_9805 CMB佣金總表-RD" xfId="117" xr:uid="{00000000-0005-0000-0000-00000F000000}"/>
    <cellStyle name="_9805 CMB佣金總表-VIE" xfId="118" xr:uid="{00000000-0005-0000-0000-000010000000}"/>
    <cellStyle name="_9805 GE comm" xfId="119" xr:uid="{00000000-0005-0000-0000-000011000000}"/>
    <cellStyle name="_9805 GE comm(rd)" xfId="120" xr:uid="{00000000-0005-0000-0000-000012000000}"/>
    <cellStyle name="_9806 CMBGE佣金總表-RD" xfId="121" xr:uid="{00000000-0005-0000-0000-000013000000}"/>
    <cellStyle name="_9806 CMBGE佣金總表-VIE" xfId="122" xr:uid="{00000000-0005-0000-0000-000014000000}"/>
    <cellStyle name="_9806 CMB佣金總表-saving" xfId="123" xr:uid="{00000000-0005-0000-0000-000015000000}"/>
    <cellStyle name="_9807 CMBGE佣金總表-RD" xfId="124" xr:uid="{00000000-0005-0000-0000-000016000000}"/>
    <cellStyle name="_9807 CMBGE佣金總表-VIE" xfId="125" xr:uid="{00000000-0005-0000-0000-000017000000}"/>
    <cellStyle name="_9807 CMB佣金總表-saving" xfId="126" xr:uid="{00000000-0005-0000-0000-000018000000}"/>
    <cellStyle name="_ACE_GEIB佣金200806" xfId="127" xr:uid="{00000000-0005-0000-0000-000019000000}"/>
    <cellStyle name="_ACE_PA_GEIB佣金9704_D" xfId="128" xr:uid="{00000000-0005-0000-0000-00001A000000}"/>
    <cellStyle name="_cash_premium (9703)_D" xfId="129" xr:uid="{00000000-0005-0000-0000-00001B000000}"/>
    <cellStyle name="_cash_premium (9705)_D" xfId="130" xr:uid="{00000000-0005-0000-0000-00001C000000}"/>
    <cellStyle name="_COSMOS_Comm report_9712 VIE+RD" xfId="131" xr:uid="{00000000-0005-0000-0000-00001D000000}"/>
    <cellStyle name="_COSMOS_Comm report_Apr" xfId="132" xr:uid="{00000000-0005-0000-0000-00001E000000}"/>
    <cellStyle name="_COSMOS_Comm report_Aug" xfId="133" xr:uid="{00000000-0005-0000-0000-00001F000000}"/>
    <cellStyle name="_COSMOS_Comm report_Feb" xfId="134" xr:uid="{00000000-0005-0000-0000-000020000000}"/>
    <cellStyle name="_COSMOS_Comm report_Jan" xfId="135" xr:uid="{00000000-0005-0000-0000-000021000000}"/>
    <cellStyle name="_COSMOS_Comm report_Jul" xfId="136" xr:uid="{00000000-0005-0000-0000-000022000000}"/>
    <cellStyle name="_COSMOS_Comm report_Mar" xfId="137" xr:uid="{00000000-0005-0000-0000-000023000000}"/>
    <cellStyle name="_COSMOS_Comm report_Sep" xfId="138" xr:uid="{00000000-0005-0000-0000-000024000000}"/>
    <cellStyle name="_crdt_premium(9703)-D" xfId="139" xr:uid="{00000000-0005-0000-0000-000025000000}"/>
    <cellStyle name="_crdt_premium(9705)-D" xfId="140" xr:uid="{00000000-0005-0000-0000-000026000000}"/>
    <cellStyle name="_GE9702佣金報表" xfId="141" xr:uid="{00000000-0005-0000-0000-000027000000}"/>
    <cellStyle name="_GEIB佣金200805_ACE" xfId="142" xr:uid="{00000000-0005-0000-0000-000028000000}"/>
    <cellStyle name="_Metlife_萬銀98年一月獎勵金" xfId="143" xr:uid="{00000000-0005-0000-0000-000029000000}"/>
    <cellStyle name="_Metlife佣金200804" xfId="144" xr:uid="{00000000-0005-0000-0000-00002A000000}"/>
    <cellStyle name="_Metlife佣金200805" xfId="145" xr:uid="{00000000-0005-0000-0000-00002B000000}"/>
    <cellStyle name="_Metlife佣金200806" xfId="146" xr:uid="{00000000-0005-0000-0000-00002C000000}"/>
    <cellStyle name="_PPI-report_Nov(VIE+RD)" xfId="147" xr:uid="{00000000-0005-0000-0000-00002D000000}"/>
    <cellStyle name="_Revised_970715_received" xfId="148" xr:uid="{00000000-0005-0000-0000-00002E000000}"/>
    <cellStyle name="_Template_06-08" xfId="149" xr:uid="{00000000-0005-0000-0000-00002F000000}"/>
    <cellStyle name="_三商美邦佣金200804" xfId="150" xr:uid="{00000000-0005-0000-0000-000030000000}"/>
    <cellStyle name="_三商美邦佣金200805" xfId="151" xr:uid="{00000000-0005-0000-0000-000031000000}"/>
    <cellStyle name="_三商美邦佣金200806" xfId="152" xr:uid="{00000000-0005-0000-0000-000032000000}"/>
    <cellStyle name="_三商美邦佣金200806整合 (2)" xfId="153" xr:uid="{00000000-0005-0000-0000-000033000000}"/>
    <cellStyle name="_新光人壽佣金200806" xfId="154" xr:uid="{00000000-0005-0000-0000-000034000000}"/>
    <cellStyle name="2" xfId="155" xr:uid="{00000000-0005-0000-0000-000035000000}"/>
    <cellStyle name="20% - 輔色1" xfId="1" builtinId="30" customBuiltin="1"/>
    <cellStyle name="20% - 輔色1 2" xfId="43" xr:uid="{00000000-0005-0000-0000-000037000000}"/>
    <cellStyle name="20% - 輔色2" xfId="2" builtinId="34" customBuiltin="1"/>
    <cellStyle name="20% - 輔色2 2" xfId="44" xr:uid="{00000000-0005-0000-0000-000039000000}"/>
    <cellStyle name="20% - 輔色3" xfId="3" builtinId="38" customBuiltin="1"/>
    <cellStyle name="20% - 輔色3 2" xfId="45" xr:uid="{00000000-0005-0000-0000-00003B000000}"/>
    <cellStyle name="20% - 輔色4" xfId="4" builtinId="42" customBuiltin="1"/>
    <cellStyle name="20% - 輔色4 2" xfId="46" xr:uid="{00000000-0005-0000-0000-00003D000000}"/>
    <cellStyle name="20% - 輔色5" xfId="5" builtinId="46" customBuiltin="1"/>
    <cellStyle name="20% - 輔色5 2" xfId="47" xr:uid="{00000000-0005-0000-0000-00003F000000}"/>
    <cellStyle name="20% - 輔色6" xfId="6" builtinId="50" customBuiltin="1"/>
    <cellStyle name="20% - 輔色6 2" xfId="48" xr:uid="{00000000-0005-0000-0000-000041000000}"/>
    <cellStyle name="40% - 輔色1" xfId="7" builtinId="31" customBuiltin="1"/>
    <cellStyle name="40% - 輔色1 2" xfId="49" xr:uid="{00000000-0005-0000-0000-000043000000}"/>
    <cellStyle name="40% - 輔色2" xfId="8" builtinId="35" customBuiltin="1"/>
    <cellStyle name="40% - 輔色2 2" xfId="50" xr:uid="{00000000-0005-0000-0000-000045000000}"/>
    <cellStyle name="40% - 輔色3" xfId="9" builtinId="39" customBuiltin="1"/>
    <cellStyle name="40% - 輔色3 2" xfId="51" xr:uid="{00000000-0005-0000-0000-000047000000}"/>
    <cellStyle name="40% - 輔色4" xfId="10" builtinId="43" customBuiltin="1"/>
    <cellStyle name="40% - 輔色4 2" xfId="52" xr:uid="{00000000-0005-0000-0000-000049000000}"/>
    <cellStyle name="40% - 輔色5" xfId="11" builtinId="47" customBuiltin="1"/>
    <cellStyle name="40% - 輔色5 2" xfId="53" xr:uid="{00000000-0005-0000-0000-00004B000000}"/>
    <cellStyle name="40% - 輔色6" xfId="12" builtinId="51" customBuiltin="1"/>
    <cellStyle name="40% - 輔色6 2" xfId="54" xr:uid="{00000000-0005-0000-0000-00004D000000}"/>
    <cellStyle name="60% - 輔色1" xfId="13" builtinId="32" customBuiltin="1"/>
    <cellStyle name="60% - 輔色1 2" xfId="55" xr:uid="{00000000-0005-0000-0000-00004F000000}"/>
    <cellStyle name="60% - 輔色2" xfId="14" builtinId="36" customBuiltin="1"/>
    <cellStyle name="60% - 輔色2 2" xfId="56" xr:uid="{00000000-0005-0000-0000-000051000000}"/>
    <cellStyle name="60% - 輔色3" xfId="15" builtinId="40" customBuiltin="1"/>
    <cellStyle name="60% - 輔色3 2" xfId="57" xr:uid="{00000000-0005-0000-0000-000053000000}"/>
    <cellStyle name="60% - 輔色4" xfId="16" builtinId="44" customBuiltin="1"/>
    <cellStyle name="60% - 輔色4 2" xfId="58" xr:uid="{00000000-0005-0000-0000-000055000000}"/>
    <cellStyle name="60% - 輔色5" xfId="17" builtinId="48" customBuiltin="1"/>
    <cellStyle name="60% - 輔色5 2" xfId="59" xr:uid="{00000000-0005-0000-0000-000057000000}"/>
    <cellStyle name="60% - 輔色6" xfId="18" builtinId="52" customBuiltin="1"/>
    <cellStyle name="60% - 輔色6 2" xfId="60" xr:uid="{00000000-0005-0000-0000-000059000000}"/>
    <cellStyle name="Comma_'080701-'080731" xfId="156" xr:uid="{00000000-0005-0000-0000-00005A000000}"/>
    <cellStyle name="Currency_970415_GE_received" xfId="157" xr:uid="{00000000-0005-0000-0000-00005B000000}"/>
    <cellStyle name="Header1" xfId="158" xr:uid="{00000000-0005-0000-0000-00005C000000}"/>
    <cellStyle name="Header2" xfId="159" xr:uid="{00000000-0005-0000-0000-00005D000000}"/>
    <cellStyle name="Hyperlink" xfId="160" xr:uid="{00000000-0005-0000-0000-00005E000000}"/>
    <cellStyle name="Normal - Style1" xfId="161" xr:uid="{00000000-0005-0000-0000-00005F000000}"/>
    <cellStyle name="Normal_0201-0229" xfId="162" xr:uid="{00000000-0005-0000-0000-000060000000}"/>
    <cellStyle name="OUTPUTNORMAL" xfId="163" xr:uid="{00000000-0005-0000-0000-000061000000}"/>
    <cellStyle name="一般" xfId="0" builtinId="0"/>
    <cellStyle name="一般 10" xfId="221" xr:uid="{00000000-0005-0000-0000-000063000000}"/>
    <cellStyle name="一般 11" xfId="222" xr:uid="{00000000-0005-0000-0000-000064000000}"/>
    <cellStyle name="一般 12" xfId="223" xr:uid="{00000000-0005-0000-0000-000065000000}"/>
    <cellStyle name="一般 13" xfId="224" xr:uid="{00000000-0005-0000-0000-000066000000}"/>
    <cellStyle name="一般 14" xfId="225" xr:uid="{00000000-0005-0000-0000-000067000000}"/>
    <cellStyle name="一般 15" xfId="231" xr:uid="{27704F61-2949-464B-BACC-53873686AAC0}"/>
    <cellStyle name="一般 2" xfId="42" xr:uid="{00000000-0005-0000-0000-000068000000}"/>
    <cellStyle name="一般 2 2" xfId="61" xr:uid="{00000000-0005-0000-0000-000069000000}"/>
    <cellStyle name="一般 2 3" xfId="62" xr:uid="{00000000-0005-0000-0000-00006A000000}"/>
    <cellStyle name="一般 2 3 2" xfId="63" xr:uid="{00000000-0005-0000-0000-00006B000000}"/>
    <cellStyle name="一般 2 3 2 2" xfId="164" xr:uid="{00000000-0005-0000-0000-00006C000000}"/>
    <cellStyle name="一般 2 3 3" xfId="218" xr:uid="{00000000-0005-0000-0000-00006D000000}"/>
    <cellStyle name="一般 2 4" xfId="64" xr:uid="{00000000-0005-0000-0000-00006E000000}"/>
    <cellStyle name="一般 2 4 2" xfId="226" xr:uid="{00000000-0005-0000-0000-00006F000000}"/>
    <cellStyle name="一般 2 5" xfId="227" xr:uid="{00000000-0005-0000-0000-000070000000}"/>
    <cellStyle name="一般 2_CAPROT1F" xfId="228" xr:uid="{00000000-0005-0000-0000-000071000000}"/>
    <cellStyle name="一般 3" xfId="65" xr:uid="{00000000-0005-0000-0000-000072000000}"/>
    <cellStyle name="一般 3 2" xfId="165" xr:uid="{00000000-0005-0000-0000-000073000000}"/>
    <cellStyle name="一般 3_OPCheck公版" xfId="166" xr:uid="{00000000-0005-0000-0000-000074000000}"/>
    <cellStyle name="一般 4" xfId="66" xr:uid="{00000000-0005-0000-0000-000075000000}"/>
    <cellStyle name="一般 4 2" xfId="167" xr:uid="{00000000-0005-0000-0000-000076000000}"/>
    <cellStyle name="一般 5" xfId="67" xr:uid="{00000000-0005-0000-0000-000077000000}"/>
    <cellStyle name="一般 5 2" xfId="217" xr:uid="{00000000-0005-0000-0000-000078000000}"/>
    <cellStyle name="一般 6" xfId="101" xr:uid="{00000000-0005-0000-0000-000079000000}"/>
    <cellStyle name="一般 7" xfId="219" xr:uid="{00000000-0005-0000-0000-00007A000000}"/>
    <cellStyle name="一般 8" xfId="229" xr:uid="{00000000-0005-0000-0000-00007B000000}"/>
    <cellStyle name="一般 9" xfId="230" xr:uid="{00000000-0005-0000-0000-00007C000000}"/>
    <cellStyle name="千分位 2" xfId="68" xr:uid="{00000000-0005-0000-0000-00007D000000}"/>
    <cellStyle name="中等" xfId="19" builtinId="28" customBuiltin="1"/>
    <cellStyle name="中等 2" xfId="69" xr:uid="{00000000-0005-0000-0000-00007F000000}"/>
    <cellStyle name="合計" xfId="20" builtinId="25" customBuiltin="1"/>
    <cellStyle name="合計 2" xfId="70" xr:uid="{00000000-0005-0000-0000-000081000000}"/>
    <cellStyle name="好" xfId="21" builtinId="26" customBuiltin="1"/>
    <cellStyle name="好 2" xfId="71" xr:uid="{00000000-0005-0000-0000-000083000000}"/>
    <cellStyle name="好 3" xfId="72" xr:uid="{00000000-0005-0000-0000-000084000000}"/>
    <cellStyle name="好_0911磐石國" xfId="168" xr:uid="{00000000-0005-0000-0000-000085000000}"/>
    <cellStyle name="好_0913磐石高一補" xfId="169" xr:uid="{00000000-0005-0000-0000-000086000000}"/>
    <cellStyle name="好_0913磐石高備" xfId="170" xr:uid="{00000000-0005-0000-0000-000087000000}"/>
    <cellStyle name="好_0913磐石進修補" xfId="171" xr:uid="{00000000-0005-0000-0000-000088000000}"/>
    <cellStyle name="好_0914磐石高家" xfId="172" xr:uid="{00000000-0005-0000-0000-000089000000}"/>
    <cellStyle name="好_0915磐石高" xfId="173" xr:uid="{00000000-0005-0000-0000-00008A000000}"/>
    <cellStyle name="好_0915磐石高一補" xfId="174" xr:uid="{00000000-0005-0000-0000-00008B000000}"/>
    <cellStyle name="好_0915磐石國" xfId="175" xr:uid="{00000000-0005-0000-0000-00008C000000}"/>
    <cellStyle name="好_0915磐石進" xfId="176" xr:uid="{00000000-0005-0000-0000-00008D000000}"/>
    <cellStyle name="好_0915磐石進備" xfId="177" xr:uid="{00000000-0005-0000-0000-00008E000000}"/>
    <cellStyle name="好_2270大興高職" xfId="178" xr:uid="{00000000-0005-0000-0000-00008F000000}"/>
    <cellStyle name="好_2271大興交通" xfId="179" xr:uid="{00000000-0005-0000-0000-000090000000}"/>
    <cellStyle name="好_main_new修改" xfId="180" xr:uid="{00000000-0005-0000-0000-000091000000}"/>
    <cellStyle name="好_OPCheck公版" xfId="181" xr:uid="{00000000-0005-0000-0000-000092000000}"/>
    <cellStyle name="好_大成日sheet1" xfId="182" xr:uid="{00000000-0005-0000-0000-000093000000}"/>
    <cellStyle name="好_大成高日5207" xfId="183" xr:uid="{00000000-0005-0000-0000-000094000000}"/>
    <cellStyle name="好_大成高夜5207" xfId="184" xr:uid="{00000000-0005-0000-0000-000095000000}"/>
    <cellStyle name="好_大倫5019" xfId="185" xr:uid="{00000000-0005-0000-0000-000096000000}"/>
    <cellStyle name="好_大倫課5029" xfId="186" xr:uid="{00000000-0005-0000-0000-000097000000}"/>
    <cellStyle name="好_中山1011" xfId="187" xr:uid="{00000000-0005-0000-0000-000098000000}"/>
    <cellStyle name="好_分區表" xfId="73" xr:uid="{00000000-0005-0000-0000-000099000000}"/>
    <cellStyle name="好_分區表1" xfId="74" xr:uid="{00000000-0005-0000-0000-00009A000000}"/>
    <cellStyle name="好_分區表D-27G" xfId="75" xr:uid="{00000000-0005-0000-0000-00009B000000}"/>
    <cellStyle name="好_斗煥(5214)" xfId="188" xr:uid="{00000000-0005-0000-0000-00009C000000}"/>
    <cellStyle name="好_北門0801" xfId="189" xr:uid="{00000000-0005-0000-0000-00009D000000}"/>
    <cellStyle name="好_竹東(合作社)1014" xfId="190" xr:uid="{00000000-0005-0000-0000-00009E000000}"/>
    <cellStyle name="好_竹東1007" xfId="191" xr:uid="{00000000-0005-0000-0000-00009F000000}"/>
    <cellStyle name="好_竹東校1007" xfId="192" xr:uid="{00000000-0005-0000-0000-0000A0000000}"/>
    <cellStyle name="好_育民5071(日間)" xfId="193" xr:uid="{00000000-0005-0000-0000-0000A1000000}"/>
    <cellStyle name="好_育民5071(夜間)" xfId="194" xr:uid="{00000000-0005-0000-0000-0000A2000000}"/>
    <cellStyle name="好_明仁5011" xfId="195" xr:uid="{00000000-0005-0000-0000-0000A3000000}"/>
    <cellStyle name="好_明仁暑0050" xfId="196" xr:uid="{00000000-0005-0000-0000-0000A4000000}"/>
    <cellStyle name="好_建台(5070)(高中)" xfId="197" xr:uid="{00000000-0005-0000-0000-0000A5000000}"/>
    <cellStyle name="好_建台(5070)差額" xfId="198" xr:uid="{00000000-0005-0000-0000-0000A6000000}"/>
    <cellStyle name="好_建台(5070)差額高" xfId="199" xr:uid="{00000000-0005-0000-0000-0000A7000000}"/>
    <cellStyle name="好_建台(5070)減高" xfId="200" xr:uid="{00000000-0005-0000-0000-0000A8000000}"/>
    <cellStyle name="好_建台(5070)減綜" xfId="201" xr:uid="{00000000-0005-0000-0000-0000A9000000}"/>
    <cellStyle name="好_建台(5070)無高" xfId="202" xr:uid="{00000000-0005-0000-0000-0000AA000000}"/>
    <cellStyle name="好_建台(5070)無綜" xfId="203" xr:uid="{00000000-0005-0000-0000-0000AB000000}"/>
    <cellStyle name="好_建國(5209)" xfId="204" xr:uid="{00000000-0005-0000-0000-0000AC000000}"/>
    <cellStyle name="好_建國小5211" xfId="205" xr:uid="{00000000-0005-0000-0000-0000AD000000}"/>
    <cellStyle name="好_建國校警費(5212)" xfId="206" xr:uid="{00000000-0005-0000-0000-0000AE000000}"/>
    <cellStyle name="好_缺號明細表" xfId="207" xr:uid="{00000000-0005-0000-0000-0000AF000000}"/>
    <cellStyle name="好_缺號表-2" xfId="76" xr:uid="{00000000-0005-0000-0000-0000B0000000}"/>
    <cellStyle name="好_惠文8306" xfId="208" xr:uid="{00000000-0005-0000-0000-0000B1000000}"/>
    <cellStyle name="好_惠文8306午" xfId="209" xr:uid="{00000000-0005-0000-0000-0000B2000000}"/>
    <cellStyle name="好_惠文代8306" xfId="210" xr:uid="{00000000-0005-0000-0000-0000B3000000}"/>
    <cellStyle name="好_新坡(4601)" xfId="211" xr:uid="{00000000-0005-0000-0000-0000B4000000}"/>
    <cellStyle name="好_磐石高家0914" xfId="212" xr:uid="{00000000-0005-0000-0000-0000B5000000}"/>
    <cellStyle name="好_磐石國家0914" xfId="213" xr:uid="{00000000-0005-0000-0000-0000B6000000}"/>
    <cellStyle name="好_頭份(5215)" xfId="214" xr:uid="{00000000-0005-0000-0000-0000B7000000}"/>
    <cellStyle name="計算方式" xfId="22" builtinId="22" customBuiltin="1"/>
    <cellStyle name="計算方式 2" xfId="77" xr:uid="{00000000-0005-0000-0000-0000B9000000}"/>
    <cellStyle name="連結的儲存格" xfId="23" builtinId="24" customBuiltin="1"/>
    <cellStyle name="連結的儲存格 2" xfId="78" xr:uid="{00000000-0005-0000-0000-0000BB000000}"/>
    <cellStyle name="備註" xfId="24" builtinId="10" customBuiltin="1"/>
    <cellStyle name="備註 2" xfId="79" xr:uid="{00000000-0005-0000-0000-0000BD000000}"/>
    <cellStyle name="超連結" xfId="220" builtinId="8"/>
    <cellStyle name="說明文字" xfId="25" builtinId="53" customBuiltin="1"/>
    <cellStyle name="說明文字 2" xfId="80" xr:uid="{00000000-0005-0000-0000-0000C0000000}"/>
    <cellStyle name="輔色1" xfId="26" builtinId="29" customBuiltin="1"/>
    <cellStyle name="輔色1 2" xfId="81" xr:uid="{00000000-0005-0000-0000-0000C2000000}"/>
    <cellStyle name="輔色2" xfId="27" builtinId="33" customBuiltin="1"/>
    <cellStyle name="輔色2 2" xfId="82" xr:uid="{00000000-0005-0000-0000-0000C4000000}"/>
    <cellStyle name="輔色3" xfId="28" builtinId="37" customBuiltin="1"/>
    <cellStyle name="輔色3 2" xfId="83" xr:uid="{00000000-0005-0000-0000-0000C6000000}"/>
    <cellStyle name="輔色4" xfId="29" builtinId="41" customBuiltin="1"/>
    <cellStyle name="輔色4 2" xfId="84" xr:uid="{00000000-0005-0000-0000-0000C8000000}"/>
    <cellStyle name="輔色5" xfId="30" builtinId="45" customBuiltin="1"/>
    <cellStyle name="輔色5 2" xfId="85" xr:uid="{00000000-0005-0000-0000-0000CA000000}"/>
    <cellStyle name="輔色6" xfId="31" builtinId="49" customBuiltin="1"/>
    <cellStyle name="輔色6 2" xfId="86" xr:uid="{00000000-0005-0000-0000-0000CC000000}"/>
    <cellStyle name="標題" xfId="32" builtinId="15" customBuiltin="1"/>
    <cellStyle name="標題 1" xfId="33" builtinId="16" customBuiltin="1"/>
    <cellStyle name="標題 1 2" xfId="87" xr:uid="{00000000-0005-0000-0000-0000CF000000}"/>
    <cellStyle name="標題 2" xfId="34" builtinId="17" customBuiltin="1"/>
    <cellStyle name="標題 2 2" xfId="88" xr:uid="{00000000-0005-0000-0000-0000D1000000}"/>
    <cellStyle name="標題 3" xfId="35" builtinId="18" customBuiltin="1"/>
    <cellStyle name="標題 3 2" xfId="89" xr:uid="{00000000-0005-0000-0000-0000D3000000}"/>
    <cellStyle name="標題 4" xfId="36" builtinId="19" customBuiltin="1"/>
    <cellStyle name="標題 4 2" xfId="90" xr:uid="{00000000-0005-0000-0000-0000D5000000}"/>
    <cellStyle name="標題 5" xfId="91" xr:uid="{00000000-0005-0000-0000-0000D6000000}"/>
    <cellStyle name="樣式 1" xfId="215" xr:uid="{00000000-0005-0000-0000-0000D7000000}"/>
    <cellStyle name="樣式 2" xfId="216" xr:uid="{00000000-0005-0000-0000-0000D8000000}"/>
    <cellStyle name="輸入" xfId="37" builtinId="20" customBuiltin="1"/>
    <cellStyle name="輸入 2" xfId="92" xr:uid="{00000000-0005-0000-0000-0000DA000000}"/>
    <cellStyle name="輸出" xfId="38" builtinId="21" customBuiltin="1"/>
    <cellStyle name="輸出 2" xfId="93" xr:uid="{00000000-0005-0000-0000-0000DC000000}"/>
    <cellStyle name="檢查儲存格" xfId="39" builtinId="23" customBuiltin="1"/>
    <cellStyle name="檢查儲存格 2" xfId="94" xr:uid="{00000000-0005-0000-0000-0000DE000000}"/>
    <cellStyle name="壞" xfId="40" builtinId="27" customBuiltin="1"/>
    <cellStyle name="壞 2" xfId="95" xr:uid="{00000000-0005-0000-0000-0000E0000000}"/>
    <cellStyle name="壞_分區表" xfId="96" xr:uid="{00000000-0005-0000-0000-0000E1000000}"/>
    <cellStyle name="壞_分區表1" xfId="97" xr:uid="{00000000-0005-0000-0000-0000E2000000}"/>
    <cellStyle name="壞_分區表D-27G" xfId="98" xr:uid="{00000000-0005-0000-0000-0000E3000000}"/>
    <cellStyle name="壞_缺號表-2" xfId="99" xr:uid="{00000000-0005-0000-0000-0000E4000000}"/>
    <cellStyle name="警告文字" xfId="41" builtinId="11" customBuiltin="1"/>
    <cellStyle name="警告文字 2" xfId="100" xr:uid="{00000000-0005-0000-0000-0000E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134408</xdr:colOff>
      <xdr:row>1</xdr:row>
      <xdr:rowOff>76200</xdr:rowOff>
    </xdr:from>
    <xdr:to>
      <xdr:col>0</xdr:col>
      <xdr:colOff>1791758</xdr:colOff>
      <xdr:row>1</xdr:row>
      <xdr:rowOff>438150</xdr:rowOff>
    </xdr:to>
    <xdr:sp macro="[0]!PNT_TXT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34408" y="700617"/>
          <a:ext cx="1657350" cy="361950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PNT</a:t>
          </a:r>
          <a:r>
            <a:rPr lang="zh-TW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拆檔</a:t>
          </a:r>
          <a:endParaRPr lang="zh-TW" altLang="zh-TW">
            <a:effectLst/>
          </a:endParaRPr>
        </a:p>
      </xdr:txBody>
    </xdr:sp>
    <xdr:clientData/>
  </xdr:twoCellAnchor>
  <xdr:twoCellAnchor>
    <xdr:from>
      <xdr:col>0</xdr:col>
      <xdr:colOff>134408</xdr:colOff>
      <xdr:row>3</xdr:row>
      <xdr:rowOff>74084</xdr:rowOff>
    </xdr:from>
    <xdr:to>
      <xdr:col>0</xdr:col>
      <xdr:colOff>1791758</xdr:colOff>
      <xdr:row>3</xdr:row>
      <xdr:rowOff>436034</xdr:rowOff>
    </xdr:to>
    <xdr:sp macro="[0]!回檔" textlink="">
      <xdr:nvSpPr>
        <xdr:cNvPr id="3" name="文字方塊 2">
          <a:extLst>
            <a:ext uri="{FF2B5EF4-FFF2-40B4-BE49-F238E27FC236}">
              <a16:creationId xmlns:a16="http://schemas.microsoft.com/office/drawing/2014/main" id="{18880F37-B3B6-423E-9ADD-CED6CDAA7BBC}"/>
            </a:ext>
          </a:extLst>
        </xdr:cNvPr>
        <xdr:cNvSpPr txBox="1"/>
      </xdr:nvSpPr>
      <xdr:spPr>
        <a:xfrm>
          <a:off x="134408" y="1418167"/>
          <a:ext cx="1657350" cy="3619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回檔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</a:t>
          </a:r>
          <a:endParaRPr lang="zh-TW" altLang="zh-TW">
            <a:effectLst/>
          </a:endParaRPr>
        </a:p>
      </xdr:txBody>
    </xdr:sp>
    <xdr:clientData/>
  </xdr:twoCellAnchor>
  <xdr:twoCellAnchor>
    <xdr:from>
      <xdr:col>5</xdr:col>
      <xdr:colOff>105834</xdr:colOff>
      <xdr:row>0</xdr:row>
      <xdr:rowOff>84667</xdr:rowOff>
    </xdr:from>
    <xdr:to>
      <xdr:col>5</xdr:col>
      <xdr:colOff>603251</xdr:colOff>
      <xdr:row>0</xdr:row>
      <xdr:rowOff>539751</xdr:rowOff>
    </xdr:to>
    <xdr:sp macro="[0]!fTSTList" textlink="">
      <xdr:nvSpPr>
        <xdr:cNvPr id="4" name="矩形 3">
          <a:extLst>
            <a:ext uri="{FF2B5EF4-FFF2-40B4-BE49-F238E27FC236}">
              <a16:creationId xmlns:a16="http://schemas.microsoft.com/office/drawing/2014/main" id="{5505C1BE-4396-4A58-82FA-651A7115EC73}"/>
            </a:ext>
          </a:extLst>
        </xdr:cNvPr>
        <xdr:cNvSpPr/>
      </xdr:nvSpPr>
      <xdr:spPr>
        <a:xfrm>
          <a:off x="9091084" y="84667"/>
          <a:ext cx="497417" cy="45508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/>
            <a:t>抽測名單</a:t>
          </a:r>
        </a:p>
      </xdr:txBody>
    </xdr:sp>
    <xdr:clientData/>
  </xdr:twoCellAnchor>
  <xdr:twoCellAnchor>
    <xdr:from>
      <xdr:col>0</xdr:col>
      <xdr:colOff>134408</xdr:colOff>
      <xdr:row>5</xdr:row>
      <xdr:rowOff>74084</xdr:rowOff>
    </xdr:from>
    <xdr:to>
      <xdr:col>0</xdr:col>
      <xdr:colOff>1791758</xdr:colOff>
      <xdr:row>5</xdr:row>
      <xdr:rowOff>436034</xdr:rowOff>
    </xdr:to>
    <xdr:sp macro="[0]!fRun_Bats" textlink="">
      <xdr:nvSpPr>
        <xdr:cNvPr id="5" name="文字方塊 4">
          <a:extLst>
            <a:ext uri="{FF2B5EF4-FFF2-40B4-BE49-F238E27FC236}">
              <a16:creationId xmlns:a16="http://schemas.microsoft.com/office/drawing/2014/main" id="{1271E9DC-48E4-4EC7-9B2C-4123E47C21E4}"/>
            </a:ext>
          </a:extLst>
        </xdr:cNvPr>
        <xdr:cNvSpPr txBox="1"/>
      </xdr:nvSpPr>
      <xdr:spPr>
        <a:xfrm>
          <a:off x="134408" y="1418167"/>
          <a:ext cx="1657350" cy="3619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執行批次</a:t>
          </a:r>
          <a:endParaRPr lang="zh-TW" altLang="zh-TW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19050</xdr:rowOff>
    </xdr:from>
    <xdr:to>
      <xdr:col>7</xdr:col>
      <xdr:colOff>1609725</xdr:colOff>
      <xdr:row>1</xdr:row>
      <xdr:rowOff>0</xdr:rowOff>
    </xdr:to>
    <xdr:sp macro="[0]!PNT_TC_M_new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5115520" y="19050"/>
          <a:ext cx="1609725" cy="80391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2800"/>
            <a:t>RUN</a:t>
          </a:r>
          <a:endParaRPr lang="zh-TW" altLang="en-US" sz="2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209550</xdr:colOff>
      <xdr:row>0</xdr:row>
      <xdr:rowOff>114300</xdr:rowOff>
    </xdr:from>
    <xdr:to>
      <xdr:col>14</xdr:col>
      <xdr:colOff>638175</xdr:colOff>
      <xdr:row>1</xdr:row>
      <xdr:rowOff>180975</xdr:rowOff>
    </xdr:to>
    <xdr:sp macro="[0]!SaveChkRectNote" textlink="">
      <xdr:nvSpPr>
        <xdr:cNvPr id="2" name="圓角矩形 1">
          <a:extLst>
            <a:ext uri="{FF2B5EF4-FFF2-40B4-BE49-F238E27FC236}">
              <a16:creationId xmlns:a16="http://schemas.microsoft.com/office/drawing/2014/main" id="{3C3CE56F-E17E-43FD-9D64-1A95F5C23AAD}"/>
            </a:ext>
          </a:extLst>
        </xdr:cNvPr>
        <xdr:cNvSpPr/>
      </xdr:nvSpPr>
      <xdr:spPr>
        <a:xfrm>
          <a:off x="15478125" y="114300"/>
          <a:ext cx="1800225" cy="5048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>
              <a:latin typeface="微軟正黑體" panose="020B0604030504040204" pitchFamily="34" charset="-120"/>
              <a:ea typeface="微軟正黑體" panose="020B0604030504040204" pitchFamily="34" charset="-120"/>
            </a:rPr>
            <a:t>另存</a:t>
          </a:r>
          <a:r>
            <a:rPr lang="en-US" altLang="zh-TW" sz="1200">
              <a:latin typeface="微軟正黑體" panose="020B0604030504040204" pitchFamily="34" charset="-120"/>
              <a:ea typeface="微軟正黑體" panose="020B0604030504040204" pitchFamily="34" charset="-120"/>
            </a:rPr>
            <a:t>ChkRectNote</a:t>
          </a:r>
          <a:endParaRPr lang="zh-TW" altLang="en-US" sz="12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v013dataaege\shared\FINANCE\Wu\Reconciliation\AR%20reconciliation%20-%20May%20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qwin95dsk308\gecc%2010-12\My%20Documents\Breakdown\99\ac%20recon\069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g0ashirley\&#26700;&#38754;\ASIAPACIFIC_INQUIRY_V8I_V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324019315\My%20Documents\D&#20659;&#31080;\Financial%20statement\APSS_XLINQ_V3_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igation Page"/>
      <sheetName val="Reconciliation Page"/>
      <sheetName val="Summary"/>
      <sheetName val="00 - Parent"/>
      <sheetName val="20 - GEAE Tech"/>
      <sheetName val="30 - Service"/>
      <sheetName val="80 - GEII"/>
      <sheetName val="GA - Miami"/>
      <sheetName val="GN - Dallas"/>
      <sheetName val="GP - McAllen"/>
      <sheetName val="T0 - Spares"/>
      <sheetName val="U0 - Onwing"/>
      <sheetName val="1H-1J-1Q"/>
      <sheetName val="JE10310X"/>
      <sheetName val="10310X detail"/>
      <sheetName val="10310X Pivo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1">
          <cell r="A1" t="str">
            <v>Acct #</v>
          </cell>
          <cell r="B1" t="str">
            <v>Amount</v>
          </cell>
        </row>
        <row r="2">
          <cell r="A2" t="str">
            <v>0003000000000</v>
          </cell>
          <cell r="B2">
            <v>-3580</v>
          </cell>
        </row>
        <row r="3">
          <cell r="A3" t="str">
            <v>00030041UD000</v>
          </cell>
          <cell r="B3">
            <v>-178552.2</v>
          </cell>
        </row>
        <row r="4">
          <cell r="A4" t="str">
            <v>0003010000000</v>
          </cell>
          <cell r="B4">
            <v>0</v>
          </cell>
        </row>
        <row r="5">
          <cell r="A5" t="str">
            <v>00030100B10G0</v>
          </cell>
          <cell r="B5">
            <v>0</v>
          </cell>
        </row>
        <row r="6">
          <cell r="A6" t="str">
            <v>00030100D30D0</v>
          </cell>
          <cell r="B6">
            <v>-9617</v>
          </cell>
        </row>
        <row r="7">
          <cell r="A7" t="str">
            <v>00030100XB0C0</v>
          </cell>
          <cell r="B7">
            <v>98400.58</v>
          </cell>
        </row>
        <row r="8">
          <cell r="A8" t="str">
            <v>0003030000000</v>
          </cell>
          <cell r="B8">
            <v>12759.1</v>
          </cell>
        </row>
        <row r="9">
          <cell r="A9" t="str">
            <v>00030300A60C0</v>
          </cell>
          <cell r="B9">
            <v>-116384.35</v>
          </cell>
        </row>
        <row r="10">
          <cell r="A10" t="str">
            <v>00030300A80C0</v>
          </cell>
          <cell r="B10">
            <v>-115419.21</v>
          </cell>
        </row>
        <row r="11">
          <cell r="A11" t="str">
            <v>00030300B10C0</v>
          </cell>
          <cell r="B11">
            <v>-34565.01</v>
          </cell>
        </row>
        <row r="12">
          <cell r="A12" t="str">
            <v>00030300B20C0</v>
          </cell>
          <cell r="B12">
            <v>-139702.81</v>
          </cell>
        </row>
        <row r="13">
          <cell r="A13" t="str">
            <v>00030300D50D0</v>
          </cell>
          <cell r="B13">
            <v>-14534</v>
          </cell>
        </row>
        <row r="14">
          <cell r="A14" t="str">
            <v>00030300D80D0</v>
          </cell>
          <cell r="B14">
            <v>-73684.259999999995</v>
          </cell>
        </row>
        <row r="15">
          <cell r="A15" t="str">
            <v>00030300D90D0</v>
          </cell>
          <cell r="B15">
            <v>-3580</v>
          </cell>
        </row>
        <row r="16">
          <cell r="A16" t="str">
            <v>00030300DA0D0</v>
          </cell>
          <cell r="B16">
            <v>-1305</v>
          </cell>
        </row>
        <row r="17">
          <cell r="A17" t="str">
            <v>00030300EC0H0</v>
          </cell>
          <cell r="B17">
            <v>-3150</v>
          </cell>
        </row>
        <row r="18">
          <cell r="A18" t="str">
            <v>00030300FC000</v>
          </cell>
          <cell r="B18">
            <v>112150.91</v>
          </cell>
        </row>
        <row r="19">
          <cell r="A19" t="str">
            <v>00030300J2CC0</v>
          </cell>
          <cell r="B19">
            <v>-87498.52</v>
          </cell>
        </row>
        <row r="20">
          <cell r="A20" t="str">
            <v>00030300J2CY0</v>
          </cell>
          <cell r="B20">
            <v>-95494.64</v>
          </cell>
        </row>
        <row r="21">
          <cell r="A21" t="str">
            <v>00030300J6CC0</v>
          </cell>
          <cell r="B21">
            <v>-132482.54</v>
          </cell>
        </row>
        <row r="22">
          <cell r="A22" t="str">
            <v>00030300J9CY0</v>
          </cell>
          <cell r="B22">
            <v>-31908.55</v>
          </cell>
        </row>
        <row r="23">
          <cell r="A23" t="str">
            <v>00030300WC0H0</v>
          </cell>
          <cell r="B23">
            <v>405</v>
          </cell>
        </row>
        <row r="24">
          <cell r="A24" t="str">
            <v>00030300Y90C0</v>
          </cell>
          <cell r="B24">
            <v>549089.5</v>
          </cell>
        </row>
        <row r="25">
          <cell r="A25" t="str">
            <v>00030300YN0C0</v>
          </cell>
          <cell r="B25">
            <v>505871.25</v>
          </cell>
        </row>
        <row r="26">
          <cell r="A26" t="str">
            <v>00030300Z90G0</v>
          </cell>
          <cell r="B26">
            <v>59618.25</v>
          </cell>
        </row>
        <row r="27">
          <cell r="A27" t="str">
            <v>0003031000000</v>
          </cell>
          <cell r="B27">
            <v>-9179.1</v>
          </cell>
        </row>
        <row r="28">
          <cell r="A28" t="str">
            <v>00030310A60C0</v>
          </cell>
          <cell r="B28">
            <v>116384.35</v>
          </cell>
        </row>
        <row r="29">
          <cell r="A29" t="str">
            <v>00030310A80C0</v>
          </cell>
          <cell r="B29">
            <v>115419.21</v>
          </cell>
        </row>
        <row r="30">
          <cell r="A30" t="str">
            <v>00030310B10C0</v>
          </cell>
          <cell r="B30">
            <v>34565.01</v>
          </cell>
        </row>
        <row r="31">
          <cell r="A31" t="str">
            <v>00030310B10G0</v>
          </cell>
          <cell r="B31">
            <v>0</v>
          </cell>
        </row>
        <row r="32">
          <cell r="A32" t="str">
            <v>00030310B20C0</v>
          </cell>
          <cell r="B32">
            <v>139702.81</v>
          </cell>
        </row>
        <row r="33">
          <cell r="A33" t="str">
            <v>00030310D30D0</v>
          </cell>
          <cell r="B33">
            <v>9617</v>
          </cell>
        </row>
        <row r="34">
          <cell r="A34" t="str">
            <v>00030310D50D0</v>
          </cell>
          <cell r="B34">
            <v>14534</v>
          </cell>
        </row>
        <row r="35">
          <cell r="A35" t="str">
            <v>00030310D80D0</v>
          </cell>
          <cell r="B35">
            <v>73684.259999999995</v>
          </cell>
        </row>
        <row r="36">
          <cell r="A36" t="str">
            <v>00030310D90D0</v>
          </cell>
          <cell r="B36">
            <v>3580</v>
          </cell>
        </row>
        <row r="37">
          <cell r="A37" t="str">
            <v>00030310DA0D0</v>
          </cell>
          <cell r="B37">
            <v>1305</v>
          </cell>
        </row>
        <row r="38">
          <cell r="A38" t="str">
            <v>00030310EC0H0</v>
          </cell>
          <cell r="B38">
            <v>3150</v>
          </cell>
        </row>
        <row r="39">
          <cell r="A39" t="str">
            <v>00030310FC000</v>
          </cell>
          <cell r="B39">
            <v>-112150.91</v>
          </cell>
        </row>
        <row r="40">
          <cell r="A40" t="str">
            <v>00030310J2CC0</v>
          </cell>
          <cell r="B40">
            <v>87498.52</v>
          </cell>
        </row>
        <row r="41">
          <cell r="A41" t="str">
            <v>00030310J2CY0</v>
          </cell>
          <cell r="B41">
            <v>95494.64</v>
          </cell>
        </row>
        <row r="42">
          <cell r="A42" t="str">
            <v>00030310J6CC0</v>
          </cell>
          <cell r="B42">
            <v>132482.54</v>
          </cell>
        </row>
        <row r="43">
          <cell r="A43" t="str">
            <v>00030310J9CY0</v>
          </cell>
          <cell r="B43">
            <v>31908.55</v>
          </cell>
        </row>
        <row r="44">
          <cell r="A44" t="str">
            <v>00030310UD000</v>
          </cell>
          <cell r="B44">
            <v>178552.2</v>
          </cell>
        </row>
        <row r="45">
          <cell r="A45" t="str">
            <v>00030310WC0H0</v>
          </cell>
          <cell r="B45">
            <v>-405</v>
          </cell>
        </row>
        <row r="46">
          <cell r="A46" t="str">
            <v>00030310XB0C0</v>
          </cell>
          <cell r="B46">
            <v>-98400.58</v>
          </cell>
        </row>
        <row r="47">
          <cell r="A47" t="str">
            <v>00030310Y90C0</v>
          </cell>
          <cell r="B47">
            <v>-549089.5</v>
          </cell>
        </row>
        <row r="48">
          <cell r="A48" t="str">
            <v>00030310YN0C0</v>
          </cell>
          <cell r="B48">
            <v>-505871.25</v>
          </cell>
        </row>
        <row r="49">
          <cell r="A49" t="str">
            <v>00030310Z90G0</v>
          </cell>
          <cell r="B49">
            <v>-59618.25</v>
          </cell>
        </row>
        <row r="50">
          <cell r="A50" t="str">
            <v>1D030063R1GZ0</v>
          </cell>
          <cell r="B50">
            <v>-155823.92000000001</v>
          </cell>
        </row>
        <row r="51">
          <cell r="A51" t="str">
            <v>1D030310R1GZ0</v>
          </cell>
          <cell r="B51">
            <v>155823.92000000001</v>
          </cell>
        </row>
        <row r="52">
          <cell r="A52" t="str">
            <v>3003010000000</v>
          </cell>
          <cell r="B52">
            <v>0</v>
          </cell>
        </row>
        <row r="53">
          <cell r="A53" t="str">
            <v>30030100UB000</v>
          </cell>
          <cell r="B53">
            <v>0</v>
          </cell>
        </row>
        <row r="54">
          <cell r="A54" t="str">
            <v>30030100WT000</v>
          </cell>
          <cell r="B54">
            <v>0</v>
          </cell>
        </row>
        <row r="55">
          <cell r="A55" t="str">
            <v>30030300UB0H0</v>
          </cell>
          <cell r="B55">
            <v>0</v>
          </cell>
        </row>
        <row r="56">
          <cell r="A56" t="str">
            <v>30030300UF300</v>
          </cell>
          <cell r="B56">
            <v>0</v>
          </cell>
        </row>
        <row r="57">
          <cell r="A57" t="str">
            <v>30030300WC0H0</v>
          </cell>
          <cell r="B57">
            <v>3442.5</v>
          </cell>
        </row>
        <row r="58">
          <cell r="A58" t="str">
            <v>30030300WN0H0</v>
          </cell>
          <cell r="B58">
            <v>0</v>
          </cell>
        </row>
        <row r="59">
          <cell r="A59" t="str">
            <v>30030300WT0H0</v>
          </cell>
          <cell r="B59">
            <v>0</v>
          </cell>
        </row>
        <row r="60">
          <cell r="A60" t="str">
            <v>3003031000000</v>
          </cell>
          <cell r="B60">
            <v>0</v>
          </cell>
        </row>
        <row r="61">
          <cell r="A61" t="str">
            <v>30030310UB000</v>
          </cell>
          <cell r="B61">
            <v>0</v>
          </cell>
        </row>
        <row r="62">
          <cell r="A62" t="str">
            <v>30030310UB0H0</v>
          </cell>
          <cell r="B62">
            <v>0</v>
          </cell>
        </row>
        <row r="63">
          <cell r="A63" t="str">
            <v>30030310UF300</v>
          </cell>
          <cell r="B63">
            <v>0</v>
          </cell>
        </row>
        <row r="64">
          <cell r="A64" t="str">
            <v>30030310WC0H0</v>
          </cell>
          <cell r="B64">
            <v>-3442.5</v>
          </cell>
        </row>
        <row r="65">
          <cell r="A65" t="str">
            <v>30030310WN0H0</v>
          </cell>
          <cell r="B65">
            <v>0</v>
          </cell>
        </row>
        <row r="66">
          <cell r="A66" t="str">
            <v>30030310WT000</v>
          </cell>
          <cell r="B66">
            <v>0</v>
          </cell>
        </row>
        <row r="67">
          <cell r="A67" t="str">
            <v>30030310WT0H0</v>
          </cell>
          <cell r="B67">
            <v>0</v>
          </cell>
        </row>
        <row r="68">
          <cell r="A68" t="str">
            <v>30040300WT0H0</v>
          </cell>
          <cell r="B68">
            <v>0</v>
          </cell>
        </row>
        <row r="69">
          <cell r="A69" t="str">
            <v>GA030300Q9BN0</v>
          </cell>
          <cell r="B69">
            <v>0</v>
          </cell>
        </row>
        <row r="70">
          <cell r="A70" t="str">
            <v>GA030310Q9BN0</v>
          </cell>
          <cell r="B70">
            <v>0</v>
          </cell>
        </row>
        <row r="71">
          <cell r="A71" t="str">
            <v>GN03010000000</v>
          </cell>
          <cell r="B71">
            <v>0</v>
          </cell>
        </row>
        <row r="72">
          <cell r="A72" t="str">
            <v>GN030100WG200</v>
          </cell>
          <cell r="B72">
            <v>6000</v>
          </cell>
        </row>
        <row r="73">
          <cell r="A73" t="str">
            <v>GN030300Q21H0</v>
          </cell>
          <cell r="B73">
            <v>0</v>
          </cell>
        </row>
        <row r="74">
          <cell r="A74" t="str">
            <v>GN030300Q23H0</v>
          </cell>
          <cell r="B74">
            <v>0</v>
          </cell>
        </row>
        <row r="75">
          <cell r="A75" t="str">
            <v>GN030300WG2B2</v>
          </cell>
          <cell r="B75">
            <v>0</v>
          </cell>
        </row>
        <row r="76">
          <cell r="A76" t="str">
            <v>GN030300WG2H0</v>
          </cell>
          <cell r="B76">
            <v>0</v>
          </cell>
        </row>
        <row r="77">
          <cell r="A77" t="str">
            <v>GN03031000000</v>
          </cell>
          <cell r="B77">
            <v>0</v>
          </cell>
        </row>
        <row r="78">
          <cell r="A78" t="str">
            <v>GN030310Q21H0</v>
          </cell>
          <cell r="B78">
            <v>0</v>
          </cell>
        </row>
        <row r="79">
          <cell r="A79" t="str">
            <v>GN030310Q23H0</v>
          </cell>
          <cell r="B79">
            <v>0</v>
          </cell>
        </row>
        <row r="80">
          <cell r="A80" t="str">
            <v>GN030310WG200</v>
          </cell>
          <cell r="B80">
            <v>-6000</v>
          </cell>
        </row>
        <row r="81">
          <cell r="A81" t="str">
            <v>GN030310WG2B2</v>
          </cell>
          <cell r="B81">
            <v>0</v>
          </cell>
        </row>
        <row r="82">
          <cell r="A82" t="str">
            <v>GN030310WG2H0</v>
          </cell>
          <cell r="B82">
            <v>0</v>
          </cell>
        </row>
        <row r="83">
          <cell r="A83" t="str">
            <v>GP03010000000</v>
          </cell>
          <cell r="B83">
            <v>-410</v>
          </cell>
        </row>
        <row r="84">
          <cell r="A84" t="str">
            <v>GP030100WG400</v>
          </cell>
          <cell r="B84">
            <v>18328</v>
          </cell>
        </row>
        <row r="85">
          <cell r="A85" t="str">
            <v>GP030300Q1100</v>
          </cell>
          <cell r="B85">
            <v>330</v>
          </cell>
        </row>
        <row r="86">
          <cell r="A86" t="str">
            <v>GP030300Q1200</v>
          </cell>
          <cell r="B86">
            <v>0</v>
          </cell>
        </row>
        <row r="87">
          <cell r="A87" t="str">
            <v>GP03031000000</v>
          </cell>
          <cell r="B87">
            <v>410</v>
          </cell>
        </row>
        <row r="88">
          <cell r="A88" t="str">
            <v>GP030310Q1100</v>
          </cell>
          <cell r="B88">
            <v>-330</v>
          </cell>
        </row>
        <row r="89">
          <cell r="A89" t="str">
            <v>GP030310Q1200</v>
          </cell>
          <cell r="B89">
            <v>0</v>
          </cell>
        </row>
        <row r="90">
          <cell r="A90" t="str">
            <v>GP030310WG400</v>
          </cell>
          <cell r="B90">
            <v>-18328</v>
          </cell>
        </row>
        <row r="91">
          <cell r="A91" t="str">
            <v>T0030300Y20C0</v>
          </cell>
          <cell r="B91">
            <v>-1932</v>
          </cell>
        </row>
        <row r="92">
          <cell r="A92" t="str">
            <v>T0030300Y40C0</v>
          </cell>
          <cell r="B92">
            <v>0</v>
          </cell>
        </row>
        <row r="93">
          <cell r="A93" t="str">
            <v>T0030300Y50C0</v>
          </cell>
          <cell r="B93">
            <v>-30645</v>
          </cell>
        </row>
        <row r="94">
          <cell r="A94" t="str">
            <v>T0030300Y70C0</v>
          </cell>
          <cell r="B94">
            <v>-11716</v>
          </cell>
        </row>
        <row r="95">
          <cell r="A95" t="str">
            <v>T0030300Y90C0</v>
          </cell>
          <cell r="B95">
            <v>-776.25</v>
          </cell>
        </row>
        <row r="96">
          <cell r="A96" t="str">
            <v>T0030300YF0C0</v>
          </cell>
          <cell r="B96">
            <v>1163.75</v>
          </cell>
        </row>
        <row r="97">
          <cell r="A97" t="str">
            <v>T0030300YN0C0</v>
          </cell>
          <cell r="B97">
            <v>-74814.5</v>
          </cell>
        </row>
        <row r="98">
          <cell r="A98" t="str">
            <v>T0030310Y20C0</v>
          </cell>
          <cell r="B98">
            <v>1932</v>
          </cell>
        </row>
        <row r="99">
          <cell r="A99" t="str">
            <v>T0030310Y40C0</v>
          </cell>
          <cell r="B99">
            <v>0</v>
          </cell>
        </row>
        <row r="100">
          <cell r="A100" t="str">
            <v>T0030310Y50C0</v>
          </cell>
          <cell r="B100">
            <v>30645</v>
          </cell>
        </row>
        <row r="101">
          <cell r="A101" t="str">
            <v>T0030310Y70C0</v>
          </cell>
          <cell r="B101">
            <v>11716</v>
          </cell>
        </row>
        <row r="102">
          <cell r="A102" t="str">
            <v>T0030310Y90C0</v>
          </cell>
          <cell r="B102">
            <v>776.25</v>
          </cell>
        </row>
        <row r="103">
          <cell r="A103" t="str">
            <v>T0030310YF0C0</v>
          </cell>
          <cell r="B103">
            <v>-1163.75</v>
          </cell>
        </row>
        <row r="104">
          <cell r="A104" t="str">
            <v>T0030310YN0C0</v>
          </cell>
          <cell r="B104">
            <v>74814.5</v>
          </cell>
        </row>
        <row r="105">
          <cell r="A105" t="str">
            <v>U0030100H90G0</v>
          </cell>
          <cell r="B105">
            <v>-591717.79</v>
          </cell>
        </row>
        <row r="106">
          <cell r="A106" t="str">
            <v>U0030300H20G0</v>
          </cell>
          <cell r="B106">
            <v>-834439.3</v>
          </cell>
        </row>
        <row r="107">
          <cell r="A107" t="str">
            <v>U0030300H30G0</v>
          </cell>
          <cell r="B107">
            <v>-13211.3</v>
          </cell>
        </row>
        <row r="108">
          <cell r="A108" t="str">
            <v>U0030300H40G0</v>
          </cell>
          <cell r="B108">
            <v>-4535.72</v>
          </cell>
        </row>
        <row r="109">
          <cell r="A109" t="str">
            <v>U0030300H80G0</v>
          </cell>
          <cell r="B109">
            <v>-129481.94</v>
          </cell>
        </row>
        <row r="110">
          <cell r="A110" t="str">
            <v>U0030300HC0G0</v>
          </cell>
          <cell r="B110">
            <v>-3670801.59</v>
          </cell>
        </row>
        <row r="111">
          <cell r="A111" t="str">
            <v>U0030300HE0G0</v>
          </cell>
          <cell r="B111">
            <v>-4680</v>
          </cell>
        </row>
        <row r="112">
          <cell r="A112" t="str">
            <v>U0030310H20G0</v>
          </cell>
          <cell r="B112">
            <v>834439.3</v>
          </cell>
        </row>
        <row r="113">
          <cell r="A113" t="str">
            <v>U0030310H30G0</v>
          </cell>
          <cell r="B113">
            <v>13211.3</v>
          </cell>
        </row>
        <row r="114">
          <cell r="A114" t="str">
            <v>U0030310H40G0</v>
          </cell>
          <cell r="B114">
            <v>4535.72</v>
          </cell>
        </row>
        <row r="115">
          <cell r="A115" t="str">
            <v>U0030310H80G0</v>
          </cell>
          <cell r="B115">
            <v>129481.94</v>
          </cell>
        </row>
        <row r="116">
          <cell r="A116" t="str">
            <v>U0030310H90G0</v>
          </cell>
          <cell r="B116">
            <v>591717.79</v>
          </cell>
        </row>
        <row r="117">
          <cell r="A117" t="str">
            <v>U0030310HC0G0</v>
          </cell>
          <cell r="B117">
            <v>3670801.59</v>
          </cell>
        </row>
        <row r="118">
          <cell r="A118" t="str">
            <v>U0030310HE0G0</v>
          </cell>
          <cell r="B118">
            <v>4680</v>
          </cell>
        </row>
        <row r="119">
          <cell r="A119" t="str">
            <v>UF030300QMC00</v>
          </cell>
          <cell r="B119">
            <v>-648988.48</v>
          </cell>
        </row>
        <row r="120">
          <cell r="A120" t="str">
            <v>UF030310QMC00</v>
          </cell>
          <cell r="B120">
            <v>648988.48</v>
          </cell>
        </row>
        <row r="121">
          <cell r="A121" t="str">
            <v>UM03010000000</v>
          </cell>
          <cell r="B121">
            <v>114.25</v>
          </cell>
        </row>
        <row r="122">
          <cell r="A122" t="str">
            <v>UM030100QLC00</v>
          </cell>
          <cell r="B122">
            <v>100976.38</v>
          </cell>
        </row>
        <row r="123">
          <cell r="A123" t="str">
            <v>UM030100WU600</v>
          </cell>
          <cell r="B123">
            <v>-1581.79</v>
          </cell>
        </row>
        <row r="124">
          <cell r="A124" t="str">
            <v>UM030100WU700</v>
          </cell>
          <cell r="B124">
            <v>1522341.97</v>
          </cell>
        </row>
        <row r="125">
          <cell r="A125" t="str">
            <v>UM030100WU900</v>
          </cell>
          <cell r="B125">
            <v>48997.81</v>
          </cell>
        </row>
        <row r="126">
          <cell r="A126" t="str">
            <v>UM030100WUA00</v>
          </cell>
          <cell r="B126">
            <v>-39501.019999999997</v>
          </cell>
        </row>
        <row r="127">
          <cell r="A127" t="str">
            <v>UM030300QC400</v>
          </cell>
          <cell r="B127">
            <v>-1135.1500000000001</v>
          </cell>
        </row>
        <row r="128">
          <cell r="A128" t="str">
            <v>UM030300QLC00</v>
          </cell>
          <cell r="B128">
            <v>-100976.38</v>
          </cell>
        </row>
        <row r="129">
          <cell r="A129" t="str">
            <v>UM030300QUC00</v>
          </cell>
          <cell r="B129">
            <v>-6416</v>
          </cell>
        </row>
        <row r="130">
          <cell r="A130" t="str">
            <v>UM030300WU500</v>
          </cell>
          <cell r="B130">
            <v>-3034.99</v>
          </cell>
        </row>
        <row r="131">
          <cell r="A131" t="str">
            <v>UM030300WU600</v>
          </cell>
          <cell r="B131">
            <v>-23267.84</v>
          </cell>
        </row>
        <row r="132">
          <cell r="A132" t="str">
            <v>UM030300WU700</v>
          </cell>
          <cell r="B132">
            <v>-7887430.4900000002</v>
          </cell>
        </row>
        <row r="133">
          <cell r="A133" t="str">
            <v>UM030300WU800</v>
          </cell>
          <cell r="B133">
            <v>-13283.16</v>
          </cell>
        </row>
        <row r="134">
          <cell r="A134" t="str">
            <v>UM030300WU900</v>
          </cell>
          <cell r="B134">
            <v>-51314.42</v>
          </cell>
        </row>
        <row r="135">
          <cell r="A135" t="str">
            <v>UM030300WUA00</v>
          </cell>
          <cell r="B135">
            <v>-43321.94</v>
          </cell>
        </row>
        <row r="136">
          <cell r="A136" t="str">
            <v>UM03031000000</v>
          </cell>
          <cell r="B136">
            <v>-114.25</v>
          </cell>
        </row>
        <row r="137">
          <cell r="A137" t="str">
            <v>UM030310QC400</v>
          </cell>
          <cell r="B137">
            <v>1135.1500000000001</v>
          </cell>
        </row>
        <row r="138">
          <cell r="A138" t="str">
            <v>UM030310QUC00</v>
          </cell>
          <cell r="B138">
            <v>6416</v>
          </cell>
        </row>
        <row r="139">
          <cell r="A139" t="str">
            <v>UM030310WU500</v>
          </cell>
          <cell r="B139">
            <v>3034.99</v>
          </cell>
        </row>
        <row r="140">
          <cell r="A140" t="str">
            <v>UM030310WU600</v>
          </cell>
          <cell r="B140">
            <v>24849.63</v>
          </cell>
        </row>
        <row r="141">
          <cell r="A141" t="str">
            <v>UM030310WU700</v>
          </cell>
          <cell r="B141">
            <v>6365088.5200000005</v>
          </cell>
        </row>
        <row r="142">
          <cell r="A142" t="str">
            <v>UM030310WU800</v>
          </cell>
          <cell r="B142">
            <v>13283.16</v>
          </cell>
        </row>
        <row r="143">
          <cell r="A143" t="str">
            <v>UM030310WU900</v>
          </cell>
          <cell r="B143">
            <v>2316.61</v>
          </cell>
        </row>
        <row r="144">
          <cell r="A144" t="str">
            <v>UM030310WUA00</v>
          </cell>
          <cell r="B144">
            <v>82822.960000000006</v>
          </cell>
        </row>
        <row r="145">
          <cell r="A145" t="str">
            <v>GA030300WG300</v>
          </cell>
          <cell r="B145">
            <v>0</v>
          </cell>
        </row>
      </sheetData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10500"/>
      <sheetName val="110600"/>
      <sheetName val="110700"/>
      <sheetName val="110804"/>
      <sheetName val="110805-111008"/>
      <sheetName val="110901"/>
      <sheetName val="110902"/>
      <sheetName val="110905"/>
      <sheetName val="111101"/>
      <sheetName val="111101-Kevin T."/>
      <sheetName val="111103"/>
      <sheetName val="111104"/>
      <sheetName val="111203-111005"/>
      <sheetName val="111205-111007-210410"/>
      <sheetName val="111206"/>
      <sheetName val="111401"/>
      <sheetName val="111402"/>
      <sheetName val="111801"/>
      <sheetName val="111802"/>
      <sheetName val="111804"/>
      <sheetName val="111805"/>
      <sheetName val="111806"/>
      <sheetName val="112100"/>
      <sheetName val="140100 "/>
      <sheetName val="140100-Coll"/>
      <sheetName val="170100-170200"/>
      <sheetName val="210100"/>
      <sheetName val="210110"/>
      <sheetName val="210502"/>
      <sheetName val="210502-paid"/>
      <sheetName val="210503"/>
      <sheetName val="210504"/>
      <sheetName val="210505"/>
      <sheetName val="210506"/>
      <sheetName val="210506-Train"/>
      <sheetName val="210506-Coll"/>
      <sheetName val="210506-Recuit"/>
      <sheetName val="210507"/>
      <sheetName val="210701"/>
      <sheetName val="210702"/>
      <sheetName val="210702-Coll"/>
      <sheetName val="2108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LATEMP"/>
      <sheetName val="BSLA"/>
      <sheetName val="Balances"/>
      <sheetName val="Transactions"/>
      <sheetName val="Invoices"/>
      <sheetName val="Invoice Drill"/>
      <sheetName val="Journal Drill"/>
      <sheetName val="Projects"/>
      <sheetName val="ARInvoice"/>
    </sheetNames>
    <sheetDataSet>
      <sheetData sheetId="0"/>
      <sheetData sheetId="1">
        <row r="2">
          <cell r="H2" t="str">
            <v>(None)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LATEMP"/>
      <sheetName val="BSLA"/>
      <sheetName val="Balances"/>
      <sheetName val="Transactions"/>
      <sheetName val="Cash Management"/>
      <sheetName val="Invoices"/>
      <sheetName val="Invoice Drill"/>
      <sheetName val="GIS Journal Drill"/>
      <sheetName val="Journal Drill"/>
      <sheetName val="Projects"/>
      <sheetName val="ARInvoice"/>
    </sheetNames>
    <sheetDataSet>
      <sheetData sheetId="0"/>
      <sheetData sheetId="1">
        <row r="1">
          <cell r="A1" t="str">
            <v>AR1_PRIM_TWD_02</v>
          </cell>
          <cell r="L1" t="str">
            <v>07-2008</v>
          </cell>
        </row>
        <row r="2">
          <cell r="A2" t="str">
            <v>AR1_REPO_USX_01</v>
          </cell>
          <cell r="L2" t="str">
            <v>06-2008</v>
          </cell>
        </row>
        <row r="3">
          <cell r="L3" t="str">
            <v>05-2008</v>
          </cell>
        </row>
        <row r="4">
          <cell r="L4" t="str">
            <v>04-2008</v>
          </cell>
        </row>
        <row r="5">
          <cell r="L5" t="str">
            <v>03-2008</v>
          </cell>
        </row>
        <row r="6">
          <cell r="L6" t="str">
            <v>02-2008</v>
          </cell>
        </row>
        <row r="7">
          <cell r="L7" t="str">
            <v>01-2008</v>
          </cell>
        </row>
        <row r="8">
          <cell r="L8" t="str">
            <v>14-2007</v>
          </cell>
        </row>
        <row r="9">
          <cell r="L9" t="str">
            <v>13-2007</v>
          </cell>
        </row>
        <row r="10">
          <cell r="L10" t="str">
            <v>12-2007</v>
          </cell>
        </row>
        <row r="11">
          <cell r="L11" t="str">
            <v>11-2007</v>
          </cell>
        </row>
        <row r="12">
          <cell r="L12" t="str">
            <v>10-2007</v>
          </cell>
        </row>
        <row r="13">
          <cell r="L13" t="str">
            <v>09-2007</v>
          </cell>
        </row>
        <row r="14">
          <cell r="L14" t="str">
            <v>08-2007</v>
          </cell>
        </row>
        <row r="15">
          <cell r="L15" t="str">
            <v>07-2007</v>
          </cell>
        </row>
        <row r="16">
          <cell r="L16" t="str">
            <v>06-2007</v>
          </cell>
        </row>
        <row r="17">
          <cell r="L17" t="str">
            <v>05-2007</v>
          </cell>
        </row>
        <row r="18">
          <cell r="L18" t="str">
            <v>04-2007</v>
          </cell>
        </row>
        <row r="19">
          <cell r="L19" t="str">
            <v>03-2007</v>
          </cell>
        </row>
        <row r="20">
          <cell r="L20" t="str">
            <v>02-2007</v>
          </cell>
        </row>
        <row r="21">
          <cell r="L21" t="str">
            <v>01-2007</v>
          </cell>
        </row>
        <row r="22">
          <cell r="L22" t="str">
            <v>14-2006</v>
          </cell>
        </row>
        <row r="23">
          <cell r="L23" t="str">
            <v>13-2006</v>
          </cell>
        </row>
        <row r="24">
          <cell r="L24" t="str">
            <v>12-2006</v>
          </cell>
        </row>
        <row r="25">
          <cell r="L25" t="str">
            <v>11-2006</v>
          </cell>
        </row>
        <row r="26">
          <cell r="L26" t="str">
            <v>10-2006</v>
          </cell>
        </row>
        <row r="27">
          <cell r="L27" t="str">
            <v>09-2006</v>
          </cell>
        </row>
        <row r="28">
          <cell r="L28" t="str">
            <v>08-2006</v>
          </cell>
        </row>
        <row r="29">
          <cell r="L29" t="str">
            <v>07-2006</v>
          </cell>
        </row>
        <row r="30">
          <cell r="L30" t="str">
            <v>06-2006</v>
          </cell>
        </row>
        <row r="31">
          <cell r="L31" t="str">
            <v>05-2006</v>
          </cell>
        </row>
        <row r="32">
          <cell r="L32" t="str">
            <v>04-2006</v>
          </cell>
        </row>
        <row r="33">
          <cell r="L33" t="str">
            <v>03-2006</v>
          </cell>
        </row>
        <row r="34">
          <cell r="L34" t="str">
            <v>02-2006</v>
          </cell>
        </row>
        <row r="35">
          <cell r="L35" t="str">
            <v>01-2006</v>
          </cell>
        </row>
        <row r="36">
          <cell r="L36" t="str">
            <v>14-2005</v>
          </cell>
        </row>
        <row r="37">
          <cell r="L37" t="str">
            <v>13-2005</v>
          </cell>
        </row>
        <row r="38">
          <cell r="L38" t="str">
            <v>12-2005</v>
          </cell>
        </row>
        <row r="39">
          <cell r="L39" t="str">
            <v>11-2005</v>
          </cell>
        </row>
        <row r="40">
          <cell r="L40" t="str">
            <v>10-2005</v>
          </cell>
        </row>
        <row r="41">
          <cell r="L41" t="str">
            <v>09-2005</v>
          </cell>
        </row>
        <row r="42">
          <cell r="L42" t="str">
            <v>08-2005</v>
          </cell>
        </row>
        <row r="43">
          <cell r="L43" t="str">
            <v>07-2005</v>
          </cell>
        </row>
        <row r="44">
          <cell r="L44" t="str">
            <v>06-2005</v>
          </cell>
        </row>
        <row r="45">
          <cell r="L45" t="str">
            <v>05-2005</v>
          </cell>
        </row>
        <row r="46">
          <cell r="L46" t="str">
            <v>04-2005</v>
          </cell>
        </row>
        <row r="47">
          <cell r="L47" t="str">
            <v>03-2005</v>
          </cell>
        </row>
        <row r="48">
          <cell r="L48" t="str">
            <v>02-2005</v>
          </cell>
        </row>
        <row r="49">
          <cell r="L49" t="str">
            <v>01-2005</v>
          </cell>
        </row>
        <row r="50">
          <cell r="L50" t="str">
            <v>14-2004</v>
          </cell>
        </row>
        <row r="51">
          <cell r="L51" t="str">
            <v>13-2004</v>
          </cell>
        </row>
        <row r="52">
          <cell r="L52" t="str">
            <v>12-2004</v>
          </cell>
        </row>
        <row r="53">
          <cell r="L53" t="str">
            <v>11-2004</v>
          </cell>
        </row>
        <row r="54">
          <cell r="L54" t="str">
            <v>10-2004</v>
          </cell>
        </row>
        <row r="55">
          <cell r="L55" t="str">
            <v>09-2004</v>
          </cell>
        </row>
        <row r="56">
          <cell r="L56" t="str">
            <v>08-2004</v>
          </cell>
        </row>
        <row r="57">
          <cell r="L57" t="str">
            <v>07-2004</v>
          </cell>
        </row>
        <row r="58">
          <cell r="L58" t="str">
            <v>06-2004</v>
          </cell>
        </row>
        <row r="59">
          <cell r="L59" t="str">
            <v>05-2004</v>
          </cell>
        </row>
        <row r="60">
          <cell r="L60" t="str">
            <v>04-2004</v>
          </cell>
        </row>
        <row r="61">
          <cell r="L61" t="str">
            <v>03-2004</v>
          </cell>
        </row>
        <row r="62">
          <cell r="L62" t="str">
            <v>02-2004</v>
          </cell>
        </row>
        <row r="63">
          <cell r="L63" t="str">
            <v>01-2004</v>
          </cell>
        </row>
        <row r="64">
          <cell r="L64" t="str">
            <v>14-2003</v>
          </cell>
        </row>
        <row r="65">
          <cell r="L65" t="str">
            <v>13-2003</v>
          </cell>
        </row>
        <row r="66">
          <cell r="L66" t="str">
            <v>12-2003</v>
          </cell>
        </row>
        <row r="67">
          <cell r="L67" t="str">
            <v>11-2003</v>
          </cell>
        </row>
        <row r="68">
          <cell r="L68" t="str">
            <v>10-2003</v>
          </cell>
        </row>
        <row r="69">
          <cell r="L69" t="str">
            <v>09-2003</v>
          </cell>
        </row>
        <row r="70">
          <cell r="L70" t="str">
            <v>08-2003</v>
          </cell>
        </row>
        <row r="71">
          <cell r="L71" t="str">
            <v>07-2003</v>
          </cell>
        </row>
        <row r="72">
          <cell r="L72" t="str">
            <v>06-2003</v>
          </cell>
        </row>
        <row r="73">
          <cell r="L73" t="str">
            <v>05-2003</v>
          </cell>
        </row>
        <row r="74">
          <cell r="L74" t="str">
            <v>04-2003</v>
          </cell>
        </row>
        <row r="75">
          <cell r="L75" t="str">
            <v>03-2003</v>
          </cell>
        </row>
        <row r="76">
          <cell r="L76" t="str">
            <v>02-2003</v>
          </cell>
        </row>
        <row r="77">
          <cell r="L77" t="str">
            <v>01-2003</v>
          </cell>
        </row>
        <row r="78">
          <cell r="L78" t="str">
            <v>14-2002</v>
          </cell>
        </row>
        <row r="79">
          <cell r="L79" t="str">
            <v>13-2002</v>
          </cell>
        </row>
        <row r="80">
          <cell r="L80" t="str">
            <v>12-2002</v>
          </cell>
        </row>
        <row r="81">
          <cell r="L81" t="str">
            <v>11-2002</v>
          </cell>
        </row>
        <row r="82">
          <cell r="L82" t="str">
            <v>10-2002</v>
          </cell>
        </row>
        <row r="83">
          <cell r="L83" t="str">
            <v>09-2002</v>
          </cell>
        </row>
        <row r="84">
          <cell r="L84" t="str">
            <v>08-2002</v>
          </cell>
        </row>
        <row r="85">
          <cell r="L85" t="str">
            <v>07-2002</v>
          </cell>
        </row>
        <row r="86">
          <cell r="L86" t="str">
            <v>06-2002</v>
          </cell>
        </row>
        <row r="87">
          <cell r="L87" t="str">
            <v>05-2002</v>
          </cell>
        </row>
        <row r="88">
          <cell r="L88" t="str">
            <v>04-2002</v>
          </cell>
        </row>
        <row r="89">
          <cell r="L89" t="str">
            <v>03-2002</v>
          </cell>
        </row>
        <row r="90">
          <cell r="L90" t="str">
            <v>02-2002</v>
          </cell>
        </row>
        <row r="91">
          <cell r="L91" t="str">
            <v>01-2002</v>
          </cell>
        </row>
        <row r="92">
          <cell r="L92" t="str">
            <v>14-2001</v>
          </cell>
        </row>
        <row r="93">
          <cell r="L93" t="str">
            <v>13-2001</v>
          </cell>
        </row>
        <row r="94">
          <cell r="L94" t="str">
            <v>12-2001</v>
          </cell>
        </row>
        <row r="95">
          <cell r="L95" t="str">
            <v>11-2001</v>
          </cell>
        </row>
        <row r="96">
          <cell r="L96" t="str">
            <v>10-2001</v>
          </cell>
        </row>
        <row r="97">
          <cell r="L97" t="str">
            <v>09-2001</v>
          </cell>
        </row>
        <row r="98">
          <cell r="L98" t="str">
            <v>08-2001</v>
          </cell>
        </row>
        <row r="99">
          <cell r="L99" t="str">
            <v>07-2001</v>
          </cell>
        </row>
        <row r="100">
          <cell r="L100" t="str">
            <v>06-2001</v>
          </cell>
        </row>
        <row r="101">
          <cell r="L101" t="str">
            <v>05-2001</v>
          </cell>
        </row>
        <row r="102">
          <cell r="L102" t="str">
            <v>04-2001</v>
          </cell>
        </row>
        <row r="103">
          <cell r="L103" t="str">
            <v>03-2001</v>
          </cell>
        </row>
        <row r="104">
          <cell r="L104" t="str">
            <v>02-2001</v>
          </cell>
        </row>
        <row r="105">
          <cell r="L105" t="str">
            <v>01-2001</v>
          </cell>
        </row>
        <row r="106">
          <cell r="L106" t="str">
            <v>14-2000</v>
          </cell>
        </row>
        <row r="107">
          <cell r="L107" t="str">
            <v>13-2000</v>
          </cell>
        </row>
        <row r="108">
          <cell r="L108" t="str">
            <v>12-2000</v>
          </cell>
        </row>
        <row r="109">
          <cell r="L109" t="str">
            <v>11-2000</v>
          </cell>
        </row>
        <row r="110">
          <cell r="L110" t="str">
            <v>10-2000</v>
          </cell>
        </row>
        <row r="111">
          <cell r="L111" t="str">
            <v>09-2000</v>
          </cell>
        </row>
        <row r="112">
          <cell r="L112" t="str">
            <v>08-2000</v>
          </cell>
        </row>
        <row r="113">
          <cell r="L113" t="str">
            <v>07-2000</v>
          </cell>
        </row>
        <row r="114">
          <cell r="L114" t="str">
            <v>06-2000</v>
          </cell>
        </row>
        <row r="115">
          <cell r="L115" t="str">
            <v>05-2000</v>
          </cell>
        </row>
        <row r="116">
          <cell r="L116" t="str">
            <v>04-2000</v>
          </cell>
        </row>
        <row r="117">
          <cell r="L117" t="str">
            <v>03-2000</v>
          </cell>
        </row>
        <row r="118">
          <cell r="L118" t="str">
            <v>02-2000</v>
          </cell>
        </row>
        <row r="119">
          <cell r="L119" t="str">
            <v>01-2000</v>
          </cell>
        </row>
        <row r="120">
          <cell r="L120" t="str">
            <v>14-99</v>
          </cell>
        </row>
        <row r="121">
          <cell r="L121" t="str">
            <v>13-99</v>
          </cell>
        </row>
        <row r="122">
          <cell r="L122" t="str">
            <v>12-99</v>
          </cell>
        </row>
        <row r="123">
          <cell r="L123" t="str">
            <v>11-99</v>
          </cell>
        </row>
        <row r="124">
          <cell r="L124" t="str">
            <v>10-99</v>
          </cell>
        </row>
        <row r="125">
          <cell r="L125" t="str">
            <v>09-99</v>
          </cell>
        </row>
        <row r="126">
          <cell r="L126" t="str">
            <v>08-99</v>
          </cell>
        </row>
        <row r="127">
          <cell r="L127" t="str">
            <v>07-99</v>
          </cell>
        </row>
        <row r="128">
          <cell r="L128" t="str">
            <v>06-99</v>
          </cell>
        </row>
        <row r="129">
          <cell r="L129" t="str">
            <v>05-99</v>
          </cell>
        </row>
        <row r="130">
          <cell r="L130" t="str">
            <v>04-99</v>
          </cell>
        </row>
        <row r="131">
          <cell r="L131" t="str">
            <v>03-99</v>
          </cell>
        </row>
        <row r="132">
          <cell r="L132" t="str">
            <v>02-99</v>
          </cell>
        </row>
        <row r="133">
          <cell r="L133" t="str">
            <v>01-99</v>
          </cell>
        </row>
        <row r="134">
          <cell r="L134" t="str">
            <v>14-98</v>
          </cell>
        </row>
        <row r="135">
          <cell r="L135" t="str">
            <v>13-98</v>
          </cell>
        </row>
        <row r="136">
          <cell r="L136" t="str">
            <v>12-98</v>
          </cell>
        </row>
        <row r="137">
          <cell r="L137" t="str">
            <v>11-98</v>
          </cell>
        </row>
        <row r="138">
          <cell r="L138" t="str">
            <v>10-98</v>
          </cell>
        </row>
        <row r="139">
          <cell r="L139" t="str">
            <v>09-98</v>
          </cell>
        </row>
        <row r="140">
          <cell r="L140" t="str">
            <v>08-98</v>
          </cell>
        </row>
        <row r="141">
          <cell r="L141" t="str">
            <v>07-98</v>
          </cell>
        </row>
        <row r="142">
          <cell r="L142" t="str">
            <v>06-98</v>
          </cell>
        </row>
        <row r="143">
          <cell r="L143" t="str">
            <v>05-98</v>
          </cell>
        </row>
        <row r="144">
          <cell r="L144" t="str">
            <v>04-98</v>
          </cell>
        </row>
        <row r="145">
          <cell r="L145" t="str">
            <v>03-98</v>
          </cell>
        </row>
        <row r="146">
          <cell r="L146" t="str">
            <v>02-98</v>
          </cell>
        </row>
        <row r="147">
          <cell r="L147" t="str">
            <v>01-98</v>
          </cell>
        </row>
        <row r="148">
          <cell r="L148" t="str">
            <v>14-97</v>
          </cell>
        </row>
        <row r="149">
          <cell r="L149" t="str">
            <v>13-97</v>
          </cell>
        </row>
        <row r="150">
          <cell r="L150" t="str">
            <v>12-97</v>
          </cell>
        </row>
        <row r="151">
          <cell r="L151" t="str">
            <v>11-97</v>
          </cell>
        </row>
        <row r="152">
          <cell r="L152" t="str">
            <v>10-97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/>
  <dimension ref="A1"/>
  <sheetViews>
    <sheetView workbookViewId="0"/>
  </sheetViews>
  <sheetFormatPr defaultRowHeight="16.5"/>
  <sheetData/>
  <phoneticPr fontId="2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H1"/>
  <sheetViews>
    <sheetView workbookViewId="0">
      <selection activeCell="H7" sqref="H7"/>
    </sheetView>
  </sheetViews>
  <sheetFormatPr defaultRowHeight="16.5"/>
  <sheetData>
    <row r="1" spans="1:8">
      <c r="A1" t="s">
        <v>12006</v>
      </c>
      <c r="B1" t="s">
        <v>12007</v>
      </c>
      <c r="C1" t="s">
        <v>12008</v>
      </c>
      <c r="D1" t="s">
        <v>12009</v>
      </c>
      <c r="E1" t="s">
        <v>12010</v>
      </c>
      <c r="F1" t="s">
        <v>12011</v>
      </c>
      <c r="G1" t="s">
        <v>12012</v>
      </c>
      <c r="H1" t="s">
        <v>12013</v>
      </c>
    </row>
  </sheetData>
  <sortState xmlns:xlrd2="http://schemas.microsoft.com/office/spreadsheetml/2017/richdata2" ref="A2:N4434">
    <sortCondition ref="C2"/>
    <sortCondition ref="H2"/>
    <sortCondition ref="E2"/>
  </sortState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9">
    <tabColor rgb="FFFF0000"/>
  </sheetPr>
  <dimension ref="A1:I7"/>
  <sheetViews>
    <sheetView tabSelected="1" zoomScale="90" zoomScaleNormal="90" workbookViewId="0">
      <selection activeCell="B7" sqref="B7"/>
    </sheetView>
  </sheetViews>
  <sheetFormatPr defaultRowHeight="16.5"/>
  <cols>
    <col min="1" max="1" width="25.125" customWidth="1"/>
    <col min="2" max="2" width="51.875" bestFit="1" customWidth="1"/>
    <col min="4" max="4" width="16.375" bestFit="1" customWidth="1"/>
    <col min="5" max="5" width="15.375" bestFit="1" customWidth="1"/>
  </cols>
  <sheetData>
    <row r="1" spans="1:9" ht="50.1" customHeight="1">
      <c r="A1" s="7" t="str">
        <f ca="1">"請把檔案放在" &amp; D1 &amp; "目錄下的\data\pdf"</f>
        <v>請把檔案放在back目錄下的\data\pdf</v>
      </c>
      <c r="D1" s="54" t="str">
        <f ca="1">IFERROR(MID(CELL("filename",A1),FIND("\",CELL("filename",A1),FIND("IAN1\",CELL("filename",A1))+3)+1,4),"")</f>
        <v>back</v>
      </c>
      <c r="G1" s="7"/>
    </row>
    <row r="2" spans="1:9" ht="39.950000000000003" customHeight="1">
      <c r="D2" s="1"/>
      <c r="E2" s="1"/>
      <c r="G2" s="63" t="s">
        <v>12036</v>
      </c>
    </row>
    <row r="3" spans="1:9">
      <c r="I3" s="8"/>
    </row>
    <row r="4" spans="1:9" ht="39.950000000000003" customHeight="1">
      <c r="D4" s="9"/>
      <c r="E4" s="1"/>
      <c r="I4" s="8"/>
    </row>
    <row r="6" spans="1:9" ht="39.950000000000003" customHeight="1">
      <c r="D6" s="9"/>
      <c r="E6" s="1"/>
      <c r="I6" s="8"/>
    </row>
    <row r="7" spans="1:9">
      <c r="A7" s="6"/>
    </row>
  </sheetData>
  <phoneticPr fontId="2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8"/>
  <dimension ref="A1:O4433"/>
  <sheetViews>
    <sheetView workbookViewId="0"/>
  </sheetViews>
  <sheetFormatPr defaultRowHeight="16.5"/>
  <sheetData>
    <row r="1" spans="1:15">
      <c r="A1" t="s">
        <v>11375</v>
      </c>
      <c r="B1" t="s">
        <v>11375</v>
      </c>
      <c r="C1" t="s">
        <v>11376</v>
      </c>
      <c r="F1">
        <v>1</v>
      </c>
      <c r="G1" s="1" t="s">
        <v>117</v>
      </c>
      <c r="I1" s="1" t="s">
        <v>11473</v>
      </c>
      <c r="O1" t="s">
        <v>22</v>
      </c>
    </row>
    <row r="2" spans="1:15">
      <c r="A2" t="s">
        <v>10995</v>
      </c>
      <c r="B2" t="s">
        <v>10995</v>
      </c>
      <c r="C2" t="s">
        <v>10996</v>
      </c>
      <c r="F2">
        <v>1</v>
      </c>
      <c r="G2" s="1" t="s">
        <v>118</v>
      </c>
      <c r="I2" s="1" t="s">
        <v>11473</v>
      </c>
      <c r="O2" t="s">
        <v>22</v>
      </c>
    </row>
    <row r="3" spans="1:15">
      <c r="A3" t="s">
        <v>10692</v>
      </c>
      <c r="B3" t="s">
        <v>10692</v>
      </c>
      <c r="C3" t="s">
        <v>10693</v>
      </c>
      <c r="F3">
        <v>1</v>
      </c>
      <c r="G3" s="1" t="s">
        <v>119</v>
      </c>
      <c r="I3" s="1" t="s">
        <v>11473</v>
      </c>
      <c r="O3" t="s">
        <v>22</v>
      </c>
    </row>
    <row r="4" spans="1:15">
      <c r="A4" t="s">
        <v>8007</v>
      </c>
      <c r="B4" t="s">
        <v>8007</v>
      </c>
      <c r="C4" t="s">
        <v>8008</v>
      </c>
      <c r="F4">
        <v>1</v>
      </c>
      <c r="G4" s="1" t="s">
        <v>120</v>
      </c>
      <c r="I4" s="1" t="s">
        <v>11473</v>
      </c>
      <c r="O4" t="s">
        <v>22</v>
      </c>
    </row>
    <row r="5" spans="1:15">
      <c r="A5" t="s">
        <v>11070</v>
      </c>
      <c r="B5" t="s">
        <v>11070</v>
      </c>
      <c r="C5" t="s">
        <v>11071</v>
      </c>
      <c r="F5">
        <v>1</v>
      </c>
      <c r="G5" s="1" t="s">
        <v>121</v>
      </c>
      <c r="I5" s="1" t="s">
        <v>11473</v>
      </c>
      <c r="O5" t="s">
        <v>22</v>
      </c>
    </row>
    <row r="6" spans="1:15">
      <c r="A6" t="s">
        <v>8863</v>
      </c>
      <c r="B6" t="s">
        <v>8863</v>
      </c>
      <c r="C6" t="s">
        <v>8864</v>
      </c>
      <c r="F6">
        <v>1</v>
      </c>
      <c r="G6" s="1" t="s">
        <v>122</v>
      </c>
      <c r="I6" s="1" t="s">
        <v>11473</v>
      </c>
      <c r="O6" t="s">
        <v>22</v>
      </c>
    </row>
    <row r="7" spans="1:15">
      <c r="A7" t="s">
        <v>10212</v>
      </c>
      <c r="B7" t="s">
        <v>10212</v>
      </c>
      <c r="C7" t="s">
        <v>10213</v>
      </c>
      <c r="F7">
        <v>1</v>
      </c>
      <c r="G7" s="1" t="s">
        <v>123</v>
      </c>
      <c r="I7" s="1" t="s">
        <v>11473</v>
      </c>
      <c r="O7" t="s">
        <v>22</v>
      </c>
    </row>
    <row r="8" spans="1:15">
      <c r="A8" t="s">
        <v>7852</v>
      </c>
      <c r="B8" t="s">
        <v>7852</v>
      </c>
      <c r="C8" t="s">
        <v>4084</v>
      </c>
      <c r="F8">
        <v>1</v>
      </c>
      <c r="G8" s="1" t="s">
        <v>124</v>
      </c>
      <c r="I8" s="1" t="s">
        <v>11473</v>
      </c>
      <c r="O8" t="s">
        <v>22</v>
      </c>
    </row>
    <row r="9" spans="1:15">
      <c r="A9" t="s">
        <v>10279</v>
      </c>
      <c r="B9" t="s">
        <v>10279</v>
      </c>
      <c r="C9" t="s">
        <v>4084</v>
      </c>
      <c r="F9">
        <v>1</v>
      </c>
      <c r="G9" s="1" t="s">
        <v>125</v>
      </c>
      <c r="I9" s="1" t="s">
        <v>11473</v>
      </c>
      <c r="O9" t="s">
        <v>22</v>
      </c>
    </row>
    <row r="10" spans="1:15">
      <c r="A10" t="s">
        <v>8501</v>
      </c>
      <c r="B10" t="s">
        <v>8501</v>
      </c>
      <c r="C10" t="s">
        <v>8502</v>
      </c>
      <c r="F10">
        <v>1</v>
      </c>
      <c r="G10" s="1" t="s">
        <v>126</v>
      </c>
      <c r="I10" s="1" t="s">
        <v>11473</v>
      </c>
      <c r="O10" t="s">
        <v>22</v>
      </c>
    </row>
    <row r="11" spans="1:15">
      <c r="A11" t="s">
        <v>10090</v>
      </c>
      <c r="B11" t="s">
        <v>10090</v>
      </c>
      <c r="C11" t="s">
        <v>10091</v>
      </c>
      <c r="F11">
        <v>1</v>
      </c>
      <c r="G11" s="1" t="s">
        <v>127</v>
      </c>
      <c r="I11" s="1" t="s">
        <v>11473</v>
      </c>
      <c r="O11" t="s">
        <v>22</v>
      </c>
    </row>
    <row r="12" spans="1:15">
      <c r="A12" t="s">
        <v>8077</v>
      </c>
      <c r="B12" t="s">
        <v>8077</v>
      </c>
      <c r="C12" t="s">
        <v>8078</v>
      </c>
      <c r="F12">
        <v>1</v>
      </c>
      <c r="G12" s="1" t="s">
        <v>128</v>
      </c>
      <c r="I12" s="1" t="s">
        <v>11473</v>
      </c>
      <c r="O12" t="s">
        <v>22</v>
      </c>
    </row>
    <row r="13" spans="1:15">
      <c r="A13" t="s">
        <v>6554</v>
      </c>
      <c r="B13" t="s">
        <v>6554</v>
      </c>
      <c r="C13" t="s">
        <v>6555</v>
      </c>
      <c r="F13">
        <v>1</v>
      </c>
      <c r="G13" s="1" t="s">
        <v>129</v>
      </c>
      <c r="I13" s="1" t="s">
        <v>11473</v>
      </c>
      <c r="O13" t="s">
        <v>22</v>
      </c>
    </row>
    <row r="14" spans="1:15">
      <c r="A14" t="s">
        <v>5193</v>
      </c>
      <c r="B14" t="s">
        <v>5193</v>
      </c>
      <c r="C14" t="s">
        <v>4527</v>
      </c>
      <c r="F14">
        <v>1</v>
      </c>
      <c r="G14" s="1" t="s">
        <v>130</v>
      </c>
      <c r="I14" s="1" t="s">
        <v>11473</v>
      </c>
      <c r="O14" t="s">
        <v>22</v>
      </c>
    </row>
    <row r="15" spans="1:15">
      <c r="A15" t="s">
        <v>8090</v>
      </c>
      <c r="B15" t="s">
        <v>8090</v>
      </c>
      <c r="C15" t="s">
        <v>8091</v>
      </c>
      <c r="F15">
        <v>1</v>
      </c>
      <c r="G15" s="1" t="s">
        <v>131</v>
      </c>
      <c r="I15" s="1" t="s">
        <v>11473</v>
      </c>
      <c r="O15" t="s">
        <v>22</v>
      </c>
    </row>
    <row r="16" spans="1:15">
      <c r="A16" t="s">
        <v>5768</v>
      </c>
      <c r="B16" t="s">
        <v>5768</v>
      </c>
      <c r="C16" t="s">
        <v>5769</v>
      </c>
      <c r="F16">
        <v>1</v>
      </c>
      <c r="G16" s="1" t="s">
        <v>132</v>
      </c>
      <c r="I16" s="1" t="s">
        <v>11473</v>
      </c>
      <c r="O16" t="s">
        <v>22</v>
      </c>
    </row>
    <row r="17" spans="1:15">
      <c r="A17" t="s">
        <v>8057</v>
      </c>
      <c r="B17" t="s">
        <v>8057</v>
      </c>
      <c r="C17" t="s">
        <v>8058</v>
      </c>
      <c r="F17">
        <v>1</v>
      </c>
      <c r="G17" s="1" t="s">
        <v>133</v>
      </c>
      <c r="I17" s="1" t="s">
        <v>11473</v>
      </c>
      <c r="O17" t="s">
        <v>22</v>
      </c>
    </row>
    <row r="18" spans="1:15">
      <c r="A18" t="s">
        <v>5593</v>
      </c>
      <c r="B18" t="s">
        <v>5593</v>
      </c>
      <c r="C18" t="s">
        <v>5594</v>
      </c>
      <c r="F18">
        <v>1</v>
      </c>
      <c r="G18" s="1" t="s">
        <v>134</v>
      </c>
      <c r="I18" s="1" t="s">
        <v>11473</v>
      </c>
      <c r="O18" t="s">
        <v>22</v>
      </c>
    </row>
    <row r="19" spans="1:15">
      <c r="A19" t="s">
        <v>5656</v>
      </c>
      <c r="B19" t="s">
        <v>5656</v>
      </c>
      <c r="C19" t="s">
        <v>5657</v>
      </c>
      <c r="F19">
        <v>1</v>
      </c>
      <c r="G19" s="1" t="s">
        <v>135</v>
      </c>
      <c r="I19" s="1" t="s">
        <v>11473</v>
      </c>
      <c r="O19" t="s">
        <v>22</v>
      </c>
    </row>
    <row r="20" spans="1:15">
      <c r="A20" t="s">
        <v>5784</v>
      </c>
      <c r="B20" t="s">
        <v>5784</v>
      </c>
      <c r="C20" t="s">
        <v>5657</v>
      </c>
      <c r="F20">
        <v>1</v>
      </c>
      <c r="G20" s="1" t="s">
        <v>136</v>
      </c>
      <c r="I20" s="1" t="s">
        <v>11473</v>
      </c>
      <c r="O20" t="s">
        <v>22</v>
      </c>
    </row>
    <row r="21" spans="1:15">
      <c r="A21" t="s">
        <v>7980</v>
      </c>
      <c r="B21" t="s">
        <v>7980</v>
      </c>
      <c r="C21" t="s">
        <v>5657</v>
      </c>
      <c r="F21">
        <v>1</v>
      </c>
      <c r="G21" s="1" t="s">
        <v>137</v>
      </c>
      <c r="I21" s="1" t="s">
        <v>11473</v>
      </c>
      <c r="O21" t="s">
        <v>22</v>
      </c>
    </row>
    <row r="22" spans="1:15">
      <c r="A22" t="s">
        <v>10277</v>
      </c>
      <c r="B22" t="s">
        <v>10277</v>
      </c>
      <c r="C22" t="s">
        <v>5657</v>
      </c>
      <c r="F22">
        <v>1</v>
      </c>
      <c r="G22" s="1" t="s">
        <v>138</v>
      </c>
      <c r="I22" s="1" t="s">
        <v>11473</v>
      </c>
      <c r="O22" t="s">
        <v>22</v>
      </c>
    </row>
    <row r="23" spans="1:15">
      <c r="A23" t="s">
        <v>8835</v>
      </c>
      <c r="B23" t="s">
        <v>8835</v>
      </c>
      <c r="C23" t="s">
        <v>4485</v>
      </c>
      <c r="F23">
        <v>1</v>
      </c>
      <c r="G23" s="1" t="s">
        <v>139</v>
      </c>
      <c r="I23" s="1" t="s">
        <v>11473</v>
      </c>
      <c r="O23" t="s">
        <v>22</v>
      </c>
    </row>
    <row r="24" spans="1:15">
      <c r="A24" t="s">
        <v>7866</v>
      </c>
      <c r="B24" t="s">
        <v>7866</v>
      </c>
      <c r="C24" t="s">
        <v>7867</v>
      </c>
      <c r="F24">
        <v>1</v>
      </c>
      <c r="G24" s="1" t="s">
        <v>140</v>
      </c>
      <c r="I24" s="1" t="s">
        <v>11473</v>
      </c>
      <c r="O24" t="s">
        <v>22</v>
      </c>
    </row>
    <row r="25" spans="1:15">
      <c r="A25" t="s">
        <v>10060</v>
      </c>
      <c r="B25" t="s">
        <v>10060</v>
      </c>
      <c r="C25" t="s">
        <v>10061</v>
      </c>
      <c r="F25">
        <v>1</v>
      </c>
      <c r="G25" s="1" t="s">
        <v>141</v>
      </c>
      <c r="I25" s="1" t="s">
        <v>11473</v>
      </c>
      <c r="O25" t="s">
        <v>22</v>
      </c>
    </row>
    <row r="26" spans="1:15">
      <c r="A26" t="s">
        <v>9316</v>
      </c>
      <c r="B26" t="s">
        <v>9316</v>
      </c>
      <c r="C26" t="s">
        <v>9317</v>
      </c>
      <c r="F26">
        <v>1</v>
      </c>
      <c r="G26" s="1" t="s">
        <v>142</v>
      </c>
      <c r="I26" s="1" t="s">
        <v>11473</v>
      </c>
      <c r="O26" t="s">
        <v>22</v>
      </c>
    </row>
    <row r="27" spans="1:15">
      <c r="A27" t="s">
        <v>9875</v>
      </c>
      <c r="B27" t="s">
        <v>9875</v>
      </c>
      <c r="C27" t="s">
        <v>4144</v>
      </c>
      <c r="F27">
        <v>1</v>
      </c>
      <c r="G27" s="1" t="s">
        <v>143</v>
      </c>
      <c r="I27" s="1" t="s">
        <v>11473</v>
      </c>
      <c r="O27" t="s">
        <v>22</v>
      </c>
    </row>
    <row r="28" spans="1:15">
      <c r="A28" t="s">
        <v>5736</v>
      </c>
      <c r="B28" t="s">
        <v>5736</v>
      </c>
      <c r="C28" t="s">
        <v>4384</v>
      </c>
      <c r="F28">
        <v>1</v>
      </c>
      <c r="G28" s="1" t="s">
        <v>144</v>
      </c>
      <c r="I28" s="1" t="s">
        <v>11473</v>
      </c>
      <c r="O28" t="s">
        <v>22</v>
      </c>
    </row>
    <row r="29" spans="1:15">
      <c r="A29" t="s">
        <v>9188</v>
      </c>
      <c r="B29" t="s">
        <v>9188</v>
      </c>
      <c r="C29" t="s">
        <v>9189</v>
      </c>
      <c r="F29">
        <v>1</v>
      </c>
      <c r="G29" s="1" t="s">
        <v>145</v>
      </c>
      <c r="I29" s="1" t="s">
        <v>11473</v>
      </c>
      <c r="O29" t="s">
        <v>22</v>
      </c>
    </row>
    <row r="30" spans="1:15">
      <c r="A30" t="s">
        <v>10830</v>
      </c>
      <c r="B30" t="s">
        <v>10830</v>
      </c>
      <c r="C30" t="s">
        <v>5335</v>
      </c>
      <c r="F30">
        <v>1</v>
      </c>
      <c r="G30" s="1" t="s">
        <v>146</v>
      </c>
      <c r="I30" s="1" t="s">
        <v>11473</v>
      </c>
      <c r="O30" t="s">
        <v>22</v>
      </c>
    </row>
    <row r="31" spans="1:15">
      <c r="A31" t="s">
        <v>10831</v>
      </c>
      <c r="B31" t="s">
        <v>10831</v>
      </c>
      <c r="C31" t="s">
        <v>5335</v>
      </c>
      <c r="F31">
        <v>1</v>
      </c>
      <c r="G31" s="1" t="s">
        <v>147</v>
      </c>
      <c r="I31" s="1" t="s">
        <v>11473</v>
      </c>
      <c r="O31" t="s">
        <v>22</v>
      </c>
    </row>
    <row r="32" spans="1:15">
      <c r="A32" t="s">
        <v>5776</v>
      </c>
      <c r="B32" t="s">
        <v>5776</v>
      </c>
      <c r="C32" t="s">
        <v>5777</v>
      </c>
      <c r="F32">
        <v>1</v>
      </c>
      <c r="G32" s="1" t="s">
        <v>148</v>
      </c>
      <c r="I32" s="1" t="s">
        <v>11473</v>
      </c>
      <c r="O32" t="s">
        <v>22</v>
      </c>
    </row>
    <row r="33" spans="1:15">
      <c r="A33" t="s">
        <v>10180</v>
      </c>
      <c r="B33" t="s">
        <v>10180</v>
      </c>
      <c r="C33" t="s">
        <v>4202</v>
      </c>
      <c r="F33">
        <v>1</v>
      </c>
      <c r="G33" s="1" t="s">
        <v>149</v>
      </c>
      <c r="I33" s="1" t="s">
        <v>11473</v>
      </c>
      <c r="O33" t="s">
        <v>22</v>
      </c>
    </row>
    <row r="34" spans="1:15">
      <c r="A34" t="s">
        <v>6118</v>
      </c>
      <c r="B34" t="s">
        <v>6118</v>
      </c>
      <c r="C34" t="s">
        <v>4631</v>
      </c>
      <c r="F34">
        <v>1</v>
      </c>
      <c r="G34" s="1" t="s">
        <v>150</v>
      </c>
      <c r="I34" s="1" t="s">
        <v>11473</v>
      </c>
      <c r="O34" t="s">
        <v>22</v>
      </c>
    </row>
    <row r="35" spans="1:15">
      <c r="A35" t="s">
        <v>10754</v>
      </c>
      <c r="B35" t="s">
        <v>10754</v>
      </c>
      <c r="C35" t="s">
        <v>4631</v>
      </c>
      <c r="F35">
        <v>1</v>
      </c>
      <c r="G35" s="1" t="s">
        <v>151</v>
      </c>
      <c r="I35" s="1" t="s">
        <v>11473</v>
      </c>
      <c r="O35" t="s">
        <v>22</v>
      </c>
    </row>
    <row r="36" spans="1:15">
      <c r="A36" t="s">
        <v>10961</v>
      </c>
      <c r="B36" t="s">
        <v>10961</v>
      </c>
      <c r="C36" t="s">
        <v>4631</v>
      </c>
      <c r="F36">
        <v>1</v>
      </c>
      <c r="G36" s="1" t="s">
        <v>152</v>
      </c>
      <c r="I36" s="1" t="s">
        <v>11473</v>
      </c>
      <c r="O36" t="s">
        <v>22</v>
      </c>
    </row>
    <row r="37" spans="1:15">
      <c r="A37" t="s">
        <v>10607</v>
      </c>
      <c r="B37" t="s">
        <v>10607</v>
      </c>
      <c r="C37" t="s">
        <v>10608</v>
      </c>
      <c r="F37">
        <v>1</v>
      </c>
      <c r="G37" s="1" t="s">
        <v>153</v>
      </c>
      <c r="I37" s="1" t="s">
        <v>11473</v>
      </c>
      <c r="O37" t="s">
        <v>22</v>
      </c>
    </row>
    <row r="38" spans="1:15">
      <c r="A38" t="s">
        <v>7969</v>
      </c>
      <c r="B38" t="s">
        <v>7969</v>
      </c>
      <c r="C38" t="s">
        <v>4419</v>
      </c>
      <c r="F38">
        <v>1</v>
      </c>
      <c r="G38" s="1" t="s">
        <v>154</v>
      </c>
      <c r="I38" s="1" t="s">
        <v>11473</v>
      </c>
      <c r="O38" t="s">
        <v>22</v>
      </c>
    </row>
    <row r="39" spans="1:15">
      <c r="A39" t="s">
        <v>9278</v>
      </c>
      <c r="B39" t="s">
        <v>9278</v>
      </c>
      <c r="C39" t="s">
        <v>9279</v>
      </c>
      <c r="F39">
        <v>1</v>
      </c>
      <c r="G39" s="1" t="s">
        <v>155</v>
      </c>
      <c r="I39" s="1" t="s">
        <v>11473</v>
      </c>
      <c r="O39" t="s">
        <v>22</v>
      </c>
    </row>
    <row r="40" spans="1:15">
      <c r="A40" t="s">
        <v>5774</v>
      </c>
      <c r="B40" t="s">
        <v>5774</v>
      </c>
      <c r="C40" t="s">
        <v>5775</v>
      </c>
      <c r="F40">
        <v>1</v>
      </c>
      <c r="G40" s="1" t="s">
        <v>156</v>
      </c>
      <c r="I40" s="1" t="s">
        <v>11473</v>
      </c>
      <c r="O40" t="s">
        <v>22</v>
      </c>
    </row>
    <row r="41" spans="1:15">
      <c r="A41" t="s">
        <v>8847</v>
      </c>
      <c r="B41" t="s">
        <v>8847</v>
      </c>
      <c r="C41" t="s">
        <v>4786</v>
      </c>
      <c r="F41">
        <v>1</v>
      </c>
      <c r="G41" s="1" t="s">
        <v>157</v>
      </c>
      <c r="I41" s="1" t="s">
        <v>11473</v>
      </c>
      <c r="O41" t="s">
        <v>22</v>
      </c>
    </row>
    <row r="42" spans="1:15">
      <c r="A42" t="s">
        <v>10626</v>
      </c>
      <c r="B42" t="s">
        <v>10626</v>
      </c>
      <c r="C42" t="s">
        <v>4786</v>
      </c>
      <c r="F42">
        <v>1</v>
      </c>
      <c r="G42" s="1" t="s">
        <v>158</v>
      </c>
      <c r="I42" s="1" t="s">
        <v>11473</v>
      </c>
      <c r="O42" t="s">
        <v>22</v>
      </c>
    </row>
    <row r="43" spans="1:15">
      <c r="A43" t="s">
        <v>8861</v>
      </c>
      <c r="B43" t="s">
        <v>8861</v>
      </c>
      <c r="C43" t="s">
        <v>8862</v>
      </c>
      <c r="F43">
        <v>1</v>
      </c>
      <c r="G43" s="1" t="s">
        <v>159</v>
      </c>
      <c r="I43" s="1" t="s">
        <v>11473</v>
      </c>
      <c r="O43" t="s">
        <v>22</v>
      </c>
    </row>
    <row r="44" spans="1:15">
      <c r="A44" t="s">
        <v>5640</v>
      </c>
      <c r="B44" t="s">
        <v>5640</v>
      </c>
      <c r="C44" t="s">
        <v>5641</v>
      </c>
      <c r="F44">
        <v>1</v>
      </c>
      <c r="G44" s="1" t="s">
        <v>160</v>
      </c>
      <c r="I44" s="1" t="s">
        <v>11473</v>
      </c>
      <c r="O44" t="s">
        <v>22</v>
      </c>
    </row>
    <row r="45" spans="1:15">
      <c r="A45" t="s">
        <v>8967</v>
      </c>
      <c r="B45" t="s">
        <v>8967</v>
      </c>
      <c r="C45" t="s">
        <v>8968</v>
      </c>
      <c r="F45">
        <v>1</v>
      </c>
      <c r="G45" s="1" t="s">
        <v>161</v>
      </c>
      <c r="I45" s="1" t="s">
        <v>11473</v>
      </c>
      <c r="O45" t="s">
        <v>22</v>
      </c>
    </row>
    <row r="46" spans="1:15">
      <c r="A46" t="s">
        <v>6486</v>
      </c>
      <c r="B46" t="s">
        <v>6486</v>
      </c>
      <c r="C46" t="s">
        <v>6487</v>
      </c>
      <c r="F46">
        <v>1</v>
      </c>
      <c r="G46" s="1" t="s">
        <v>162</v>
      </c>
      <c r="I46" s="1" t="s">
        <v>11473</v>
      </c>
      <c r="O46" t="s">
        <v>22</v>
      </c>
    </row>
    <row r="47" spans="1:15">
      <c r="A47" t="s">
        <v>8093</v>
      </c>
      <c r="B47" t="s">
        <v>8093</v>
      </c>
      <c r="C47" t="s">
        <v>8094</v>
      </c>
      <c r="F47">
        <v>1</v>
      </c>
      <c r="G47" s="1" t="s">
        <v>163</v>
      </c>
      <c r="I47" s="1" t="s">
        <v>11473</v>
      </c>
      <c r="O47" t="s">
        <v>22</v>
      </c>
    </row>
    <row r="48" spans="1:15">
      <c r="A48" t="s">
        <v>6730</v>
      </c>
      <c r="B48" t="s">
        <v>6730</v>
      </c>
      <c r="C48" t="s">
        <v>6731</v>
      </c>
      <c r="F48">
        <v>1</v>
      </c>
      <c r="G48" s="1" t="s">
        <v>164</v>
      </c>
      <c r="I48" s="1" t="s">
        <v>11473</v>
      </c>
      <c r="O48" t="s">
        <v>22</v>
      </c>
    </row>
    <row r="49" spans="1:15">
      <c r="A49" t="s">
        <v>10109</v>
      </c>
      <c r="B49" t="s">
        <v>10109</v>
      </c>
      <c r="C49" t="s">
        <v>10110</v>
      </c>
      <c r="F49">
        <v>1</v>
      </c>
      <c r="G49" s="1" t="s">
        <v>165</v>
      </c>
      <c r="I49" s="1" t="s">
        <v>11473</v>
      </c>
      <c r="O49" t="s">
        <v>22</v>
      </c>
    </row>
    <row r="50" spans="1:15">
      <c r="A50" t="s">
        <v>6294</v>
      </c>
      <c r="B50" t="s">
        <v>6294</v>
      </c>
      <c r="C50" t="s">
        <v>6295</v>
      </c>
      <c r="F50">
        <v>1</v>
      </c>
      <c r="G50" s="1" t="s">
        <v>166</v>
      </c>
      <c r="I50" s="1" t="s">
        <v>11473</v>
      </c>
      <c r="O50" t="s">
        <v>22</v>
      </c>
    </row>
    <row r="51" spans="1:15">
      <c r="A51" t="s">
        <v>9961</v>
      </c>
      <c r="B51" t="s">
        <v>9961</v>
      </c>
      <c r="C51" t="s">
        <v>9962</v>
      </c>
      <c r="F51">
        <v>1</v>
      </c>
      <c r="G51" s="1" t="s">
        <v>167</v>
      </c>
      <c r="I51" s="1" t="s">
        <v>11473</v>
      </c>
      <c r="O51" t="s">
        <v>22</v>
      </c>
    </row>
    <row r="52" spans="1:15">
      <c r="A52" t="s">
        <v>10267</v>
      </c>
      <c r="B52" t="s">
        <v>10267</v>
      </c>
      <c r="C52" t="s">
        <v>9962</v>
      </c>
      <c r="F52">
        <v>1</v>
      </c>
      <c r="G52" s="1" t="s">
        <v>168</v>
      </c>
      <c r="I52" s="1" t="s">
        <v>11473</v>
      </c>
      <c r="O52" t="s">
        <v>22</v>
      </c>
    </row>
    <row r="53" spans="1:15">
      <c r="A53" t="s">
        <v>10170</v>
      </c>
      <c r="B53" t="s">
        <v>10170</v>
      </c>
      <c r="C53" t="s">
        <v>10171</v>
      </c>
      <c r="F53">
        <v>1</v>
      </c>
      <c r="G53" s="1" t="s">
        <v>169</v>
      </c>
      <c r="I53" s="1" t="s">
        <v>11473</v>
      </c>
      <c r="O53" t="s">
        <v>22</v>
      </c>
    </row>
    <row r="54" spans="1:15">
      <c r="A54" t="s">
        <v>5636</v>
      </c>
      <c r="B54" t="s">
        <v>5636</v>
      </c>
      <c r="C54" t="s">
        <v>4206</v>
      </c>
      <c r="F54">
        <v>1</v>
      </c>
      <c r="G54" s="1" t="s">
        <v>170</v>
      </c>
      <c r="I54" s="1" t="s">
        <v>11473</v>
      </c>
      <c r="O54" t="s">
        <v>22</v>
      </c>
    </row>
    <row r="55" spans="1:15">
      <c r="A55" t="s">
        <v>10568</v>
      </c>
      <c r="B55" t="s">
        <v>10568</v>
      </c>
      <c r="C55" t="s">
        <v>4206</v>
      </c>
      <c r="F55">
        <v>1</v>
      </c>
      <c r="G55" s="1" t="s">
        <v>171</v>
      </c>
      <c r="I55" s="1" t="s">
        <v>11473</v>
      </c>
      <c r="O55" t="s">
        <v>22</v>
      </c>
    </row>
    <row r="56" spans="1:15">
      <c r="A56" t="s">
        <v>10731</v>
      </c>
      <c r="B56" t="s">
        <v>10731</v>
      </c>
      <c r="C56" t="s">
        <v>10732</v>
      </c>
      <c r="F56">
        <v>1</v>
      </c>
      <c r="G56" s="1" t="s">
        <v>172</v>
      </c>
      <c r="I56" s="1" t="s">
        <v>11473</v>
      </c>
      <c r="O56" t="s">
        <v>22</v>
      </c>
    </row>
    <row r="57" spans="1:15">
      <c r="A57" t="s">
        <v>10971</v>
      </c>
      <c r="B57" t="s">
        <v>10971</v>
      </c>
      <c r="C57" t="s">
        <v>10972</v>
      </c>
      <c r="F57">
        <v>1</v>
      </c>
      <c r="G57" s="1" t="s">
        <v>173</v>
      </c>
      <c r="I57" s="1" t="s">
        <v>11473</v>
      </c>
      <c r="O57" t="s">
        <v>22</v>
      </c>
    </row>
    <row r="58" spans="1:15">
      <c r="A58" t="s">
        <v>7989</v>
      </c>
      <c r="B58" t="s">
        <v>7989</v>
      </c>
      <c r="C58" t="s">
        <v>4785</v>
      </c>
      <c r="F58">
        <v>1</v>
      </c>
      <c r="G58" s="1" t="s">
        <v>174</v>
      </c>
      <c r="I58" s="1" t="s">
        <v>11473</v>
      </c>
      <c r="O58" t="s">
        <v>22</v>
      </c>
    </row>
    <row r="59" spans="1:15">
      <c r="A59" t="s">
        <v>9924</v>
      </c>
      <c r="B59" t="s">
        <v>9924</v>
      </c>
      <c r="C59" t="s">
        <v>4372</v>
      </c>
      <c r="F59">
        <v>1</v>
      </c>
      <c r="G59" s="1" t="s">
        <v>175</v>
      </c>
      <c r="I59" s="1" t="s">
        <v>11473</v>
      </c>
      <c r="O59" t="s">
        <v>22</v>
      </c>
    </row>
    <row r="60" spans="1:15">
      <c r="A60" t="s">
        <v>7851</v>
      </c>
      <c r="B60" t="s">
        <v>7851</v>
      </c>
      <c r="C60" t="s">
        <v>4300</v>
      </c>
      <c r="F60">
        <v>1</v>
      </c>
      <c r="G60" s="1" t="s">
        <v>176</v>
      </c>
      <c r="I60" s="1" t="s">
        <v>11473</v>
      </c>
      <c r="O60" t="s">
        <v>22</v>
      </c>
    </row>
    <row r="61" spans="1:15">
      <c r="A61" t="s">
        <v>8318</v>
      </c>
      <c r="B61" t="s">
        <v>8318</v>
      </c>
      <c r="C61" t="s">
        <v>4300</v>
      </c>
      <c r="F61">
        <v>1</v>
      </c>
      <c r="G61" s="1" t="s">
        <v>177</v>
      </c>
      <c r="I61" s="1" t="s">
        <v>11473</v>
      </c>
      <c r="O61" t="s">
        <v>22</v>
      </c>
    </row>
    <row r="62" spans="1:15">
      <c r="A62" t="s">
        <v>9646</v>
      </c>
      <c r="B62" t="s">
        <v>9646</v>
      </c>
      <c r="C62" t="s">
        <v>9647</v>
      </c>
      <c r="F62">
        <v>1</v>
      </c>
      <c r="G62" s="1" t="s">
        <v>178</v>
      </c>
      <c r="I62" s="1" t="s">
        <v>11473</v>
      </c>
      <c r="O62" t="s">
        <v>22</v>
      </c>
    </row>
    <row r="63" spans="1:15">
      <c r="A63" t="s">
        <v>10529</v>
      </c>
      <c r="B63" t="s">
        <v>10529</v>
      </c>
      <c r="C63" t="s">
        <v>9647</v>
      </c>
      <c r="F63">
        <v>1</v>
      </c>
      <c r="G63" s="1" t="s">
        <v>179</v>
      </c>
      <c r="I63" s="1" t="s">
        <v>11473</v>
      </c>
      <c r="O63" t="s">
        <v>22</v>
      </c>
    </row>
    <row r="64" spans="1:15">
      <c r="A64" t="s">
        <v>10220</v>
      </c>
      <c r="B64" t="s">
        <v>10220</v>
      </c>
      <c r="C64" t="s">
        <v>10221</v>
      </c>
      <c r="F64">
        <v>1</v>
      </c>
      <c r="G64" s="1" t="s">
        <v>180</v>
      </c>
      <c r="I64" s="1" t="s">
        <v>11473</v>
      </c>
      <c r="O64" t="s">
        <v>22</v>
      </c>
    </row>
    <row r="65" spans="1:15">
      <c r="A65" t="s">
        <v>11456</v>
      </c>
      <c r="B65" t="s">
        <v>11456</v>
      </c>
      <c r="C65" t="s">
        <v>10221</v>
      </c>
      <c r="F65">
        <v>1</v>
      </c>
      <c r="G65" s="1" t="s">
        <v>181</v>
      </c>
      <c r="I65" s="1" t="s">
        <v>11473</v>
      </c>
      <c r="O65" t="s">
        <v>22</v>
      </c>
    </row>
    <row r="66" spans="1:15">
      <c r="A66" t="s">
        <v>6620</v>
      </c>
      <c r="B66" t="s">
        <v>6620</v>
      </c>
      <c r="C66" t="s">
        <v>6621</v>
      </c>
      <c r="F66">
        <v>1</v>
      </c>
      <c r="G66" s="1" t="s">
        <v>182</v>
      </c>
      <c r="I66" s="1" t="s">
        <v>11473</v>
      </c>
      <c r="O66" t="s">
        <v>22</v>
      </c>
    </row>
    <row r="67" spans="1:15">
      <c r="A67" t="s">
        <v>9064</v>
      </c>
      <c r="B67" t="s">
        <v>9064</v>
      </c>
      <c r="C67" t="s">
        <v>9065</v>
      </c>
      <c r="F67">
        <v>1</v>
      </c>
      <c r="G67" s="1" t="s">
        <v>183</v>
      </c>
      <c r="I67" s="1" t="s">
        <v>11473</v>
      </c>
      <c r="O67" t="s">
        <v>22</v>
      </c>
    </row>
    <row r="68" spans="1:15">
      <c r="A68" t="s">
        <v>11318</v>
      </c>
      <c r="B68" t="s">
        <v>11318</v>
      </c>
      <c r="C68" t="s">
        <v>11319</v>
      </c>
      <c r="F68">
        <v>1</v>
      </c>
      <c r="G68" s="1" t="s">
        <v>184</v>
      </c>
      <c r="I68" s="1" t="s">
        <v>11473</v>
      </c>
      <c r="O68" t="s">
        <v>22</v>
      </c>
    </row>
    <row r="69" spans="1:15">
      <c r="A69" t="s">
        <v>10253</v>
      </c>
      <c r="B69" t="s">
        <v>10253</v>
      </c>
      <c r="C69" t="s">
        <v>10254</v>
      </c>
      <c r="F69">
        <v>1</v>
      </c>
      <c r="G69" s="1" t="s">
        <v>185</v>
      </c>
      <c r="I69" s="1" t="s">
        <v>11473</v>
      </c>
      <c r="O69" t="s">
        <v>22</v>
      </c>
    </row>
    <row r="70" spans="1:15">
      <c r="A70" t="s">
        <v>9053</v>
      </c>
      <c r="B70" t="s">
        <v>9053</v>
      </c>
      <c r="C70" t="s">
        <v>9054</v>
      </c>
      <c r="F70">
        <v>1</v>
      </c>
      <c r="G70" s="1" t="s">
        <v>186</v>
      </c>
      <c r="I70" s="1" t="s">
        <v>11473</v>
      </c>
      <c r="O70" t="s">
        <v>22</v>
      </c>
    </row>
    <row r="71" spans="1:15">
      <c r="A71" t="s">
        <v>7529</v>
      </c>
      <c r="B71" t="s">
        <v>7529</v>
      </c>
      <c r="C71" t="s">
        <v>7530</v>
      </c>
      <c r="F71">
        <v>1</v>
      </c>
      <c r="G71" s="1" t="s">
        <v>187</v>
      </c>
      <c r="I71" s="1" t="s">
        <v>11473</v>
      </c>
      <c r="O71" t="s">
        <v>22</v>
      </c>
    </row>
    <row r="72" spans="1:15">
      <c r="A72" t="s">
        <v>8787</v>
      </c>
      <c r="B72" t="s">
        <v>8787</v>
      </c>
      <c r="C72" t="s">
        <v>4201</v>
      </c>
      <c r="F72">
        <v>1</v>
      </c>
      <c r="G72" s="1" t="s">
        <v>188</v>
      </c>
      <c r="I72" s="1" t="s">
        <v>11473</v>
      </c>
      <c r="O72" t="s">
        <v>22</v>
      </c>
    </row>
    <row r="73" spans="1:15">
      <c r="A73" t="s">
        <v>10883</v>
      </c>
      <c r="B73" t="s">
        <v>10883</v>
      </c>
      <c r="C73" t="s">
        <v>4093</v>
      </c>
      <c r="F73">
        <v>1</v>
      </c>
      <c r="G73" s="1" t="s">
        <v>189</v>
      </c>
      <c r="I73" s="1" t="s">
        <v>11473</v>
      </c>
      <c r="O73" t="s">
        <v>22</v>
      </c>
    </row>
    <row r="74" spans="1:15">
      <c r="A74" t="s">
        <v>9919</v>
      </c>
      <c r="B74" t="s">
        <v>9919</v>
      </c>
      <c r="C74" t="s">
        <v>9920</v>
      </c>
      <c r="F74">
        <v>1</v>
      </c>
      <c r="G74" s="1" t="s">
        <v>190</v>
      </c>
      <c r="I74" s="1" t="s">
        <v>11473</v>
      </c>
      <c r="O74" t="s">
        <v>22</v>
      </c>
    </row>
    <row r="75" spans="1:15">
      <c r="A75" t="s">
        <v>9506</v>
      </c>
      <c r="B75" t="s">
        <v>9506</v>
      </c>
      <c r="C75" t="s">
        <v>9507</v>
      </c>
      <c r="F75">
        <v>1</v>
      </c>
      <c r="G75" s="1" t="s">
        <v>191</v>
      </c>
      <c r="I75" s="1" t="s">
        <v>11473</v>
      </c>
      <c r="O75" t="s">
        <v>22</v>
      </c>
    </row>
    <row r="76" spans="1:15">
      <c r="A76" t="s">
        <v>8080</v>
      </c>
      <c r="B76" t="s">
        <v>8080</v>
      </c>
      <c r="C76" t="s">
        <v>8081</v>
      </c>
      <c r="F76">
        <v>1</v>
      </c>
      <c r="G76" s="1" t="s">
        <v>192</v>
      </c>
      <c r="I76" s="1" t="s">
        <v>11473</v>
      </c>
      <c r="O76" t="s">
        <v>22</v>
      </c>
    </row>
    <row r="77" spans="1:15">
      <c r="A77" t="s">
        <v>9652</v>
      </c>
      <c r="B77" t="s">
        <v>9652</v>
      </c>
      <c r="C77" t="s">
        <v>8081</v>
      </c>
      <c r="F77">
        <v>1</v>
      </c>
      <c r="G77" s="1" t="s">
        <v>193</v>
      </c>
      <c r="I77" s="1" t="s">
        <v>11473</v>
      </c>
      <c r="O77" t="s">
        <v>22</v>
      </c>
    </row>
    <row r="78" spans="1:15">
      <c r="A78" t="s">
        <v>6152</v>
      </c>
      <c r="B78" t="s">
        <v>6152</v>
      </c>
      <c r="C78" t="s">
        <v>4443</v>
      </c>
      <c r="F78">
        <v>1</v>
      </c>
      <c r="G78" s="1" t="s">
        <v>194</v>
      </c>
      <c r="I78" s="1" t="s">
        <v>11473</v>
      </c>
      <c r="O78" t="s">
        <v>22</v>
      </c>
    </row>
    <row r="79" spans="1:15">
      <c r="A79" t="s">
        <v>7656</v>
      </c>
      <c r="B79" t="s">
        <v>7656</v>
      </c>
      <c r="C79" t="s">
        <v>7657</v>
      </c>
      <c r="F79">
        <v>1</v>
      </c>
      <c r="G79" s="1" t="s">
        <v>195</v>
      </c>
      <c r="I79" s="1" t="s">
        <v>11473</v>
      </c>
      <c r="O79" t="s">
        <v>22</v>
      </c>
    </row>
    <row r="80" spans="1:15">
      <c r="A80" t="s">
        <v>11001</v>
      </c>
      <c r="B80" t="s">
        <v>11001</v>
      </c>
      <c r="C80" t="s">
        <v>4476</v>
      </c>
      <c r="F80">
        <v>1</v>
      </c>
      <c r="G80" s="1" t="s">
        <v>196</v>
      </c>
      <c r="I80" s="1" t="s">
        <v>11473</v>
      </c>
      <c r="O80" t="s">
        <v>22</v>
      </c>
    </row>
    <row r="81" spans="1:15">
      <c r="A81" t="s">
        <v>9516</v>
      </c>
      <c r="B81" t="s">
        <v>9516</v>
      </c>
      <c r="C81" t="s">
        <v>9517</v>
      </c>
      <c r="F81">
        <v>1</v>
      </c>
      <c r="G81" s="1" t="s">
        <v>197</v>
      </c>
      <c r="I81" s="1" t="s">
        <v>11473</v>
      </c>
      <c r="O81" t="s">
        <v>22</v>
      </c>
    </row>
    <row r="82" spans="1:15">
      <c r="A82" t="s">
        <v>9973</v>
      </c>
      <c r="B82" t="s">
        <v>9973</v>
      </c>
      <c r="C82" t="s">
        <v>9517</v>
      </c>
      <c r="F82">
        <v>1</v>
      </c>
      <c r="G82" s="1" t="s">
        <v>198</v>
      </c>
      <c r="I82" s="1" t="s">
        <v>11473</v>
      </c>
      <c r="O82" t="s">
        <v>22</v>
      </c>
    </row>
    <row r="83" spans="1:15">
      <c r="A83" t="s">
        <v>8265</v>
      </c>
      <c r="B83" t="s">
        <v>8265</v>
      </c>
      <c r="C83" t="s">
        <v>5035</v>
      </c>
      <c r="F83">
        <v>1</v>
      </c>
      <c r="G83" s="1" t="s">
        <v>199</v>
      </c>
      <c r="I83" s="1" t="s">
        <v>11473</v>
      </c>
      <c r="O83" t="s">
        <v>22</v>
      </c>
    </row>
    <row r="84" spans="1:15">
      <c r="A84" t="s">
        <v>5765</v>
      </c>
      <c r="B84" t="s">
        <v>5765</v>
      </c>
      <c r="C84" t="s">
        <v>4761</v>
      </c>
      <c r="F84">
        <v>1</v>
      </c>
      <c r="G84" s="1" t="s">
        <v>200</v>
      </c>
      <c r="I84" s="1" t="s">
        <v>11473</v>
      </c>
      <c r="O84" t="s">
        <v>22</v>
      </c>
    </row>
    <row r="85" spans="1:15">
      <c r="A85" t="s">
        <v>5770</v>
      </c>
      <c r="B85" t="s">
        <v>5770</v>
      </c>
      <c r="C85" t="s">
        <v>5771</v>
      </c>
      <c r="F85">
        <v>1</v>
      </c>
      <c r="G85" s="1" t="s">
        <v>201</v>
      </c>
      <c r="I85" s="1" t="s">
        <v>11473</v>
      </c>
      <c r="O85" t="s">
        <v>22</v>
      </c>
    </row>
    <row r="86" spans="1:15">
      <c r="A86" t="s">
        <v>10192</v>
      </c>
      <c r="B86" t="s">
        <v>10192</v>
      </c>
      <c r="C86" t="s">
        <v>10193</v>
      </c>
      <c r="F86">
        <v>1</v>
      </c>
      <c r="G86" s="1" t="s">
        <v>202</v>
      </c>
      <c r="I86" s="1" t="s">
        <v>11473</v>
      </c>
      <c r="O86" t="s">
        <v>22</v>
      </c>
    </row>
    <row r="87" spans="1:15">
      <c r="A87" t="s">
        <v>10726</v>
      </c>
      <c r="B87" t="s">
        <v>10726</v>
      </c>
      <c r="C87" t="s">
        <v>4098</v>
      </c>
      <c r="F87">
        <v>1</v>
      </c>
      <c r="G87" s="1" t="s">
        <v>203</v>
      </c>
      <c r="I87" s="1" t="s">
        <v>11473</v>
      </c>
      <c r="O87" t="s">
        <v>22</v>
      </c>
    </row>
    <row r="88" spans="1:15">
      <c r="A88" t="s">
        <v>10530</v>
      </c>
      <c r="B88" t="s">
        <v>10530</v>
      </c>
      <c r="C88" t="s">
        <v>10531</v>
      </c>
      <c r="F88">
        <v>1</v>
      </c>
      <c r="G88" s="1" t="s">
        <v>204</v>
      </c>
      <c r="I88" s="1" t="s">
        <v>11473</v>
      </c>
      <c r="O88" t="s">
        <v>22</v>
      </c>
    </row>
    <row r="89" spans="1:15">
      <c r="A89" t="s">
        <v>10206</v>
      </c>
      <c r="B89" t="s">
        <v>10206</v>
      </c>
      <c r="C89" t="s">
        <v>10207</v>
      </c>
      <c r="F89">
        <v>1</v>
      </c>
      <c r="G89" s="1" t="s">
        <v>205</v>
      </c>
      <c r="I89" s="1" t="s">
        <v>11473</v>
      </c>
      <c r="O89" t="s">
        <v>22</v>
      </c>
    </row>
    <row r="90" spans="1:15">
      <c r="A90" t="s">
        <v>7870</v>
      </c>
      <c r="B90" t="s">
        <v>7870</v>
      </c>
      <c r="C90" t="s">
        <v>7871</v>
      </c>
      <c r="F90">
        <v>1</v>
      </c>
      <c r="G90" s="1" t="s">
        <v>206</v>
      </c>
      <c r="I90" s="1" t="s">
        <v>11473</v>
      </c>
      <c r="O90" t="s">
        <v>22</v>
      </c>
    </row>
    <row r="91" spans="1:15">
      <c r="A91" t="s">
        <v>8944</v>
      </c>
      <c r="B91" t="s">
        <v>8944</v>
      </c>
      <c r="C91" t="s">
        <v>7871</v>
      </c>
      <c r="F91">
        <v>1</v>
      </c>
      <c r="G91" s="1" t="s">
        <v>207</v>
      </c>
      <c r="I91" s="1" t="s">
        <v>11473</v>
      </c>
      <c r="O91" t="s">
        <v>22</v>
      </c>
    </row>
    <row r="92" spans="1:15">
      <c r="A92" t="s">
        <v>9075</v>
      </c>
      <c r="B92" t="s">
        <v>9075</v>
      </c>
      <c r="C92" t="s">
        <v>9076</v>
      </c>
      <c r="F92">
        <v>1</v>
      </c>
      <c r="G92" s="1" t="s">
        <v>208</v>
      </c>
      <c r="I92" s="1" t="s">
        <v>11473</v>
      </c>
      <c r="O92" t="s">
        <v>22</v>
      </c>
    </row>
    <row r="93" spans="1:15">
      <c r="A93" t="s">
        <v>5581</v>
      </c>
      <c r="B93" t="s">
        <v>5581</v>
      </c>
      <c r="C93" t="s">
        <v>4647</v>
      </c>
      <c r="F93">
        <v>1</v>
      </c>
      <c r="G93" s="1" t="s">
        <v>209</v>
      </c>
      <c r="I93" s="1" t="s">
        <v>11473</v>
      </c>
      <c r="O93" t="s">
        <v>22</v>
      </c>
    </row>
    <row r="94" spans="1:15">
      <c r="A94" t="s">
        <v>7409</v>
      </c>
      <c r="B94" t="s">
        <v>7409</v>
      </c>
      <c r="C94" t="s">
        <v>7410</v>
      </c>
      <c r="F94">
        <v>1</v>
      </c>
      <c r="G94" s="1" t="s">
        <v>210</v>
      </c>
      <c r="I94" s="1" t="s">
        <v>11473</v>
      </c>
      <c r="O94" t="s">
        <v>22</v>
      </c>
    </row>
    <row r="95" spans="1:15">
      <c r="A95" t="s">
        <v>10694</v>
      </c>
      <c r="B95" t="s">
        <v>10694</v>
      </c>
      <c r="C95" t="s">
        <v>7410</v>
      </c>
      <c r="F95">
        <v>1</v>
      </c>
      <c r="G95" s="1" t="s">
        <v>211</v>
      </c>
      <c r="I95" s="1" t="s">
        <v>11473</v>
      </c>
      <c r="O95" t="s">
        <v>22</v>
      </c>
    </row>
    <row r="96" spans="1:15">
      <c r="A96" t="s">
        <v>9181</v>
      </c>
      <c r="B96" t="s">
        <v>9181</v>
      </c>
      <c r="C96" t="s">
        <v>9182</v>
      </c>
      <c r="F96">
        <v>1</v>
      </c>
      <c r="G96" s="1" t="s">
        <v>212</v>
      </c>
      <c r="I96" s="1" t="s">
        <v>11473</v>
      </c>
      <c r="O96" t="s">
        <v>22</v>
      </c>
    </row>
    <row r="97" spans="1:15">
      <c r="A97" t="s">
        <v>10840</v>
      </c>
      <c r="B97" t="s">
        <v>10840</v>
      </c>
      <c r="C97" t="s">
        <v>9182</v>
      </c>
      <c r="F97">
        <v>1</v>
      </c>
      <c r="G97" s="1" t="s">
        <v>213</v>
      </c>
      <c r="I97" s="1" t="s">
        <v>11473</v>
      </c>
      <c r="O97" t="s">
        <v>22</v>
      </c>
    </row>
    <row r="98" spans="1:15">
      <c r="A98" t="s">
        <v>6618</v>
      </c>
      <c r="B98" t="s">
        <v>6618</v>
      </c>
      <c r="C98" t="s">
        <v>6619</v>
      </c>
      <c r="F98">
        <v>1</v>
      </c>
      <c r="G98" s="1" t="s">
        <v>214</v>
      </c>
      <c r="I98" s="1" t="s">
        <v>11473</v>
      </c>
      <c r="O98" t="s">
        <v>22</v>
      </c>
    </row>
    <row r="99" spans="1:15">
      <c r="A99" t="s">
        <v>9872</v>
      </c>
      <c r="B99" t="s">
        <v>9872</v>
      </c>
      <c r="C99" t="s">
        <v>9873</v>
      </c>
      <c r="F99">
        <v>1</v>
      </c>
      <c r="G99" s="1" t="s">
        <v>215</v>
      </c>
      <c r="I99" s="1" t="s">
        <v>11473</v>
      </c>
      <c r="O99" t="s">
        <v>22</v>
      </c>
    </row>
    <row r="100" spans="1:15">
      <c r="A100" t="s">
        <v>6609</v>
      </c>
      <c r="B100" t="s">
        <v>6609</v>
      </c>
      <c r="C100" t="s">
        <v>4022</v>
      </c>
      <c r="F100">
        <v>1</v>
      </c>
      <c r="G100" s="1" t="s">
        <v>216</v>
      </c>
      <c r="I100" s="1" t="s">
        <v>11473</v>
      </c>
      <c r="O100" t="s">
        <v>22</v>
      </c>
    </row>
    <row r="101" spans="1:15">
      <c r="A101" t="s">
        <v>6855</v>
      </c>
      <c r="B101" t="s">
        <v>6855</v>
      </c>
      <c r="C101" t="s">
        <v>4224</v>
      </c>
      <c r="F101">
        <v>1</v>
      </c>
      <c r="G101" s="1" t="s">
        <v>217</v>
      </c>
      <c r="I101" s="1" t="s">
        <v>11473</v>
      </c>
      <c r="O101" t="s">
        <v>22</v>
      </c>
    </row>
    <row r="102" spans="1:15">
      <c r="A102" t="s">
        <v>8280</v>
      </c>
      <c r="B102" t="s">
        <v>8280</v>
      </c>
      <c r="C102" t="s">
        <v>4224</v>
      </c>
      <c r="F102">
        <v>1</v>
      </c>
      <c r="G102" s="1" t="s">
        <v>218</v>
      </c>
      <c r="I102" s="1" t="s">
        <v>11473</v>
      </c>
      <c r="O102" t="s">
        <v>22</v>
      </c>
    </row>
    <row r="103" spans="1:15">
      <c r="A103" t="s">
        <v>5595</v>
      </c>
      <c r="B103" t="s">
        <v>5595</v>
      </c>
      <c r="C103" t="s">
        <v>5596</v>
      </c>
      <c r="F103">
        <v>1</v>
      </c>
      <c r="G103" s="1" t="s">
        <v>219</v>
      </c>
      <c r="I103" s="1" t="s">
        <v>11473</v>
      </c>
      <c r="O103" t="s">
        <v>22</v>
      </c>
    </row>
    <row r="104" spans="1:15">
      <c r="A104" t="s">
        <v>11339</v>
      </c>
      <c r="B104" t="s">
        <v>11339</v>
      </c>
      <c r="C104" t="s">
        <v>4481</v>
      </c>
      <c r="F104">
        <v>1</v>
      </c>
      <c r="G104" s="1" t="s">
        <v>220</v>
      </c>
      <c r="I104" s="1" t="s">
        <v>11473</v>
      </c>
      <c r="O104" t="s">
        <v>22</v>
      </c>
    </row>
    <row r="105" spans="1:15">
      <c r="A105" t="s">
        <v>8088</v>
      </c>
      <c r="B105" t="s">
        <v>8088</v>
      </c>
      <c r="C105" t="s">
        <v>8089</v>
      </c>
      <c r="F105">
        <v>1</v>
      </c>
      <c r="G105" s="1" t="s">
        <v>221</v>
      </c>
      <c r="I105" s="1" t="s">
        <v>11473</v>
      </c>
      <c r="O105" t="s">
        <v>22</v>
      </c>
    </row>
    <row r="106" spans="1:15">
      <c r="A106" t="s">
        <v>9525</v>
      </c>
      <c r="B106" t="s">
        <v>9525</v>
      </c>
      <c r="C106" t="s">
        <v>4891</v>
      </c>
      <c r="F106">
        <v>1</v>
      </c>
      <c r="G106" s="1" t="s">
        <v>222</v>
      </c>
      <c r="I106" s="1" t="s">
        <v>11473</v>
      </c>
      <c r="O106" t="s">
        <v>22</v>
      </c>
    </row>
    <row r="107" spans="1:15">
      <c r="A107" t="s">
        <v>9208</v>
      </c>
      <c r="B107" t="s">
        <v>9208</v>
      </c>
      <c r="C107" t="s">
        <v>9209</v>
      </c>
      <c r="F107">
        <v>1</v>
      </c>
      <c r="G107" s="1" t="s">
        <v>223</v>
      </c>
      <c r="I107" s="1" t="s">
        <v>11473</v>
      </c>
      <c r="O107" t="s">
        <v>22</v>
      </c>
    </row>
    <row r="108" spans="1:15">
      <c r="A108" t="s">
        <v>6890</v>
      </c>
      <c r="B108" t="s">
        <v>6890</v>
      </c>
      <c r="C108" t="s">
        <v>4865</v>
      </c>
      <c r="F108">
        <v>1</v>
      </c>
      <c r="G108" s="1" t="s">
        <v>224</v>
      </c>
      <c r="I108" s="1" t="s">
        <v>11473</v>
      </c>
      <c r="O108" t="s">
        <v>22</v>
      </c>
    </row>
    <row r="109" spans="1:15">
      <c r="A109" t="s">
        <v>5591</v>
      </c>
      <c r="B109" t="s">
        <v>5591</v>
      </c>
      <c r="C109" t="s">
        <v>5592</v>
      </c>
      <c r="F109">
        <v>1</v>
      </c>
      <c r="G109" s="1" t="s">
        <v>225</v>
      </c>
      <c r="I109" s="1" t="s">
        <v>11473</v>
      </c>
      <c r="O109" t="s">
        <v>22</v>
      </c>
    </row>
    <row r="110" spans="1:15">
      <c r="A110" t="s">
        <v>5755</v>
      </c>
      <c r="B110" t="s">
        <v>5755</v>
      </c>
      <c r="C110" t="s">
        <v>5756</v>
      </c>
      <c r="F110">
        <v>1</v>
      </c>
      <c r="G110" s="1" t="s">
        <v>226</v>
      </c>
      <c r="I110" s="1" t="s">
        <v>11473</v>
      </c>
      <c r="O110" t="s">
        <v>22</v>
      </c>
    </row>
    <row r="111" spans="1:15">
      <c r="A111" t="s">
        <v>10289</v>
      </c>
      <c r="B111" t="s">
        <v>10289</v>
      </c>
      <c r="C111" t="s">
        <v>5756</v>
      </c>
      <c r="F111">
        <v>1</v>
      </c>
      <c r="G111" s="1" t="s">
        <v>227</v>
      </c>
      <c r="I111" s="1" t="s">
        <v>11473</v>
      </c>
      <c r="O111" t="s">
        <v>22</v>
      </c>
    </row>
    <row r="112" spans="1:15">
      <c r="A112" t="s">
        <v>10766</v>
      </c>
      <c r="B112" t="s">
        <v>10766</v>
      </c>
      <c r="C112" t="s">
        <v>5092</v>
      </c>
      <c r="F112">
        <v>1</v>
      </c>
      <c r="G112" s="1" t="s">
        <v>228</v>
      </c>
      <c r="I112" s="1" t="s">
        <v>11473</v>
      </c>
      <c r="O112" t="s">
        <v>22</v>
      </c>
    </row>
    <row r="113" spans="1:15">
      <c r="A113" t="s">
        <v>7902</v>
      </c>
      <c r="B113" t="s">
        <v>7902</v>
      </c>
      <c r="C113" t="s">
        <v>7903</v>
      </c>
      <c r="F113">
        <v>1</v>
      </c>
      <c r="G113" s="1" t="s">
        <v>229</v>
      </c>
      <c r="I113" s="1" t="s">
        <v>11473</v>
      </c>
      <c r="O113" t="s">
        <v>22</v>
      </c>
    </row>
    <row r="114" spans="1:15">
      <c r="A114" t="s">
        <v>8097</v>
      </c>
      <c r="B114" t="s">
        <v>8097</v>
      </c>
      <c r="C114" t="s">
        <v>8098</v>
      </c>
      <c r="F114">
        <v>1</v>
      </c>
      <c r="G114" s="1" t="s">
        <v>230</v>
      </c>
      <c r="I114" s="1" t="s">
        <v>11473</v>
      </c>
      <c r="O114" t="s">
        <v>22</v>
      </c>
    </row>
    <row r="115" spans="1:15">
      <c r="A115" t="s">
        <v>8276</v>
      </c>
      <c r="B115" t="s">
        <v>8276</v>
      </c>
      <c r="C115" t="s">
        <v>8277</v>
      </c>
      <c r="F115">
        <v>1</v>
      </c>
      <c r="G115" s="1" t="s">
        <v>231</v>
      </c>
      <c r="I115" s="1" t="s">
        <v>11473</v>
      </c>
      <c r="O115" t="s">
        <v>22</v>
      </c>
    </row>
    <row r="116" spans="1:15">
      <c r="A116" t="s">
        <v>8821</v>
      </c>
      <c r="B116" t="s">
        <v>8821</v>
      </c>
      <c r="C116" t="s">
        <v>8822</v>
      </c>
      <c r="F116">
        <v>1</v>
      </c>
      <c r="G116" s="1" t="s">
        <v>232</v>
      </c>
      <c r="I116" s="1" t="s">
        <v>11473</v>
      </c>
      <c r="O116" t="s">
        <v>22</v>
      </c>
    </row>
    <row r="117" spans="1:15">
      <c r="A117" t="s">
        <v>5628</v>
      </c>
      <c r="B117" t="s">
        <v>5628</v>
      </c>
      <c r="C117" t="s">
        <v>5629</v>
      </c>
      <c r="F117">
        <v>1</v>
      </c>
      <c r="G117" s="1" t="s">
        <v>233</v>
      </c>
      <c r="I117" s="1" t="s">
        <v>11473</v>
      </c>
      <c r="O117" t="s">
        <v>22</v>
      </c>
    </row>
    <row r="118" spans="1:15">
      <c r="A118" t="s">
        <v>9489</v>
      </c>
      <c r="B118" t="s">
        <v>9489</v>
      </c>
      <c r="C118" t="s">
        <v>5629</v>
      </c>
      <c r="F118">
        <v>1</v>
      </c>
      <c r="G118" s="1" t="s">
        <v>234</v>
      </c>
      <c r="I118" s="1" t="s">
        <v>11473</v>
      </c>
      <c r="O118" t="s">
        <v>22</v>
      </c>
    </row>
    <row r="119" spans="1:15">
      <c r="A119" t="s">
        <v>7849</v>
      </c>
      <c r="B119" t="s">
        <v>7849</v>
      </c>
      <c r="C119" t="s">
        <v>7850</v>
      </c>
      <c r="F119">
        <v>1</v>
      </c>
      <c r="G119" s="1" t="s">
        <v>235</v>
      </c>
      <c r="I119" s="1" t="s">
        <v>11473</v>
      </c>
      <c r="O119" t="s">
        <v>22</v>
      </c>
    </row>
    <row r="120" spans="1:15">
      <c r="A120" t="s">
        <v>10148</v>
      </c>
      <c r="B120" t="s">
        <v>10148</v>
      </c>
      <c r="C120" t="s">
        <v>10149</v>
      </c>
      <c r="F120">
        <v>1</v>
      </c>
      <c r="G120" s="1" t="s">
        <v>236</v>
      </c>
      <c r="I120" s="1" t="s">
        <v>11473</v>
      </c>
      <c r="O120" t="s">
        <v>22</v>
      </c>
    </row>
    <row r="121" spans="1:15">
      <c r="A121" t="s">
        <v>5758</v>
      </c>
      <c r="B121" t="s">
        <v>5758</v>
      </c>
      <c r="C121" t="s">
        <v>5759</v>
      </c>
      <c r="F121">
        <v>1</v>
      </c>
      <c r="G121" s="1" t="s">
        <v>237</v>
      </c>
      <c r="I121" s="1" t="s">
        <v>11473</v>
      </c>
      <c r="O121" t="s">
        <v>22</v>
      </c>
    </row>
    <row r="122" spans="1:15">
      <c r="A122" t="s">
        <v>5809</v>
      </c>
      <c r="B122" t="s">
        <v>5809</v>
      </c>
      <c r="C122" t="s">
        <v>5810</v>
      </c>
      <c r="F122">
        <v>1</v>
      </c>
      <c r="G122" s="1" t="s">
        <v>238</v>
      </c>
      <c r="I122" s="1" t="s">
        <v>11473</v>
      </c>
      <c r="O122" t="s">
        <v>22</v>
      </c>
    </row>
    <row r="123" spans="1:15">
      <c r="A123" t="s">
        <v>8330</v>
      </c>
      <c r="B123" t="s">
        <v>8330</v>
      </c>
      <c r="C123" t="s">
        <v>8331</v>
      </c>
      <c r="F123">
        <v>1</v>
      </c>
      <c r="G123" s="1" t="s">
        <v>239</v>
      </c>
      <c r="I123" s="1" t="s">
        <v>11473</v>
      </c>
      <c r="O123" t="s">
        <v>22</v>
      </c>
    </row>
    <row r="124" spans="1:15">
      <c r="A124" t="s">
        <v>11055</v>
      </c>
      <c r="B124" t="s">
        <v>11055</v>
      </c>
      <c r="C124" t="s">
        <v>11056</v>
      </c>
      <c r="F124">
        <v>1</v>
      </c>
      <c r="G124" s="1" t="s">
        <v>240</v>
      </c>
      <c r="I124" s="1" t="s">
        <v>11473</v>
      </c>
      <c r="O124" t="s">
        <v>22</v>
      </c>
    </row>
    <row r="125" spans="1:15">
      <c r="A125" t="s">
        <v>10816</v>
      </c>
      <c r="B125" t="s">
        <v>10816</v>
      </c>
      <c r="C125" t="s">
        <v>10817</v>
      </c>
      <c r="F125">
        <v>1</v>
      </c>
      <c r="G125" s="1" t="s">
        <v>241</v>
      </c>
      <c r="I125" s="1" t="s">
        <v>11473</v>
      </c>
      <c r="O125" t="s">
        <v>22</v>
      </c>
    </row>
    <row r="126" spans="1:15">
      <c r="A126" t="s">
        <v>10825</v>
      </c>
      <c r="B126" t="s">
        <v>10825</v>
      </c>
      <c r="C126" t="s">
        <v>10817</v>
      </c>
      <c r="F126">
        <v>1</v>
      </c>
      <c r="G126" s="1" t="s">
        <v>242</v>
      </c>
      <c r="I126" s="1" t="s">
        <v>11473</v>
      </c>
      <c r="O126" t="s">
        <v>22</v>
      </c>
    </row>
    <row r="127" spans="1:15">
      <c r="A127" t="s">
        <v>5782</v>
      </c>
      <c r="B127" t="s">
        <v>5782</v>
      </c>
      <c r="C127" t="s">
        <v>4518</v>
      </c>
      <c r="F127">
        <v>1</v>
      </c>
      <c r="G127" s="1" t="s">
        <v>243</v>
      </c>
      <c r="I127" s="1" t="s">
        <v>11473</v>
      </c>
      <c r="O127" t="s">
        <v>22</v>
      </c>
    </row>
    <row r="128" spans="1:15">
      <c r="A128" t="s">
        <v>7477</v>
      </c>
      <c r="B128" t="s">
        <v>7477</v>
      </c>
      <c r="C128" t="s">
        <v>7478</v>
      </c>
      <c r="F128">
        <v>1</v>
      </c>
      <c r="G128" s="1" t="s">
        <v>244</v>
      </c>
      <c r="I128" s="1" t="s">
        <v>11473</v>
      </c>
      <c r="O128" t="s">
        <v>22</v>
      </c>
    </row>
    <row r="129" spans="1:15">
      <c r="A129" t="s">
        <v>8809</v>
      </c>
      <c r="B129" t="s">
        <v>8809</v>
      </c>
      <c r="C129" t="s">
        <v>8810</v>
      </c>
      <c r="F129">
        <v>1</v>
      </c>
      <c r="G129" s="1" t="s">
        <v>245</v>
      </c>
      <c r="I129" s="1" t="s">
        <v>11473</v>
      </c>
      <c r="O129" t="s">
        <v>22</v>
      </c>
    </row>
    <row r="130" spans="1:15">
      <c r="A130" t="s">
        <v>7528</v>
      </c>
      <c r="B130" t="s">
        <v>7528</v>
      </c>
      <c r="C130" t="s">
        <v>5024</v>
      </c>
      <c r="F130">
        <v>1</v>
      </c>
      <c r="G130" s="1" t="s">
        <v>246</v>
      </c>
      <c r="I130" s="1" t="s">
        <v>11473</v>
      </c>
      <c r="O130" t="s">
        <v>22</v>
      </c>
    </row>
    <row r="131" spans="1:15">
      <c r="A131" t="s">
        <v>5646</v>
      </c>
      <c r="B131" t="s">
        <v>5646</v>
      </c>
      <c r="C131" t="s">
        <v>5647</v>
      </c>
      <c r="F131">
        <v>1</v>
      </c>
      <c r="G131" s="1" t="s">
        <v>247</v>
      </c>
      <c r="I131" s="1" t="s">
        <v>11473</v>
      </c>
      <c r="O131" t="s">
        <v>22</v>
      </c>
    </row>
    <row r="132" spans="1:15">
      <c r="A132" t="s">
        <v>6007</v>
      </c>
      <c r="B132" t="s">
        <v>6007</v>
      </c>
      <c r="C132" t="s">
        <v>5647</v>
      </c>
      <c r="F132">
        <v>1</v>
      </c>
      <c r="G132" s="1" t="s">
        <v>248</v>
      </c>
      <c r="I132" s="1" t="s">
        <v>11473</v>
      </c>
      <c r="O132" t="s">
        <v>22</v>
      </c>
    </row>
    <row r="133" spans="1:15">
      <c r="A133" t="s">
        <v>10821</v>
      </c>
      <c r="B133" t="s">
        <v>10821</v>
      </c>
      <c r="C133" t="s">
        <v>5647</v>
      </c>
      <c r="F133">
        <v>1</v>
      </c>
      <c r="G133" s="1" t="s">
        <v>249</v>
      </c>
      <c r="I133" s="1" t="s">
        <v>11473</v>
      </c>
      <c r="O133" t="s">
        <v>22</v>
      </c>
    </row>
    <row r="134" spans="1:15">
      <c r="A134" t="s">
        <v>9246</v>
      </c>
      <c r="B134" t="s">
        <v>9246</v>
      </c>
      <c r="C134" t="s">
        <v>9247</v>
      </c>
      <c r="F134">
        <v>1</v>
      </c>
      <c r="G134" s="1" t="s">
        <v>250</v>
      </c>
      <c r="I134" s="1" t="s">
        <v>11473</v>
      </c>
      <c r="O134" t="s">
        <v>22</v>
      </c>
    </row>
    <row r="135" spans="1:15">
      <c r="A135" t="s">
        <v>7765</v>
      </c>
      <c r="B135" t="s">
        <v>7765</v>
      </c>
      <c r="C135" t="s">
        <v>7766</v>
      </c>
      <c r="F135">
        <v>1</v>
      </c>
      <c r="G135" s="1" t="s">
        <v>251</v>
      </c>
      <c r="I135" s="1" t="s">
        <v>11473</v>
      </c>
      <c r="O135" t="s">
        <v>22</v>
      </c>
    </row>
    <row r="136" spans="1:15">
      <c r="A136" t="s">
        <v>7995</v>
      </c>
      <c r="B136" t="s">
        <v>7995</v>
      </c>
      <c r="C136" t="s">
        <v>4461</v>
      </c>
      <c r="F136">
        <v>1</v>
      </c>
      <c r="G136" s="1" t="s">
        <v>252</v>
      </c>
      <c r="I136" s="1" t="s">
        <v>11473</v>
      </c>
      <c r="O136" t="s">
        <v>22</v>
      </c>
    </row>
    <row r="137" spans="1:15">
      <c r="A137" t="s">
        <v>10391</v>
      </c>
      <c r="B137" t="s">
        <v>10391</v>
      </c>
      <c r="C137" t="s">
        <v>10392</v>
      </c>
      <c r="F137">
        <v>1</v>
      </c>
      <c r="G137" s="1" t="s">
        <v>253</v>
      </c>
      <c r="I137" s="1" t="s">
        <v>11473</v>
      </c>
      <c r="O137" t="s">
        <v>22</v>
      </c>
    </row>
    <row r="138" spans="1:15">
      <c r="A138" t="s">
        <v>8804</v>
      </c>
      <c r="B138" t="s">
        <v>8804</v>
      </c>
      <c r="C138" t="s">
        <v>8805</v>
      </c>
      <c r="F138">
        <v>1</v>
      </c>
      <c r="G138" s="1" t="s">
        <v>254</v>
      </c>
      <c r="I138" s="1" t="s">
        <v>11473</v>
      </c>
      <c r="O138" t="s">
        <v>22</v>
      </c>
    </row>
    <row r="139" spans="1:15">
      <c r="A139" t="s">
        <v>5778</v>
      </c>
      <c r="B139" t="s">
        <v>5778</v>
      </c>
      <c r="C139" t="s">
        <v>5779</v>
      </c>
      <c r="F139">
        <v>1</v>
      </c>
      <c r="G139" s="1" t="s">
        <v>255</v>
      </c>
      <c r="I139" s="1" t="s">
        <v>11473</v>
      </c>
      <c r="O139" t="s">
        <v>22</v>
      </c>
    </row>
    <row r="140" spans="1:15">
      <c r="A140" t="s">
        <v>7978</v>
      </c>
      <c r="B140" t="s">
        <v>7978</v>
      </c>
      <c r="C140" t="s">
        <v>4226</v>
      </c>
      <c r="F140">
        <v>1</v>
      </c>
      <c r="G140" s="1" t="s">
        <v>256</v>
      </c>
      <c r="I140" s="1" t="s">
        <v>11473</v>
      </c>
      <c r="O140" t="s">
        <v>22</v>
      </c>
    </row>
    <row r="141" spans="1:15">
      <c r="A141" t="s">
        <v>9565</v>
      </c>
      <c r="B141" t="s">
        <v>9565</v>
      </c>
      <c r="C141" t="s">
        <v>4226</v>
      </c>
      <c r="F141">
        <v>1</v>
      </c>
      <c r="G141" s="1" t="s">
        <v>257</v>
      </c>
      <c r="I141" s="1" t="s">
        <v>11473</v>
      </c>
      <c r="O141" t="s">
        <v>22</v>
      </c>
    </row>
    <row r="142" spans="1:15">
      <c r="A142" t="s">
        <v>10118</v>
      </c>
      <c r="B142" t="s">
        <v>10118</v>
      </c>
      <c r="C142" t="s">
        <v>4226</v>
      </c>
      <c r="F142">
        <v>1</v>
      </c>
      <c r="G142" s="1" t="s">
        <v>258</v>
      </c>
      <c r="I142" s="1" t="s">
        <v>11473</v>
      </c>
      <c r="O142" t="s">
        <v>22</v>
      </c>
    </row>
    <row r="143" spans="1:15">
      <c r="A143" t="s">
        <v>7868</v>
      </c>
      <c r="B143" t="s">
        <v>7868</v>
      </c>
      <c r="C143" t="s">
        <v>7869</v>
      </c>
      <c r="F143">
        <v>1</v>
      </c>
      <c r="G143" s="1" t="s">
        <v>259</v>
      </c>
      <c r="I143" s="1" t="s">
        <v>11473</v>
      </c>
      <c r="O143" t="s">
        <v>22</v>
      </c>
    </row>
    <row r="144" spans="1:15">
      <c r="A144" t="s">
        <v>9931</v>
      </c>
      <c r="B144" t="s">
        <v>9931</v>
      </c>
      <c r="C144" t="s">
        <v>7869</v>
      </c>
      <c r="F144">
        <v>1</v>
      </c>
      <c r="G144" s="1" t="s">
        <v>260</v>
      </c>
      <c r="I144" s="1" t="s">
        <v>11473</v>
      </c>
      <c r="O144" t="s">
        <v>22</v>
      </c>
    </row>
    <row r="145" spans="1:15">
      <c r="A145" t="s">
        <v>8851</v>
      </c>
      <c r="B145" t="s">
        <v>8851</v>
      </c>
      <c r="C145" t="s">
        <v>5067</v>
      </c>
      <c r="F145">
        <v>1</v>
      </c>
      <c r="G145" s="1" t="s">
        <v>261</v>
      </c>
      <c r="I145" s="1" t="s">
        <v>11473</v>
      </c>
      <c r="O145" t="s">
        <v>22</v>
      </c>
    </row>
    <row r="146" spans="1:15">
      <c r="A146" t="s">
        <v>10272</v>
      </c>
      <c r="B146" t="s">
        <v>10272</v>
      </c>
      <c r="C146" t="s">
        <v>10273</v>
      </c>
      <c r="F146">
        <v>1</v>
      </c>
      <c r="G146" s="1" t="s">
        <v>262</v>
      </c>
      <c r="I146" s="1" t="s">
        <v>11473</v>
      </c>
      <c r="O146" t="s">
        <v>22</v>
      </c>
    </row>
    <row r="147" spans="1:15">
      <c r="A147" t="s">
        <v>6449</v>
      </c>
      <c r="B147" t="s">
        <v>6449</v>
      </c>
      <c r="C147" t="s">
        <v>6450</v>
      </c>
      <c r="F147">
        <v>1</v>
      </c>
      <c r="G147" s="1" t="s">
        <v>263</v>
      </c>
      <c r="I147" s="1" t="s">
        <v>11473</v>
      </c>
      <c r="O147" t="s">
        <v>22</v>
      </c>
    </row>
    <row r="148" spans="1:15">
      <c r="A148" t="s">
        <v>11462</v>
      </c>
      <c r="B148" t="s">
        <v>11462</v>
      </c>
      <c r="C148" t="s">
        <v>11463</v>
      </c>
      <c r="F148">
        <v>1</v>
      </c>
      <c r="G148" s="1" t="s">
        <v>264</v>
      </c>
      <c r="I148" s="1" t="s">
        <v>11473</v>
      </c>
      <c r="O148" t="s">
        <v>22</v>
      </c>
    </row>
    <row r="149" spans="1:15">
      <c r="A149" t="s">
        <v>6164</v>
      </c>
      <c r="B149" t="s">
        <v>6164</v>
      </c>
      <c r="C149" t="s">
        <v>6165</v>
      </c>
      <c r="F149">
        <v>1</v>
      </c>
      <c r="G149" s="1" t="s">
        <v>265</v>
      </c>
      <c r="I149" s="1" t="s">
        <v>11473</v>
      </c>
      <c r="O149" t="s">
        <v>22</v>
      </c>
    </row>
    <row r="150" spans="1:15">
      <c r="A150" t="s">
        <v>8846</v>
      </c>
      <c r="B150" t="s">
        <v>8846</v>
      </c>
      <c r="C150" t="s">
        <v>6165</v>
      </c>
      <c r="F150">
        <v>1</v>
      </c>
      <c r="G150" s="1" t="s">
        <v>266</v>
      </c>
      <c r="I150" s="1" t="s">
        <v>11473</v>
      </c>
      <c r="O150" t="s">
        <v>22</v>
      </c>
    </row>
    <row r="151" spans="1:15">
      <c r="A151" t="s">
        <v>10643</v>
      </c>
      <c r="B151" t="s">
        <v>10643</v>
      </c>
      <c r="C151" t="s">
        <v>4479</v>
      </c>
      <c r="F151">
        <v>1</v>
      </c>
      <c r="G151" s="1" t="s">
        <v>267</v>
      </c>
      <c r="I151" s="1" t="s">
        <v>11473</v>
      </c>
      <c r="O151" t="s">
        <v>22</v>
      </c>
    </row>
    <row r="152" spans="1:15">
      <c r="A152" t="s">
        <v>10814</v>
      </c>
      <c r="B152" t="s">
        <v>10814</v>
      </c>
      <c r="C152" t="s">
        <v>10815</v>
      </c>
      <c r="F152">
        <v>1</v>
      </c>
      <c r="G152" s="1" t="s">
        <v>268</v>
      </c>
      <c r="I152" s="1" t="s">
        <v>11473</v>
      </c>
      <c r="O152" t="s">
        <v>22</v>
      </c>
    </row>
    <row r="153" spans="1:15">
      <c r="A153" t="s">
        <v>5597</v>
      </c>
      <c r="B153" t="s">
        <v>5597</v>
      </c>
      <c r="C153" t="s">
        <v>4971</v>
      </c>
      <c r="F153">
        <v>1</v>
      </c>
      <c r="G153" s="1" t="s">
        <v>269</v>
      </c>
      <c r="I153" s="1" t="s">
        <v>11473</v>
      </c>
      <c r="O153" t="s">
        <v>22</v>
      </c>
    </row>
    <row r="154" spans="1:15">
      <c r="A154" t="s">
        <v>10123</v>
      </c>
      <c r="B154" t="s">
        <v>10123</v>
      </c>
      <c r="C154" t="s">
        <v>10124</v>
      </c>
      <c r="F154">
        <v>1</v>
      </c>
      <c r="G154" s="1" t="s">
        <v>270</v>
      </c>
      <c r="I154" s="1" t="s">
        <v>11473</v>
      </c>
      <c r="O154" t="s">
        <v>22</v>
      </c>
    </row>
    <row r="155" spans="1:15">
      <c r="A155" t="s">
        <v>8980</v>
      </c>
      <c r="B155" t="s">
        <v>8980</v>
      </c>
      <c r="C155" t="s">
        <v>8981</v>
      </c>
      <c r="F155">
        <v>1</v>
      </c>
      <c r="G155" s="1" t="s">
        <v>271</v>
      </c>
      <c r="I155" s="1" t="s">
        <v>11473</v>
      </c>
      <c r="O155" t="s">
        <v>22</v>
      </c>
    </row>
    <row r="156" spans="1:15">
      <c r="A156" t="s">
        <v>5761</v>
      </c>
      <c r="B156" t="s">
        <v>5761</v>
      </c>
      <c r="C156" t="s">
        <v>5762</v>
      </c>
      <c r="F156">
        <v>1</v>
      </c>
      <c r="G156" s="1" t="s">
        <v>272</v>
      </c>
      <c r="I156" s="1" t="s">
        <v>11473</v>
      </c>
      <c r="O156" t="s">
        <v>22</v>
      </c>
    </row>
    <row r="157" spans="1:15">
      <c r="A157" t="s">
        <v>5997</v>
      </c>
      <c r="B157" t="s">
        <v>5997</v>
      </c>
      <c r="C157" t="s">
        <v>4517</v>
      </c>
      <c r="F157">
        <v>1</v>
      </c>
      <c r="G157" s="1" t="s">
        <v>273</v>
      </c>
      <c r="I157" s="1" t="s">
        <v>11473</v>
      </c>
      <c r="O157" t="s">
        <v>22</v>
      </c>
    </row>
    <row r="158" spans="1:15">
      <c r="A158" t="s">
        <v>8011</v>
      </c>
      <c r="B158" t="s">
        <v>8011</v>
      </c>
      <c r="C158" t="s">
        <v>4725</v>
      </c>
      <c r="F158">
        <v>1</v>
      </c>
      <c r="G158" s="1" t="s">
        <v>274</v>
      </c>
      <c r="I158" s="1" t="s">
        <v>11473</v>
      </c>
      <c r="O158" t="s">
        <v>22</v>
      </c>
    </row>
    <row r="159" spans="1:15">
      <c r="A159" t="s">
        <v>9195</v>
      </c>
      <c r="B159" t="s">
        <v>9195</v>
      </c>
      <c r="C159" t="s">
        <v>4516</v>
      </c>
      <c r="F159">
        <v>1</v>
      </c>
      <c r="G159" s="1" t="s">
        <v>275</v>
      </c>
      <c r="I159" s="1" t="s">
        <v>11473</v>
      </c>
      <c r="O159" t="s">
        <v>22</v>
      </c>
    </row>
    <row r="160" spans="1:15">
      <c r="A160" t="s">
        <v>6853</v>
      </c>
      <c r="B160" t="s">
        <v>6853</v>
      </c>
      <c r="C160" t="s">
        <v>6854</v>
      </c>
      <c r="F160">
        <v>1</v>
      </c>
      <c r="G160" s="1" t="s">
        <v>276</v>
      </c>
      <c r="I160" s="1" t="s">
        <v>11473</v>
      </c>
      <c r="O160" t="s">
        <v>22</v>
      </c>
    </row>
    <row r="161" spans="1:15">
      <c r="A161" t="s">
        <v>8843</v>
      </c>
      <c r="B161" t="s">
        <v>8843</v>
      </c>
      <c r="C161" t="s">
        <v>6854</v>
      </c>
      <c r="F161">
        <v>1</v>
      </c>
      <c r="G161" s="1" t="s">
        <v>277</v>
      </c>
      <c r="I161" s="1" t="s">
        <v>11473</v>
      </c>
      <c r="O161" t="s">
        <v>22</v>
      </c>
    </row>
    <row r="162" spans="1:15">
      <c r="A162" t="s">
        <v>10036</v>
      </c>
      <c r="B162" t="s">
        <v>10036</v>
      </c>
      <c r="C162" t="s">
        <v>10037</v>
      </c>
      <c r="F162">
        <v>1</v>
      </c>
      <c r="G162" s="1" t="s">
        <v>278</v>
      </c>
      <c r="I162" s="1" t="s">
        <v>11473</v>
      </c>
      <c r="O162" t="s">
        <v>22</v>
      </c>
    </row>
    <row r="163" spans="1:15">
      <c r="A163" t="s">
        <v>5598</v>
      </c>
      <c r="B163" t="s">
        <v>5598</v>
      </c>
      <c r="C163" t="s">
        <v>5599</v>
      </c>
      <c r="F163">
        <v>1</v>
      </c>
      <c r="G163" s="1" t="s">
        <v>279</v>
      </c>
      <c r="I163" s="1" t="s">
        <v>11473</v>
      </c>
      <c r="O163" t="s">
        <v>22</v>
      </c>
    </row>
    <row r="164" spans="1:15">
      <c r="A164" t="s">
        <v>5757</v>
      </c>
      <c r="B164" t="s">
        <v>5757</v>
      </c>
      <c r="C164" t="s">
        <v>5599</v>
      </c>
      <c r="F164">
        <v>1</v>
      </c>
      <c r="G164" s="1" t="s">
        <v>280</v>
      </c>
      <c r="I164" s="1" t="s">
        <v>11473</v>
      </c>
      <c r="O164" t="s">
        <v>22</v>
      </c>
    </row>
    <row r="165" spans="1:15">
      <c r="A165" t="s">
        <v>7534</v>
      </c>
      <c r="B165" t="s">
        <v>7534</v>
      </c>
      <c r="C165" t="s">
        <v>5599</v>
      </c>
      <c r="F165">
        <v>1</v>
      </c>
      <c r="G165" s="1" t="s">
        <v>281</v>
      </c>
      <c r="I165" s="1" t="s">
        <v>11473</v>
      </c>
      <c r="O165" t="s">
        <v>22</v>
      </c>
    </row>
    <row r="166" spans="1:15">
      <c r="A166" t="s">
        <v>5630</v>
      </c>
      <c r="B166" t="s">
        <v>5630</v>
      </c>
      <c r="C166" t="s">
        <v>5631</v>
      </c>
      <c r="F166">
        <v>1</v>
      </c>
      <c r="G166" s="1" t="s">
        <v>282</v>
      </c>
      <c r="I166" s="1" t="s">
        <v>11473</v>
      </c>
      <c r="O166" t="s">
        <v>22</v>
      </c>
    </row>
    <row r="167" spans="1:15">
      <c r="A167" t="s">
        <v>8051</v>
      </c>
      <c r="B167" t="s">
        <v>8051</v>
      </c>
      <c r="C167" t="s">
        <v>5631</v>
      </c>
      <c r="F167">
        <v>1</v>
      </c>
      <c r="G167" s="1" t="s">
        <v>283</v>
      </c>
      <c r="I167" s="1" t="s">
        <v>11473</v>
      </c>
      <c r="O167" t="s">
        <v>22</v>
      </c>
    </row>
    <row r="168" spans="1:15">
      <c r="A168" t="s">
        <v>8853</v>
      </c>
      <c r="B168" t="s">
        <v>8853</v>
      </c>
      <c r="C168" t="s">
        <v>8854</v>
      </c>
      <c r="F168">
        <v>1</v>
      </c>
      <c r="G168" s="1" t="s">
        <v>284</v>
      </c>
      <c r="I168" s="1" t="s">
        <v>11473</v>
      </c>
      <c r="O168" t="s">
        <v>22</v>
      </c>
    </row>
    <row r="169" spans="1:15">
      <c r="A169" t="s">
        <v>10714</v>
      </c>
      <c r="B169" t="s">
        <v>10714</v>
      </c>
      <c r="C169" t="s">
        <v>10715</v>
      </c>
      <c r="F169">
        <v>1</v>
      </c>
      <c r="G169" s="1" t="s">
        <v>285</v>
      </c>
      <c r="I169" s="1" t="s">
        <v>11473</v>
      </c>
      <c r="O169" t="s">
        <v>22</v>
      </c>
    </row>
    <row r="170" spans="1:15">
      <c r="A170" t="s">
        <v>8814</v>
      </c>
      <c r="B170" t="s">
        <v>8814</v>
      </c>
      <c r="C170" t="s">
        <v>5205</v>
      </c>
      <c r="F170">
        <v>1</v>
      </c>
      <c r="G170" s="1" t="s">
        <v>286</v>
      </c>
      <c r="I170" s="1" t="s">
        <v>11473</v>
      </c>
      <c r="O170" t="s">
        <v>22</v>
      </c>
    </row>
    <row r="171" spans="1:15">
      <c r="A171" t="s">
        <v>7717</v>
      </c>
      <c r="B171" t="s">
        <v>7717</v>
      </c>
      <c r="C171" t="s">
        <v>7718</v>
      </c>
      <c r="F171">
        <v>1</v>
      </c>
      <c r="G171" s="1" t="s">
        <v>287</v>
      </c>
      <c r="I171" s="1" t="s">
        <v>11473</v>
      </c>
      <c r="O171" t="s">
        <v>22</v>
      </c>
    </row>
    <row r="172" spans="1:15">
      <c r="A172" t="s">
        <v>8815</v>
      </c>
      <c r="B172" t="s">
        <v>8815</v>
      </c>
      <c r="C172" t="s">
        <v>5026</v>
      </c>
      <c r="F172">
        <v>1</v>
      </c>
      <c r="G172" s="1" t="s">
        <v>288</v>
      </c>
      <c r="I172" s="1" t="s">
        <v>11473</v>
      </c>
      <c r="O172" t="s">
        <v>22</v>
      </c>
    </row>
    <row r="173" spans="1:15">
      <c r="A173" t="s">
        <v>5586</v>
      </c>
      <c r="B173" t="s">
        <v>5586</v>
      </c>
      <c r="C173" t="s">
        <v>5587</v>
      </c>
      <c r="F173">
        <v>1</v>
      </c>
      <c r="G173" s="1" t="s">
        <v>289</v>
      </c>
      <c r="I173" s="1" t="s">
        <v>11473</v>
      </c>
      <c r="O173" t="s">
        <v>22</v>
      </c>
    </row>
    <row r="174" spans="1:15">
      <c r="A174" t="s">
        <v>11279</v>
      </c>
      <c r="B174" t="s">
        <v>11279</v>
      </c>
      <c r="C174" t="s">
        <v>11280</v>
      </c>
      <c r="F174">
        <v>1</v>
      </c>
      <c r="G174" s="1" t="s">
        <v>290</v>
      </c>
      <c r="I174" s="1" t="s">
        <v>11473</v>
      </c>
      <c r="O174" t="s">
        <v>22</v>
      </c>
    </row>
    <row r="175" spans="1:15">
      <c r="A175" t="s">
        <v>7844</v>
      </c>
      <c r="B175" t="s">
        <v>7844</v>
      </c>
      <c r="C175" t="s">
        <v>5014</v>
      </c>
      <c r="F175">
        <v>1</v>
      </c>
      <c r="G175" s="1" t="s">
        <v>291</v>
      </c>
      <c r="I175" s="1" t="s">
        <v>11473</v>
      </c>
      <c r="O175" t="s">
        <v>22</v>
      </c>
    </row>
    <row r="176" spans="1:15">
      <c r="A176" t="s">
        <v>10125</v>
      </c>
      <c r="B176" t="s">
        <v>10125</v>
      </c>
      <c r="C176" t="s">
        <v>4212</v>
      </c>
      <c r="F176">
        <v>1</v>
      </c>
      <c r="G176" s="1" t="s">
        <v>292</v>
      </c>
      <c r="I176" s="1" t="s">
        <v>11473</v>
      </c>
      <c r="O176" t="s">
        <v>22</v>
      </c>
    </row>
    <row r="177" spans="1:15">
      <c r="A177" t="s">
        <v>10792</v>
      </c>
      <c r="B177" t="s">
        <v>10792</v>
      </c>
      <c r="C177" t="s">
        <v>10793</v>
      </c>
      <c r="F177">
        <v>1</v>
      </c>
      <c r="G177" s="1" t="s">
        <v>293</v>
      </c>
      <c r="I177" s="1" t="s">
        <v>11473</v>
      </c>
      <c r="O177" t="s">
        <v>22</v>
      </c>
    </row>
    <row r="178" spans="1:15">
      <c r="A178" t="s">
        <v>8005</v>
      </c>
      <c r="B178" t="s">
        <v>8005</v>
      </c>
      <c r="C178" t="s">
        <v>8006</v>
      </c>
      <c r="F178">
        <v>1</v>
      </c>
      <c r="G178" s="1" t="s">
        <v>294</v>
      </c>
      <c r="I178" s="1" t="s">
        <v>11473</v>
      </c>
      <c r="O178" t="s">
        <v>22</v>
      </c>
    </row>
    <row r="179" spans="1:15">
      <c r="A179" t="s">
        <v>8084</v>
      </c>
      <c r="B179" t="s">
        <v>8084</v>
      </c>
      <c r="C179" t="s">
        <v>8085</v>
      </c>
      <c r="F179">
        <v>1</v>
      </c>
      <c r="G179" s="1" t="s">
        <v>295</v>
      </c>
      <c r="I179" s="1" t="s">
        <v>11473</v>
      </c>
      <c r="O179" t="s">
        <v>22</v>
      </c>
    </row>
    <row r="180" spans="1:15">
      <c r="A180" t="s">
        <v>11230</v>
      </c>
      <c r="B180" t="s">
        <v>11230</v>
      </c>
      <c r="C180" t="s">
        <v>5144</v>
      </c>
      <c r="F180">
        <v>1</v>
      </c>
      <c r="G180" s="1" t="s">
        <v>296</v>
      </c>
      <c r="I180" s="1" t="s">
        <v>11473</v>
      </c>
      <c r="O180" t="s">
        <v>22</v>
      </c>
    </row>
    <row r="181" spans="1:15">
      <c r="A181" t="s">
        <v>5584</v>
      </c>
      <c r="B181" t="s">
        <v>5584</v>
      </c>
      <c r="C181" t="s">
        <v>5585</v>
      </c>
      <c r="F181">
        <v>1</v>
      </c>
      <c r="G181" s="1" t="s">
        <v>297</v>
      </c>
      <c r="I181" s="1" t="s">
        <v>11473</v>
      </c>
      <c r="O181" t="s">
        <v>22</v>
      </c>
    </row>
    <row r="182" spans="1:15">
      <c r="A182" t="s">
        <v>5589</v>
      </c>
      <c r="B182" t="s">
        <v>5589</v>
      </c>
      <c r="C182" t="s">
        <v>5590</v>
      </c>
      <c r="F182">
        <v>1</v>
      </c>
      <c r="G182" s="1" t="s">
        <v>298</v>
      </c>
      <c r="I182" s="1" t="s">
        <v>11473</v>
      </c>
      <c r="O182" t="s">
        <v>22</v>
      </c>
    </row>
    <row r="183" spans="1:15">
      <c r="A183" t="s">
        <v>9673</v>
      </c>
      <c r="B183" t="s">
        <v>9673</v>
      </c>
      <c r="C183" t="s">
        <v>5590</v>
      </c>
      <c r="F183">
        <v>1</v>
      </c>
      <c r="G183" s="1" t="s">
        <v>299</v>
      </c>
      <c r="I183" s="1" t="s">
        <v>11473</v>
      </c>
      <c r="O183" t="s">
        <v>22</v>
      </c>
    </row>
    <row r="184" spans="1:15">
      <c r="A184" t="s">
        <v>8817</v>
      </c>
      <c r="B184" t="s">
        <v>8817</v>
      </c>
      <c r="C184" t="s">
        <v>8818</v>
      </c>
      <c r="F184">
        <v>1</v>
      </c>
      <c r="G184" s="1" t="s">
        <v>300</v>
      </c>
      <c r="I184" s="1" t="s">
        <v>11473</v>
      </c>
      <c r="O184" t="s">
        <v>22</v>
      </c>
    </row>
    <row r="185" spans="1:15">
      <c r="A185" t="s">
        <v>10635</v>
      </c>
      <c r="B185" t="s">
        <v>10635</v>
      </c>
      <c r="C185" t="s">
        <v>10636</v>
      </c>
      <c r="F185">
        <v>1</v>
      </c>
      <c r="G185" s="1" t="s">
        <v>301</v>
      </c>
      <c r="I185" s="1" t="s">
        <v>11473</v>
      </c>
      <c r="O185" t="s">
        <v>22</v>
      </c>
    </row>
    <row r="186" spans="1:15">
      <c r="A186" t="s">
        <v>5633</v>
      </c>
      <c r="B186" t="s">
        <v>5633</v>
      </c>
      <c r="C186" t="s">
        <v>5316</v>
      </c>
      <c r="F186">
        <v>1</v>
      </c>
      <c r="G186" s="1" t="s">
        <v>302</v>
      </c>
      <c r="I186" s="1" t="s">
        <v>11473</v>
      </c>
      <c r="O186" t="s">
        <v>22</v>
      </c>
    </row>
    <row r="187" spans="1:15">
      <c r="A187" t="s">
        <v>8560</v>
      </c>
      <c r="B187" t="s">
        <v>8560</v>
      </c>
      <c r="C187" t="s">
        <v>5316</v>
      </c>
      <c r="F187">
        <v>1</v>
      </c>
      <c r="G187" s="1" t="s">
        <v>303</v>
      </c>
      <c r="I187" s="1" t="s">
        <v>11473</v>
      </c>
      <c r="O187" t="s">
        <v>22</v>
      </c>
    </row>
    <row r="188" spans="1:15">
      <c r="A188" t="s">
        <v>10978</v>
      </c>
      <c r="B188" t="s">
        <v>10978</v>
      </c>
      <c r="C188" t="s">
        <v>10979</v>
      </c>
      <c r="F188">
        <v>1</v>
      </c>
      <c r="G188" s="1" t="s">
        <v>304</v>
      </c>
      <c r="I188" s="1" t="s">
        <v>11473</v>
      </c>
      <c r="O188" t="s">
        <v>22</v>
      </c>
    </row>
    <row r="189" spans="1:15">
      <c r="A189" t="s">
        <v>10898</v>
      </c>
      <c r="B189" t="s">
        <v>10898</v>
      </c>
      <c r="C189" t="s">
        <v>4387</v>
      </c>
      <c r="F189">
        <v>1</v>
      </c>
      <c r="G189" s="1" t="s">
        <v>305</v>
      </c>
      <c r="I189" s="1" t="s">
        <v>11473</v>
      </c>
      <c r="O189" t="s">
        <v>22</v>
      </c>
    </row>
    <row r="190" spans="1:15">
      <c r="A190" t="s">
        <v>8496</v>
      </c>
      <c r="B190" t="s">
        <v>8496</v>
      </c>
      <c r="C190" t="s">
        <v>8497</v>
      </c>
      <c r="F190">
        <v>1</v>
      </c>
      <c r="G190" s="1" t="s">
        <v>306</v>
      </c>
      <c r="I190" s="1" t="s">
        <v>11473</v>
      </c>
      <c r="O190" t="s">
        <v>22</v>
      </c>
    </row>
    <row r="191" spans="1:15">
      <c r="A191" t="s">
        <v>9616</v>
      </c>
      <c r="B191" t="s">
        <v>9616</v>
      </c>
      <c r="C191" t="s">
        <v>9617</v>
      </c>
      <c r="F191">
        <v>1</v>
      </c>
      <c r="G191" s="1" t="s">
        <v>307</v>
      </c>
      <c r="I191" s="1" t="s">
        <v>11473</v>
      </c>
      <c r="O191" t="s">
        <v>22</v>
      </c>
    </row>
    <row r="192" spans="1:15">
      <c r="A192" t="s">
        <v>6389</v>
      </c>
      <c r="B192" t="s">
        <v>6389</v>
      </c>
      <c r="C192" t="s">
        <v>6390</v>
      </c>
      <c r="F192">
        <v>1</v>
      </c>
      <c r="G192" s="1" t="s">
        <v>308</v>
      </c>
      <c r="I192" s="1" t="s">
        <v>11473</v>
      </c>
      <c r="O192" t="s">
        <v>22</v>
      </c>
    </row>
    <row r="193" spans="1:15">
      <c r="A193" t="s">
        <v>5760</v>
      </c>
      <c r="B193" t="s">
        <v>5760</v>
      </c>
      <c r="C193" t="s">
        <v>4704</v>
      </c>
      <c r="F193">
        <v>1</v>
      </c>
      <c r="G193" s="1" t="s">
        <v>309</v>
      </c>
      <c r="I193" s="1" t="s">
        <v>11473</v>
      </c>
      <c r="O193" t="s">
        <v>22</v>
      </c>
    </row>
    <row r="194" spans="1:15">
      <c r="A194" t="s">
        <v>9168</v>
      </c>
      <c r="B194" t="s">
        <v>9168</v>
      </c>
      <c r="C194" t="s">
        <v>4704</v>
      </c>
      <c r="F194">
        <v>1</v>
      </c>
      <c r="G194" s="1" t="s">
        <v>310</v>
      </c>
      <c r="I194" s="1" t="s">
        <v>11473</v>
      </c>
      <c r="O194" t="s">
        <v>22</v>
      </c>
    </row>
    <row r="195" spans="1:15">
      <c r="A195" t="s">
        <v>7914</v>
      </c>
      <c r="B195" t="s">
        <v>7914</v>
      </c>
      <c r="C195" t="s">
        <v>4872</v>
      </c>
      <c r="F195">
        <v>1</v>
      </c>
      <c r="G195" s="1" t="s">
        <v>311</v>
      </c>
      <c r="I195" s="1" t="s">
        <v>11473</v>
      </c>
      <c r="O195" t="s">
        <v>22</v>
      </c>
    </row>
    <row r="196" spans="1:15">
      <c r="A196" t="s">
        <v>9536</v>
      </c>
      <c r="B196" t="s">
        <v>9536</v>
      </c>
      <c r="C196" t="s">
        <v>9537</v>
      </c>
      <c r="F196">
        <v>1</v>
      </c>
      <c r="G196" s="1" t="s">
        <v>312</v>
      </c>
      <c r="I196" s="1" t="s">
        <v>11473</v>
      </c>
      <c r="O196" t="s">
        <v>22</v>
      </c>
    </row>
    <row r="197" spans="1:15">
      <c r="A197" t="s">
        <v>9771</v>
      </c>
      <c r="B197" t="s">
        <v>9771</v>
      </c>
      <c r="C197" t="s">
        <v>9772</v>
      </c>
      <c r="F197">
        <v>1</v>
      </c>
      <c r="G197" s="1" t="s">
        <v>313</v>
      </c>
      <c r="I197" s="1" t="s">
        <v>11473</v>
      </c>
      <c r="O197" t="s">
        <v>22</v>
      </c>
    </row>
    <row r="198" spans="1:15">
      <c r="A198" t="s">
        <v>9906</v>
      </c>
      <c r="B198" t="s">
        <v>9906</v>
      </c>
      <c r="C198" t="s">
        <v>4648</v>
      </c>
      <c r="F198">
        <v>1</v>
      </c>
      <c r="G198" s="1" t="s">
        <v>314</v>
      </c>
      <c r="I198" s="1" t="s">
        <v>11473</v>
      </c>
      <c r="O198" t="s">
        <v>22</v>
      </c>
    </row>
    <row r="199" spans="1:15">
      <c r="A199" t="s">
        <v>9389</v>
      </c>
      <c r="B199" t="s">
        <v>9389</v>
      </c>
      <c r="C199" t="s">
        <v>4025</v>
      </c>
      <c r="F199">
        <v>1</v>
      </c>
      <c r="G199" s="1" t="s">
        <v>315</v>
      </c>
      <c r="I199" s="1" t="s">
        <v>11473</v>
      </c>
      <c r="O199" t="s">
        <v>22</v>
      </c>
    </row>
    <row r="200" spans="1:15">
      <c r="A200" t="s">
        <v>10028</v>
      </c>
      <c r="B200" t="s">
        <v>10028</v>
      </c>
      <c r="C200" t="s">
        <v>4025</v>
      </c>
      <c r="F200">
        <v>1</v>
      </c>
      <c r="G200" s="1" t="s">
        <v>316</v>
      </c>
      <c r="I200" s="1" t="s">
        <v>11473</v>
      </c>
      <c r="O200" t="s">
        <v>22</v>
      </c>
    </row>
    <row r="201" spans="1:15">
      <c r="A201" t="s">
        <v>6023</v>
      </c>
      <c r="B201" t="s">
        <v>6023</v>
      </c>
      <c r="C201" t="s">
        <v>6024</v>
      </c>
      <c r="F201">
        <v>1</v>
      </c>
      <c r="G201" s="1" t="s">
        <v>317</v>
      </c>
      <c r="I201" s="1" t="s">
        <v>11473</v>
      </c>
      <c r="O201" t="s">
        <v>22</v>
      </c>
    </row>
    <row r="202" spans="1:15">
      <c r="A202" t="s">
        <v>5824</v>
      </c>
      <c r="B202" t="s">
        <v>5824</v>
      </c>
      <c r="C202" t="s">
        <v>5825</v>
      </c>
      <c r="F202">
        <v>1</v>
      </c>
      <c r="G202" s="1" t="s">
        <v>318</v>
      </c>
      <c r="I202" s="1" t="s">
        <v>11473</v>
      </c>
      <c r="O202" t="s">
        <v>22</v>
      </c>
    </row>
    <row r="203" spans="1:15">
      <c r="A203" t="s">
        <v>9405</v>
      </c>
      <c r="B203" t="s">
        <v>9405</v>
      </c>
      <c r="C203" t="s">
        <v>5825</v>
      </c>
      <c r="F203">
        <v>1</v>
      </c>
      <c r="G203" s="1" t="s">
        <v>319</v>
      </c>
      <c r="I203" s="1" t="s">
        <v>11473</v>
      </c>
      <c r="O203" t="s">
        <v>22</v>
      </c>
    </row>
    <row r="204" spans="1:15">
      <c r="A204" t="s">
        <v>10954</v>
      </c>
      <c r="B204" t="s">
        <v>10954</v>
      </c>
      <c r="C204" t="s">
        <v>10955</v>
      </c>
      <c r="F204">
        <v>1</v>
      </c>
      <c r="G204" s="1" t="s">
        <v>320</v>
      </c>
      <c r="I204" s="1" t="s">
        <v>11473</v>
      </c>
      <c r="O204" t="s">
        <v>22</v>
      </c>
    </row>
    <row r="205" spans="1:15">
      <c r="A205" t="s">
        <v>8072</v>
      </c>
      <c r="B205" t="s">
        <v>8072</v>
      </c>
      <c r="C205" t="s">
        <v>8073</v>
      </c>
      <c r="F205">
        <v>1</v>
      </c>
      <c r="G205" s="1" t="s">
        <v>321</v>
      </c>
      <c r="I205" s="1" t="s">
        <v>11473</v>
      </c>
      <c r="O205" t="s">
        <v>22</v>
      </c>
    </row>
    <row r="206" spans="1:15">
      <c r="A206" t="s">
        <v>10523</v>
      </c>
      <c r="B206" t="s">
        <v>10523</v>
      </c>
      <c r="C206" t="s">
        <v>8073</v>
      </c>
      <c r="F206">
        <v>1</v>
      </c>
      <c r="G206" s="1" t="s">
        <v>322</v>
      </c>
      <c r="I206" s="1" t="s">
        <v>11473</v>
      </c>
      <c r="O206" t="s">
        <v>22</v>
      </c>
    </row>
    <row r="207" spans="1:15">
      <c r="A207" t="s">
        <v>10532</v>
      </c>
      <c r="B207" t="s">
        <v>10532</v>
      </c>
      <c r="C207" t="s">
        <v>10533</v>
      </c>
      <c r="F207">
        <v>1</v>
      </c>
      <c r="G207" s="1" t="s">
        <v>323</v>
      </c>
      <c r="I207" s="1" t="s">
        <v>11473</v>
      </c>
      <c r="O207" t="s">
        <v>22</v>
      </c>
    </row>
    <row r="208" spans="1:15">
      <c r="A208" t="s">
        <v>8040</v>
      </c>
      <c r="B208" t="s">
        <v>8040</v>
      </c>
      <c r="C208" t="s">
        <v>4103</v>
      </c>
      <c r="F208">
        <v>1</v>
      </c>
      <c r="G208" s="1" t="s">
        <v>324</v>
      </c>
      <c r="I208" s="1" t="s">
        <v>11473</v>
      </c>
      <c r="O208" t="s">
        <v>22</v>
      </c>
    </row>
    <row r="209" spans="1:15">
      <c r="A209" t="s">
        <v>9160</v>
      </c>
      <c r="B209" t="s">
        <v>9160</v>
      </c>
      <c r="C209" t="s">
        <v>4749</v>
      </c>
      <c r="F209">
        <v>1</v>
      </c>
      <c r="G209" s="1" t="s">
        <v>325</v>
      </c>
      <c r="I209" s="1" t="s">
        <v>11473</v>
      </c>
      <c r="O209" t="s">
        <v>22</v>
      </c>
    </row>
    <row r="210" spans="1:15">
      <c r="A210" t="s">
        <v>10370</v>
      </c>
      <c r="B210" t="s">
        <v>10370</v>
      </c>
      <c r="C210" t="s">
        <v>5123</v>
      </c>
      <c r="F210">
        <v>1</v>
      </c>
      <c r="G210" s="1" t="s">
        <v>326</v>
      </c>
      <c r="I210" s="1" t="s">
        <v>11473</v>
      </c>
      <c r="O210" t="s">
        <v>22</v>
      </c>
    </row>
    <row r="211" spans="1:15">
      <c r="A211" t="s">
        <v>8075</v>
      </c>
      <c r="B211" t="s">
        <v>8075</v>
      </c>
      <c r="C211" t="s">
        <v>8076</v>
      </c>
      <c r="F211">
        <v>1</v>
      </c>
      <c r="G211" s="1" t="s">
        <v>327</v>
      </c>
      <c r="I211" s="1" t="s">
        <v>11473</v>
      </c>
      <c r="O211" t="s">
        <v>22</v>
      </c>
    </row>
    <row r="212" spans="1:15">
      <c r="A212" t="s">
        <v>9255</v>
      </c>
      <c r="B212" t="s">
        <v>9255</v>
      </c>
      <c r="C212" t="s">
        <v>4227</v>
      </c>
      <c r="F212">
        <v>1</v>
      </c>
      <c r="G212" s="1" t="s">
        <v>328</v>
      </c>
      <c r="I212" s="1" t="s">
        <v>11473</v>
      </c>
      <c r="O212" t="s">
        <v>22</v>
      </c>
    </row>
    <row r="213" spans="1:15">
      <c r="A213" t="s">
        <v>9777</v>
      </c>
      <c r="B213" t="s">
        <v>9777</v>
      </c>
      <c r="C213" t="s">
        <v>9778</v>
      </c>
      <c r="F213">
        <v>1</v>
      </c>
      <c r="G213" s="1" t="s">
        <v>329</v>
      </c>
      <c r="I213" s="1" t="s">
        <v>11473</v>
      </c>
      <c r="O213" t="s">
        <v>22</v>
      </c>
    </row>
    <row r="214" spans="1:15">
      <c r="A214" t="s">
        <v>10520</v>
      </c>
      <c r="B214" t="s">
        <v>10520</v>
      </c>
      <c r="C214" t="s">
        <v>10521</v>
      </c>
      <c r="F214">
        <v>1</v>
      </c>
      <c r="G214" s="1" t="s">
        <v>330</v>
      </c>
      <c r="I214" s="1" t="s">
        <v>11473</v>
      </c>
      <c r="O214" t="s">
        <v>22</v>
      </c>
    </row>
    <row r="215" spans="1:15">
      <c r="A215" t="s">
        <v>8019</v>
      </c>
      <c r="B215" t="s">
        <v>8019</v>
      </c>
      <c r="C215" t="s">
        <v>4483</v>
      </c>
      <c r="F215">
        <v>1</v>
      </c>
      <c r="G215" s="1" t="s">
        <v>331</v>
      </c>
      <c r="I215" s="1" t="s">
        <v>11473</v>
      </c>
      <c r="O215" t="s">
        <v>22</v>
      </c>
    </row>
    <row r="216" spans="1:15">
      <c r="A216" t="s">
        <v>10117</v>
      </c>
      <c r="B216" t="s">
        <v>10117</v>
      </c>
      <c r="C216" t="s">
        <v>4748</v>
      </c>
      <c r="F216">
        <v>1</v>
      </c>
      <c r="G216" s="1" t="s">
        <v>332</v>
      </c>
      <c r="I216" s="1" t="s">
        <v>11473</v>
      </c>
      <c r="O216" t="s">
        <v>22</v>
      </c>
    </row>
    <row r="217" spans="1:15">
      <c r="A217" t="s">
        <v>10079</v>
      </c>
      <c r="B217" t="s">
        <v>10079</v>
      </c>
      <c r="C217" t="s">
        <v>10080</v>
      </c>
      <c r="F217">
        <v>1</v>
      </c>
      <c r="G217" s="1" t="s">
        <v>333</v>
      </c>
      <c r="I217" s="1" t="s">
        <v>11473</v>
      </c>
      <c r="O217" t="s">
        <v>22</v>
      </c>
    </row>
    <row r="218" spans="1:15">
      <c r="A218" t="s">
        <v>8012</v>
      </c>
      <c r="B218" t="s">
        <v>8012</v>
      </c>
      <c r="C218" t="s">
        <v>4284</v>
      </c>
      <c r="F218">
        <v>1</v>
      </c>
      <c r="G218" s="1" t="s">
        <v>334</v>
      </c>
      <c r="I218" s="1" t="s">
        <v>11473</v>
      </c>
      <c r="O218" t="s">
        <v>22</v>
      </c>
    </row>
    <row r="219" spans="1:15">
      <c r="A219" t="s">
        <v>10923</v>
      </c>
      <c r="B219" t="s">
        <v>10923</v>
      </c>
      <c r="C219" t="s">
        <v>4284</v>
      </c>
      <c r="F219">
        <v>1</v>
      </c>
      <c r="G219" s="1" t="s">
        <v>335</v>
      </c>
      <c r="I219" s="1" t="s">
        <v>11473</v>
      </c>
      <c r="O219" t="s">
        <v>22</v>
      </c>
    </row>
    <row r="220" spans="1:15">
      <c r="A220" t="s">
        <v>5737</v>
      </c>
      <c r="B220" t="s">
        <v>5737</v>
      </c>
      <c r="C220" t="s">
        <v>4968</v>
      </c>
      <c r="F220">
        <v>1</v>
      </c>
      <c r="G220" s="1" t="s">
        <v>336</v>
      </c>
      <c r="I220" s="1" t="s">
        <v>11473</v>
      </c>
      <c r="O220" t="s">
        <v>22</v>
      </c>
    </row>
    <row r="221" spans="1:15">
      <c r="A221" t="s">
        <v>10098</v>
      </c>
      <c r="B221" t="s">
        <v>10098</v>
      </c>
      <c r="C221" t="s">
        <v>4519</v>
      </c>
      <c r="F221">
        <v>1</v>
      </c>
      <c r="G221" s="1" t="s">
        <v>337</v>
      </c>
      <c r="I221" s="1" t="s">
        <v>11473</v>
      </c>
      <c r="O221" t="s">
        <v>22</v>
      </c>
    </row>
    <row r="222" spans="1:15">
      <c r="A222" t="s">
        <v>7898</v>
      </c>
      <c r="B222" t="s">
        <v>7898</v>
      </c>
      <c r="C222" t="s">
        <v>7899</v>
      </c>
      <c r="F222">
        <v>1</v>
      </c>
      <c r="G222" s="1" t="s">
        <v>338</v>
      </c>
      <c r="I222" s="1" t="s">
        <v>11473</v>
      </c>
      <c r="O222" t="s">
        <v>22</v>
      </c>
    </row>
    <row r="223" spans="1:15">
      <c r="A223" t="s">
        <v>9381</v>
      </c>
      <c r="B223" t="s">
        <v>9381</v>
      </c>
      <c r="C223" t="s">
        <v>9382</v>
      </c>
      <c r="F223">
        <v>1</v>
      </c>
      <c r="G223" s="1" t="s">
        <v>339</v>
      </c>
      <c r="I223" s="1" t="s">
        <v>11473</v>
      </c>
      <c r="O223" t="s">
        <v>22</v>
      </c>
    </row>
    <row r="224" spans="1:15">
      <c r="A224" t="s">
        <v>8352</v>
      </c>
      <c r="B224" t="s">
        <v>8352</v>
      </c>
      <c r="C224" t="s">
        <v>8353</v>
      </c>
      <c r="F224">
        <v>1</v>
      </c>
      <c r="G224" s="1" t="s">
        <v>340</v>
      </c>
      <c r="I224" s="1" t="s">
        <v>11473</v>
      </c>
      <c r="O224" t="s">
        <v>22</v>
      </c>
    </row>
    <row r="225" spans="1:15">
      <c r="A225" t="s">
        <v>7544</v>
      </c>
      <c r="B225" t="s">
        <v>7544</v>
      </c>
      <c r="C225" t="s">
        <v>7545</v>
      </c>
      <c r="F225">
        <v>1</v>
      </c>
      <c r="G225" s="1" t="s">
        <v>341</v>
      </c>
      <c r="I225" s="1" t="s">
        <v>11473</v>
      </c>
      <c r="O225" t="s">
        <v>22</v>
      </c>
    </row>
    <row r="226" spans="1:15">
      <c r="A226" t="s">
        <v>9183</v>
      </c>
      <c r="B226" t="s">
        <v>9183</v>
      </c>
      <c r="C226" t="s">
        <v>7545</v>
      </c>
      <c r="F226">
        <v>1</v>
      </c>
      <c r="G226" s="1" t="s">
        <v>342</v>
      </c>
      <c r="I226" s="1" t="s">
        <v>11473</v>
      </c>
      <c r="O226" t="s">
        <v>22</v>
      </c>
    </row>
    <row r="227" spans="1:15">
      <c r="A227" t="s">
        <v>7690</v>
      </c>
      <c r="B227" t="s">
        <v>7690</v>
      </c>
      <c r="C227" t="s">
        <v>4386</v>
      </c>
      <c r="F227">
        <v>1</v>
      </c>
      <c r="G227" s="1" t="s">
        <v>343</v>
      </c>
      <c r="I227" s="1" t="s">
        <v>11473</v>
      </c>
      <c r="O227" t="s">
        <v>22</v>
      </c>
    </row>
    <row r="228" spans="1:15">
      <c r="A228" t="s">
        <v>5243</v>
      </c>
      <c r="B228" t="s">
        <v>5243</v>
      </c>
      <c r="C228" t="s">
        <v>10232</v>
      </c>
      <c r="F228">
        <v>1</v>
      </c>
      <c r="G228" s="1" t="s">
        <v>344</v>
      </c>
      <c r="I228" s="1" t="s">
        <v>11473</v>
      </c>
      <c r="O228" t="s">
        <v>22</v>
      </c>
    </row>
    <row r="229" spans="1:15">
      <c r="A229" t="s">
        <v>5621</v>
      </c>
      <c r="B229" t="s">
        <v>5621</v>
      </c>
      <c r="C229" t="s">
        <v>4521</v>
      </c>
      <c r="F229">
        <v>1</v>
      </c>
      <c r="G229" s="1" t="s">
        <v>345</v>
      </c>
      <c r="I229" s="1" t="s">
        <v>11473</v>
      </c>
      <c r="O229" t="s">
        <v>22</v>
      </c>
    </row>
    <row r="230" spans="1:15">
      <c r="A230" t="s">
        <v>8074</v>
      </c>
      <c r="B230" t="s">
        <v>8074</v>
      </c>
      <c r="C230" t="s">
        <v>4521</v>
      </c>
      <c r="F230">
        <v>1</v>
      </c>
      <c r="G230" s="1" t="s">
        <v>346</v>
      </c>
      <c r="I230" s="1" t="s">
        <v>11473</v>
      </c>
      <c r="O230" t="s">
        <v>22</v>
      </c>
    </row>
    <row r="231" spans="1:15">
      <c r="A231" t="s">
        <v>10522</v>
      </c>
      <c r="B231" t="s">
        <v>10522</v>
      </c>
      <c r="C231" t="s">
        <v>4521</v>
      </c>
      <c r="F231">
        <v>1</v>
      </c>
      <c r="G231" s="1" t="s">
        <v>347</v>
      </c>
      <c r="I231" s="1" t="s">
        <v>11473</v>
      </c>
      <c r="O231" t="s">
        <v>22</v>
      </c>
    </row>
    <row r="232" spans="1:15">
      <c r="A232" t="s">
        <v>9375</v>
      </c>
      <c r="B232" t="s">
        <v>9375</v>
      </c>
      <c r="C232" t="s">
        <v>9376</v>
      </c>
      <c r="F232">
        <v>1</v>
      </c>
      <c r="G232" s="1" t="s">
        <v>348</v>
      </c>
      <c r="I232" s="1" t="s">
        <v>11473</v>
      </c>
      <c r="O232" t="s">
        <v>22</v>
      </c>
    </row>
    <row r="233" spans="1:15">
      <c r="A233" t="s">
        <v>10810</v>
      </c>
      <c r="B233" t="s">
        <v>10810</v>
      </c>
      <c r="C233" t="s">
        <v>10811</v>
      </c>
      <c r="F233">
        <v>1</v>
      </c>
      <c r="G233" s="1" t="s">
        <v>349</v>
      </c>
      <c r="I233" s="1" t="s">
        <v>11473</v>
      </c>
      <c r="O233" t="s">
        <v>22</v>
      </c>
    </row>
    <row r="234" spans="1:15">
      <c r="A234" t="s">
        <v>8988</v>
      </c>
      <c r="B234" t="s">
        <v>8988</v>
      </c>
      <c r="C234" t="s">
        <v>8989</v>
      </c>
      <c r="F234">
        <v>1</v>
      </c>
      <c r="G234" s="1" t="s">
        <v>350</v>
      </c>
      <c r="I234" s="1" t="s">
        <v>11473</v>
      </c>
      <c r="O234" t="s">
        <v>22</v>
      </c>
    </row>
    <row r="235" spans="1:15">
      <c r="A235" t="s">
        <v>5612</v>
      </c>
      <c r="B235" t="s">
        <v>5612</v>
      </c>
      <c r="C235" t="s">
        <v>5613</v>
      </c>
      <c r="F235">
        <v>1</v>
      </c>
      <c r="G235" s="1" t="s">
        <v>351</v>
      </c>
      <c r="I235" s="1" t="s">
        <v>11473</v>
      </c>
      <c r="O235" t="s">
        <v>22</v>
      </c>
    </row>
    <row r="236" spans="1:15">
      <c r="A236" t="s">
        <v>10525</v>
      </c>
      <c r="B236" t="s">
        <v>10525</v>
      </c>
      <c r="C236" t="s">
        <v>10526</v>
      </c>
      <c r="F236">
        <v>1</v>
      </c>
      <c r="G236" s="1" t="s">
        <v>352</v>
      </c>
      <c r="I236" s="1" t="s">
        <v>11473</v>
      </c>
      <c r="O236" t="s">
        <v>22</v>
      </c>
    </row>
    <row r="237" spans="1:15">
      <c r="A237" t="s">
        <v>5610</v>
      </c>
      <c r="B237" t="s">
        <v>5610</v>
      </c>
      <c r="C237" t="s">
        <v>5611</v>
      </c>
      <c r="F237">
        <v>1</v>
      </c>
      <c r="G237" s="1" t="s">
        <v>353</v>
      </c>
      <c r="I237" s="1" t="s">
        <v>11473</v>
      </c>
      <c r="O237" t="s">
        <v>22</v>
      </c>
    </row>
    <row r="238" spans="1:15">
      <c r="A238" t="s">
        <v>10044</v>
      </c>
      <c r="B238" t="s">
        <v>10044</v>
      </c>
      <c r="C238" t="s">
        <v>4575</v>
      </c>
      <c r="F238">
        <v>1</v>
      </c>
      <c r="G238" s="1" t="s">
        <v>354</v>
      </c>
      <c r="I238" s="1" t="s">
        <v>11473</v>
      </c>
      <c r="O238" t="s">
        <v>22</v>
      </c>
    </row>
    <row r="239" spans="1:15">
      <c r="A239" t="s">
        <v>9949</v>
      </c>
      <c r="B239" t="s">
        <v>9949</v>
      </c>
      <c r="C239" t="s">
        <v>5148</v>
      </c>
      <c r="F239">
        <v>1</v>
      </c>
      <c r="G239" s="1" t="s">
        <v>355</v>
      </c>
      <c r="I239" s="1" t="s">
        <v>11473</v>
      </c>
      <c r="O239" t="s">
        <v>22</v>
      </c>
    </row>
    <row r="240" spans="1:15">
      <c r="A240" t="s">
        <v>10617</v>
      </c>
      <c r="B240" t="s">
        <v>10617</v>
      </c>
      <c r="C240" t="s">
        <v>4513</v>
      </c>
      <c r="F240">
        <v>1</v>
      </c>
      <c r="G240" s="1" t="s">
        <v>356</v>
      </c>
      <c r="I240" s="1" t="s">
        <v>11473</v>
      </c>
      <c r="O240" t="s">
        <v>22</v>
      </c>
    </row>
    <row r="241" spans="1:15">
      <c r="A241" t="s">
        <v>10535</v>
      </c>
      <c r="B241" t="s">
        <v>10535</v>
      </c>
      <c r="C241" t="s">
        <v>4525</v>
      </c>
      <c r="F241">
        <v>1</v>
      </c>
      <c r="G241" s="1" t="s">
        <v>357</v>
      </c>
      <c r="I241" s="1" t="s">
        <v>11473</v>
      </c>
      <c r="O241" t="s">
        <v>22</v>
      </c>
    </row>
    <row r="242" spans="1:15">
      <c r="A242" t="s">
        <v>10119</v>
      </c>
      <c r="B242" t="s">
        <v>10119</v>
      </c>
      <c r="C242" t="s">
        <v>5226</v>
      </c>
      <c r="F242">
        <v>1</v>
      </c>
      <c r="G242" s="1" t="s">
        <v>358</v>
      </c>
      <c r="I242" s="1" t="s">
        <v>11473</v>
      </c>
      <c r="O242" t="s">
        <v>22</v>
      </c>
    </row>
    <row r="243" spans="1:15">
      <c r="A243" t="s">
        <v>5616</v>
      </c>
      <c r="B243" t="s">
        <v>5616</v>
      </c>
      <c r="C243" t="s">
        <v>5617</v>
      </c>
      <c r="F243">
        <v>1</v>
      </c>
      <c r="G243" s="1" t="s">
        <v>359</v>
      </c>
      <c r="I243" s="1" t="s">
        <v>11473</v>
      </c>
      <c r="O243" t="s">
        <v>22</v>
      </c>
    </row>
    <row r="244" spans="1:15">
      <c r="A244" t="s">
        <v>8002</v>
      </c>
      <c r="B244" t="s">
        <v>8002</v>
      </c>
      <c r="C244" t="s">
        <v>4685</v>
      </c>
      <c r="F244">
        <v>1</v>
      </c>
      <c r="G244" s="1" t="s">
        <v>360</v>
      </c>
      <c r="I244" s="1" t="s">
        <v>11473</v>
      </c>
      <c r="O244" t="s">
        <v>22</v>
      </c>
    </row>
    <row r="245" spans="1:15">
      <c r="A245" t="s">
        <v>7847</v>
      </c>
      <c r="B245" t="s">
        <v>7847</v>
      </c>
      <c r="C245" t="s">
        <v>7848</v>
      </c>
      <c r="F245">
        <v>1</v>
      </c>
      <c r="G245" s="1" t="s">
        <v>361</v>
      </c>
      <c r="I245" s="1" t="s">
        <v>11473</v>
      </c>
      <c r="O245" t="s">
        <v>22</v>
      </c>
    </row>
    <row r="246" spans="1:15">
      <c r="A246" t="s">
        <v>9556</v>
      </c>
      <c r="B246" t="s">
        <v>9556</v>
      </c>
      <c r="C246" t="s">
        <v>9557</v>
      </c>
      <c r="F246">
        <v>1</v>
      </c>
      <c r="G246" s="1" t="s">
        <v>362</v>
      </c>
      <c r="I246" s="1" t="s">
        <v>11473</v>
      </c>
      <c r="O246" t="s">
        <v>22</v>
      </c>
    </row>
    <row r="247" spans="1:15">
      <c r="A247" t="s">
        <v>6014</v>
      </c>
      <c r="B247" t="s">
        <v>6014</v>
      </c>
      <c r="C247" t="s">
        <v>5167</v>
      </c>
      <c r="F247">
        <v>1</v>
      </c>
      <c r="G247" s="1" t="s">
        <v>363</v>
      </c>
      <c r="I247" s="1" t="s">
        <v>11473</v>
      </c>
      <c r="O247" t="s">
        <v>22</v>
      </c>
    </row>
    <row r="248" spans="1:15">
      <c r="A248" t="s">
        <v>10356</v>
      </c>
      <c r="B248" t="s">
        <v>10356</v>
      </c>
      <c r="C248" t="s">
        <v>10357</v>
      </c>
      <c r="F248">
        <v>1</v>
      </c>
      <c r="G248" s="1" t="s">
        <v>364</v>
      </c>
      <c r="I248" s="1" t="s">
        <v>11473</v>
      </c>
      <c r="O248" t="s">
        <v>22</v>
      </c>
    </row>
    <row r="249" spans="1:15">
      <c r="A249" t="s">
        <v>9737</v>
      </c>
      <c r="B249" t="s">
        <v>9737</v>
      </c>
      <c r="C249" t="s">
        <v>4383</v>
      </c>
      <c r="F249">
        <v>1</v>
      </c>
      <c r="G249" s="1" t="s">
        <v>365</v>
      </c>
      <c r="I249" s="1" t="s">
        <v>11473</v>
      </c>
      <c r="O249" t="s">
        <v>22</v>
      </c>
    </row>
    <row r="250" spans="1:15">
      <c r="A250" t="s">
        <v>10252</v>
      </c>
      <c r="B250" t="s">
        <v>10252</v>
      </c>
      <c r="C250" t="s">
        <v>4383</v>
      </c>
      <c r="F250">
        <v>1</v>
      </c>
      <c r="G250" s="1" t="s">
        <v>366</v>
      </c>
      <c r="I250" s="1" t="s">
        <v>11473</v>
      </c>
      <c r="O250" t="s">
        <v>22</v>
      </c>
    </row>
    <row r="251" spans="1:15">
      <c r="A251" t="s">
        <v>9406</v>
      </c>
      <c r="B251" t="s">
        <v>9406</v>
      </c>
      <c r="C251" t="s">
        <v>9407</v>
      </c>
      <c r="F251">
        <v>1</v>
      </c>
      <c r="G251" s="1" t="s">
        <v>367</v>
      </c>
      <c r="I251" s="1" t="s">
        <v>11473</v>
      </c>
      <c r="O251" t="s">
        <v>22</v>
      </c>
    </row>
    <row r="252" spans="1:15">
      <c r="A252" t="s">
        <v>9396</v>
      </c>
      <c r="B252" t="s">
        <v>9396</v>
      </c>
      <c r="C252" t="s">
        <v>9397</v>
      </c>
      <c r="F252">
        <v>1</v>
      </c>
      <c r="G252" s="1" t="s">
        <v>368</v>
      </c>
      <c r="I252" s="1" t="s">
        <v>11473</v>
      </c>
      <c r="O252" t="s">
        <v>22</v>
      </c>
    </row>
    <row r="253" spans="1:15">
      <c r="A253" t="s">
        <v>8833</v>
      </c>
      <c r="B253" t="s">
        <v>8833</v>
      </c>
      <c r="C253" t="s">
        <v>8834</v>
      </c>
      <c r="F253">
        <v>1</v>
      </c>
      <c r="G253" s="1" t="s">
        <v>369</v>
      </c>
      <c r="I253" s="1" t="s">
        <v>11473</v>
      </c>
      <c r="O253" t="s">
        <v>22</v>
      </c>
    </row>
    <row r="254" spans="1:15">
      <c r="A254" t="s">
        <v>11011</v>
      </c>
      <c r="B254" t="s">
        <v>11011</v>
      </c>
      <c r="C254" t="s">
        <v>11012</v>
      </c>
      <c r="F254">
        <v>1</v>
      </c>
      <c r="G254" s="1" t="s">
        <v>370</v>
      </c>
      <c r="I254" s="1" t="s">
        <v>11473</v>
      </c>
      <c r="O254" t="s">
        <v>22</v>
      </c>
    </row>
    <row r="255" spans="1:15">
      <c r="A255" t="s">
        <v>5772</v>
      </c>
      <c r="B255" t="s">
        <v>5772</v>
      </c>
      <c r="C255" t="s">
        <v>5773</v>
      </c>
      <c r="F255">
        <v>1</v>
      </c>
      <c r="G255" s="1" t="s">
        <v>371</v>
      </c>
      <c r="I255" s="1" t="s">
        <v>11473</v>
      </c>
      <c r="O255" t="s">
        <v>22</v>
      </c>
    </row>
    <row r="256" spans="1:15">
      <c r="A256" t="s">
        <v>9430</v>
      </c>
      <c r="B256" t="s">
        <v>9430</v>
      </c>
      <c r="C256" t="s">
        <v>9431</v>
      </c>
      <c r="F256">
        <v>1</v>
      </c>
      <c r="G256" s="1" t="s">
        <v>372</v>
      </c>
      <c r="I256" s="1" t="s">
        <v>11473</v>
      </c>
      <c r="O256" t="s">
        <v>22</v>
      </c>
    </row>
    <row r="257" spans="1:15">
      <c r="A257" t="s">
        <v>6840</v>
      </c>
      <c r="B257" t="s">
        <v>6840</v>
      </c>
      <c r="C257" t="s">
        <v>6841</v>
      </c>
      <c r="F257">
        <v>1</v>
      </c>
      <c r="G257" s="1" t="s">
        <v>373</v>
      </c>
      <c r="I257" s="1" t="s">
        <v>11473</v>
      </c>
      <c r="O257" t="s">
        <v>22</v>
      </c>
    </row>
    <row r="258" spans="1:15">
      <c r="A258" t="s">
        <v>10055</v>
      </c>
      <c r="B258" t="s">
        <v>10055</v>
      </c>
      <c r="C258" t="s">
        <v>5326</v>
      </c>
      <c r="F258">
        <v>1</v>
      </c>
      <c r="G258" s="1" t="s">
        <v>374</v>
      </c>
      <c r="I258" s="1" t="s">
        <v>11473</v>
      </c>
      <c r="O258" t="s">
        <v>22</v>
      </c>
    </row>
    <row r="259" spans="1:15">
      <c r="A259" t="s">
        <v>10256</v>
      </c>
      <c r="B259" t="s">
        <v>10256</v>
      </c>
      <c r="C259" t="s">
        <v>5326</v>
      </c>
      <c r="F259">
        <v>1</v>
      </c>
      <c r="G259" s="1" t="s">
        <v>375</v>
      </c>
      <c r="I259" s="1" t="s">
        <v>11473</v>
      </c>
      <c r="O259" t="s">
        <v>22</v>
      </c>
    </row>
    <row r="260" spans="1:15">
      <c r="A260" t="s">
        <v>8462</v>
      </c>
      <c r="B260" t="s">
        <v>8462</v>
      </c>
      <c r="C260" t="s">
        <v>8463</v>
      </c>
      <c r="F260">
        <v>1</v>
      </c>
      <c r="G260" s="1" t="s">
        <v>376</v>
      </c>
      <c r="I260" s="1" t="s">
        <v>11473</v>
      </c>
      <c r="O260" t="s">
        <v>22</v>
      </c>
    </row>
    <row r="261" spans="1:15">
      <c r="A261" t="s">
        <v>6025</v>
      </c>
      <c r="B261" t="s">
        <v>6025</v>
      </c>
      <c r="C261" t="s">
        <v>6026</v>
      </c>
      <c r="F261">
        <v>1</v>
      </c>
      <c r="G261" s="1" t="s">
        <v>377</v>
      </c>
      <c r="I261" s="1" t="s">
        <v>11473</v>
      </c>
      <c r="O261" t="s">
        <v>22</v>
      </c>
    </row>
    <row r="262" spans="1:15">
      <c r="A262" t="s">
        <v>11287</v>
      </c>
      <c r="B262" t="s">
        <v>11287</v>
      </c>
      <c r="C262" t="s">
        <v>6026</v>
      </c>
      <c r="F262">
        <v>1</v>
      </c>
      <c r="G262" s="1" t="s">
        <v>378</v>
      </c>
      <c r="I262" s="1" t="s">
        <v>11473</v>
      </c>
      <c r="O262" t="s">
        <v>22</v>
      </c>
    </row>
    <row r="263" spans="1:15">
      <c r="A263" t="s">
        <v>10783</v>
      </c>
      <c r="B263" t="s">
        <v>10783</v>
      </c>
      <c r="C263" t="s">
        <v>4529</v>
      </c>
      <c r="F263">
        <v>1</v>
      </c>
      <c r="G263" s="1" t="s">
        <v>379</v>
      </c>
      <c r="I263" s="1" t="s">
        <v>11473</v>
      </c>
      <c r="O263" t="s">
        <v>22</v>
      </c>
    </row>
    <row r="264" spans="1:15">
      <c r="A264" t="s">
        <v>10043</v>
      </c>
      <c r="B264" t="s">
        <v>10043</v>
      </c>
      <c r="C264" t="s">
        <v>4773</v>
      </c>
      <c r="F264">
        <v>1</v>
      </c>
      <c r="G264" s="1" t="s">
        <v>380</v>
      </c>
      <c r="I264" s="1" t="s">
        <v>11473</v>
      </c>
      <c r="O264" t="s">
        <v>22</v>
      </c>
    </row>
    <row r="265" spans="1:15">
      <c r="A265" t="s">
        <v>10215</v>
      </c>
      <c r="B265" t="s">
        <v>10215</v>
      </c>
      <c r="C265" t="s">
        <v>10216</v>
      </c>
      <c r="F265">
        <v>1</v>
      </c>
      <c r="G265" s="1" t="s">
        <v>381</v>
      </c>
      <c r="I265" s="1" t="s">
        <v>11473</v>
      </c>
      <c r="O265" t="s">
        <v>22</v>
      </c>
    </row>
    <row r="266" spans="1:15">
      <c r="A266" t="s">
        <v>8160</v>
      </c>
      <c r="B266" t="s">
        <v>8160</v>
      </c>
      <c r="C266" t="s">
        <v>5128</v>
      </c>
      <c r="F266">
        <v>1</v>
      </c>
      <c r="G266" s="1" t="s">
        <v>382</v>
      </c>
      <c r="I266" s="1" t="s">
        <v>11473</v>
      </c>
      <c r="O266" t="s">
        <v>22</v>
      </c>
    </row>
    <row r="267" spans="1:15">
      <c r="A267" t="s">
        <v>5750</v>
      </c>
      <c r="B267" t="s">
        <v>5750</v>
      </c>
      <c r="C267" t="s">
        <v>5751</v>
      </c>
      <c r="F267">
        <v>1</v>
      </c>
      <c r="G267" s="1" t="s">
        <v>383</v>
      </c>
      <c r="I267" s="1" t="s">
        <v>11473</v>
      </c>
      <c r="O267" t="s">
        <v>22</v>
      </c>
    </row>
    <row r="268" spans="1:15">
      <c r="A268" t="s">
        <v>5634</v>
      </c>
      <c r="B268" t="s">
        <v>5634</v>
      </c>
      <c r="C268" t="s">
        <v>5635</v>
      </c>
      <c r="F268">
        <v>1</v>
      </c>
      <c r="G268" s="1" t="s">
        <v>384</v>
      </c>
      <c r="I268" s="1" t="s">
        <v>11473</v>
      </c>
      <c r="O268" t="s">
        <v>22</v>
      </c>
    </row>
    <row r="269" spans="1:15">
      <c r="A269" t="s">
        <v>10964</v>
      </c>
      <c r="B269" t="s">
        <v>10964</v>
      </c>
      <c r="C269" t="s">
        <v>5105</v>
      </c>
      <c r="F269">
        <v>1</v>
      </c>
      <c r="G269" s="1" t="s">
        <v>385</v>
      </c>
      <c r="I269" s="1" t="s">
        <v>11473</v>
      </c>
      <c r="O269" t="s">
        <v>22</v>
      </c>
    </row>
    <row r="270" spans="1:15">
      <c r="A270" t="s">
        <v>6558</v>
      </c>
      <c r="B270" t="s">
        <v>6558</v>
      </c>
      <c r="C270" t="s">
        <v>4391</v>
      </c>
      <c r="F270">
        <v>1</v>
      </c>
      <c r="G270" s="1" t="s">
        <v>386</v>
      </c>
      <c r="I270" s="1" t="s">
        <v>11473</v>
      </c>
      <c r="O270" t="s">
        <v>22</v>
      </c>
    </row>
    <row r="271" spans="1:15">
      <c r="A271" t="s">
        <v>9629</v>
      </c>
      <c r="B271" t="s">
        <v>9629</v>
      </c>
      <c r="C271" t="s">
        <v>9630</v>
      </c>
      <c r="F271">
        <v>1</v>
      </c>
      <c r="G271" s="1" t="s">
        <v>387</v>
      </c>
      <c r="I271" s="1" t="s">
        <v>11473</v>
      </c>
      <c r="O271" t="s">
        <v>22</v>
      </c>
    </row>
    <row r="272" spans="1:15">
      <c r="A272" t="s">
        <v>10146</v>
      </c>
      <c r="B272" t="s">
        <v>10146</v>
      </c>
      <c r="C272" t="s">
        <v>4378</v>
      </c>
      <c r="F272">
        <v>1</v>
      </c>
      <c r="G272" s="1" t="s">
        <v>388</v>
      </c>
      <c r="I272" s="1" t="s">
        <v>11473</v>
      </c>
      <c r="O272" t="s">
        <v>22</v>
      </c>
    </row>
    <row r="273" spans="1:15">
      <c r="A273" t="s">
        <v>10673</v>
      </c>
      <c r="B273" t="s">
        <v>10673</v>
      </c>
      <c r="C273" t="s">
        <v>10674</v>
      </c>
      <c r="F273">
        <v>1</v>
      </c>
      <c r="G273" s="1" t="s">
        <v>389</v>
      </c>
      <c r="I273" s="1" t="s">
        <v>11473</v>
      </c>
      <c r="O273" t="s">
        <v>22</v>
      </c>
    </row>
    <row r="274" spans="1:15">
      <c r="A274" t="s">
        <v>9941</v>
      </c>
      <c r="B274" t="s">
        <v>9941</v>
      </c>
      <c r="C274" t="s">
        <v>9942</v>
      </c>
      <c r="F274">
        <v>1</v>
      </c>
      <c r="G274" s="1" t="s">
        <v>390</v>
      </c>
      <c r="I274" s="1" t="s">
        <v>11473</v>
      </c>
      <c r="O274" t="s">
        <v>22</v>
      </c>
    </row>
    <row r="275" spans="1:15">
      <c r="A275" t="s">
        <v>10565</v>
      </c>
      <c r="B275" t="s">
        <v>10565</v>
      </c>
      <c r="C275" t="s">
        <v>10566</v>
      </c>
      <c r="F275">
        <v>1</v>
      </c>
      <c r="G275" s="1" t="s">
        <v>391</v>
      </c>
      <c r="I275" s="1" t="s">
        <v>11473</v>
      </c>
      <c r="O275" t="s">
        <v>22</v>
      </c>
    </row>
    <row r="276" spans="1:15">
      <c r="A276" t="s">
        <v>10033</v>
      </c>
      <c r="B276" t="s">
        <v>10033</v>
      </c>
      <c r="C276" t="s">
        <v>4514</v>
      </c>
      <c r="F276">
        <v>1</v>
      </c>
      <c r="G276" s="1" t="s">
        <v>392</v>
      </c>
      <c r="I276" s="1" t="s">
        <v>11473</v>
      </c>
      <c r="O276" t="s">
        <v>22</v>
      </c>
    </row>
    <row r="277" spans="1:15">
      <c r="A277" t="s">
        <v>8841</v>
      </c>
      <c r="B277" t="s">
        <v>8841</v>
      </c>
      <c r="C277" t="s">
        <v>8842</v>
      </c>
      <c r="F277">
        <v>1</v>
      </c>
      <c r="G277" s="1" t="s">
        <v>393</v>
      </c>
      <c r="I277" s="1" t="s">
        <v>11473</v>
      </c>
      <c r="O277" t="s">
        <v>22</v>
      </c>
    </row>
    <row r="278" spans="1:15">
      <c r="A278" t="s">
        <v>6811</v>
      </c>
      <c r="B278" t="s">
        <v>6811</v>
      </c>
      <c r="C278" t="s">
        <v>6812</v>
      </c>
      <c r="F278">
        <v>1</v>
      </c>
      <c r="G278" s="1" t="s">
        <v>394</v>
      </c>
      <c r="I278" s="1" t="s">
        <v>11473</v>
      </c>
      <c r="O278" t="s">
        <v>22</v>
      </c>
    </row>
    <row r="279" spans="1:15">
      <c r="A279" t="s">
        <v>8812</v>
      </c>
      <c r="B279" t="s">
        <v>8812</v>
      </c>
      <c r="C279" t="s">
        <v>8813</v>
      </c>
      <c r="F279">
        <v>1</v>
      </c>
      <c r="G279" s="1" t="s">
        <v>395</v>
      </c>
      <c r="I279" s="1" t="s">
        <v>11473</v>
      </c>
      <c r="O279" t="s">
        <v>22</v>
      </c>
    </row>
    <row r="280" spans="1:15">
      <c r="A280" t="s">
        <v>10738</v>
      </c>
      <c r="B280" t="s">
        <v>10738</v>
      </c>
      <c r="C280" t="s">
        <v>10739</v>
      </c>
      <c r="F280">
        <v>1</v>
      </c>
      <c r="G280" s="1" t="s">
        <v>396</v>
      </c>
      <c r="I280" s="1" t="s">
        <v>11473</v>
      </c>
      <c r="O280" t="s">
        <v>22</v>
      </c>
    </row>
    <row r="281" spans="1:15">
      <c r="A281" t="s">
        <v>9969</v>
      </c>
      <c r="B281" t="s">
        <v>9969</v>
      </c>
      <c r="C281" t="s">
        <v>9970</v>
      </c>
      <c r="F281">
        <v>1</v>
      </c>
      <c r="G281" s="1" t="s">
        <v>397</v>
      </c>
      <c r="I281" s="1" t="s">
        <v>11473</v>
      </c>
      <c r="O281" t="s">
        <v>22</v>
      </c>
    </row>
    <row r="282" spans="1:15">
      <c r="A282" t="s">
        <v>5747</v>
      </c>
      <c r="B282" t="s">
        <v>5747</v>
      </c>
      <c r="C282" t="s">
        <v>5013</v>
      </c>
      <c r="F282">
        <v>1</v>
      </c>
      <c r="G282" s="1" t="s">
        <v>398</v>
      </c>
      <c r="I282" s="1" t="s">
        <v>11473</v>
      </c>
      <c r="O282" t="s">
        <v>22</v>
      </c>
    </row>
    <row r="283" spans="1:15">
      <c r="A283" t="s">
        <v>6836</v>
      </c>
      <c r="B283" t="s">
        <v>6836</v>
      </c>
      <c r="C283" t="s">
        <v>5013</v>
      </c>
      <c r="F283">
        <v>1</v>
      </c>
      <c r="G283" s="1" t="s">
        <v>399</v>
      </c>
      <c r="I283" s="1" t="s">
        <v>11473</v>
      </c>
      <c r="O283" t="s">
        <v>22</v>
      </c>
    </row>
    <row r="284" spans="1:15">
      <c r="A284" t="s">
        <v>8017</v>
      </c>
      <c r="B284" t="s">
        <v>8017</v>
      </c>
      <c r="C284" t="s">
        <v>8018</v>
      </c>
      <c r="F284">
        <v>1</v>
      </c>
      <c r="G284" s="1" t="s">
        <v>400</v>
      </c>
      <c r="I284" s="1" t="s">
        <v>11473</v>
      </c>
      <c r="O284" t="s">
        <v>22</v>
      </c>
    </row>
    <row r="285" spans="1:15">
      <c r="A285" t="s">
        <v>8889</v>
      </c>
      <c r="B285" t="s">
        <v>8889</v>
      </c>
      <c r="C285" t="s">
        <v>8890</v>
      </c>
      <c r="F285">
        <v>1</v>
      </c>
      <c r="G285" s="1" t="s">
        <v>401</v>
      </c>
      <c r="I285" s="1" t="s">
        <v>11473</v>
      </c>
      <c r="O285" t="s">
        <v>22</v>
      </c>
    </row>
    <row r="286" spans="1:15">
      <c r="A286" t="s">
        <v>8274</v>
      </c>
      <c r="B286" t="s">
        <v>8274</v>
      </c>
      <c r="C286" t="s">
        <v>8275</v>
      </c>
      <c r="F286">
        <v>1</v>
      </c>
      <c r="G286" s="1" t="s">
        <v>402</v>
      </c>
      <c r="I286" s="1" t="s">
        <v>11473</v>
      </c>
      <c r="O286" t="s">
        <v>22</v>
      </c>
    </row>
    <row r="287" spans="1:15">
      <c r="A287" t="s">
        <v>9842</v>
      </c>
      <c r="B287" t="s">
        <v>9842</v>
      </c>
      <c r="C287" t="s">
        <v>9843</v>
      </c>
      <c r="F287">
        <v>1</v>
      </c>
      <c r="G287" s="1" t="s">
        <v>403</v>
      </c>
      <c r="I287" s="1" t="s">
        <v>11473</v>
      </c>
      <c r="O287" t="s">
        <v>22</v>
      </c>
    </row>
    <row r="288" spans="1:15">
      <c r="A288" t="s">
        <v>6008</v>
      </c>
      <c r="B288" t="s">
        <v>6008</v>
      </c>
      <c r="C288" t="s">
        <v>6009</v>
      </c>
      <c r="F288">
        <v>1</v>
      </c>
      <c r="G288" s="1" t="s">
        <v>404</v>
      </c>
      <c r="I288" s="1" t="s">
        <v>11473</v>
      </c>
      <c r="O288" t="s">
        <v>22</v>
      </c>
    </row>
    <row r="289" spans="1:15">
      <c r="A289" t="s">
        <v>6005</v>
      </c>
      <c r="B289" t="s">
        <v>6005</v>
      </c>
      <c r="C289" t="s">
        <v>6006</v>
      </c>
      <c r="F289">
        <v>1</v>
      </c>
      <c r="G289" s="1" t="s">
        <v>405</v>
      </c>
      <c r="I289" s="1" t="s">
        <v>11473</v>
      </c>
      <c r="O289" t="s">
        <v>22</v>
      </c>
    </row>
    <row r="290" spans="1:15">
      <c r="A290" t="s">
        <v>9223</v>
      </c>
      <c r="B290" t="s">
        <v>9223</v>
      </c>
      <c r="C290" t="s">
        <v>9224</v>
      </c>
      <c r="F290">
        <v>1</v>
      </c>
      <c r="G290" s="1" t="s">
        <v>406</v>
      </c>
      <c r="I290" s="1" t="s">
        <v>11473</v>
      </c>
      <c r="O290" t="s">
        <v>22</v>
      </c>
    </row>
    <row r="291" spans="1:15">
      <c r="A291" t="s">
        <v>5632</v>
      </c>
      <c r="B291" t="s">
        <v>5632</v>
      </c>
      <c r="C291" t="s">
        <v>5157</v>
      </c>
      <c r="F291">
        <v>1</v>
      </c>
      <c r="G291" s="1" t="s">
        <v>407</v>
      </c>
      <c r="I291" s="1" t="s">
        <v>11473</v>
      </c>
      <c r="O291" t="s">
        <v>22</v>
      </c>
    </row>
    <row r="292" spans="1:15">
      <c r="A292" t="s">
        <v>11275</v>
      </c>
      <c r="B292" t="s">
        <v>11275</v>
      </c>
      <c r="C292" t="s">
        <v>11276</v>
      </c>
      <c r="F292">
        <v>1</v>
      </c>
      <c r="G292" s="1" t="s">
        <v>408</v>
      </c>
      <c r="I292" s="1" t="s">
        <v>11473</v>
      </c>
      <c r="O292" t="s">
        <v>22</v>
      </c>
    </row>
    <row r="293" spans="1:15">
      <c r="A293" t="s">
        <v>8332</v>
      </c>
      <c r="B293" t="s">
        <v>8332</v>
      </c>
      <c r="C293" t="s">
        <v>8333</v>
      </c>
      <c r="F293">
        <v>1</v>
      </c>
      <c r="G293" s="1" t="s">
        <v>409</v>
      </c>
      <c r="I293" s="1" t="s">
        <v>11473</v>
      </c>
      <c r="O293" t="s">
        <v>22</v>
      </c>
    </row>
    <row r="294" spans="1:15">
      <c r="A294" t="s">
        <v>10066</v>
      </c>
      <c r="B294" t="s">
        <v>10066</v>
      </c>
      <c r="C294" t="s">
        <v>8333</v>
      </c>
      <c r="F294">
        <v>1</v>
      </c>
      <c r="G294" s="1" t="s">
        <v>410</v>
      </c>
      <c r="I294" s="1" t="s">
        <v>11473</v>
      </c>
      <c r="O294" t="s">
        <v>22</v>
      </c>
    </row>
    <row r="295" spans="1:15">
      <c r="A295" t="s">
        <v>6003</v>
      </c>
      <c r="B295" t="s">
        <v>6003</v>
      </c>
      <c r="C295" t="s">
        <v>6004</v>
      </c>
      <c r="F295">
        <v>1</v>
      </c>
      <c r="G295" s="1" t="s">
        <v>411</v>
      </c>
      <c r="I295" s="1" t="s">
        <v>11473</v>
      </c>
      <c r="O295" t="s">
        <v>22</v>
      </c>
    </row>
    <row r="296" spans="1:15">
      <c r="A296" t="s">
        <v>5623</v>
      </c>
      <c r="B296" t="s">
        <v>5623</v>
      </c>
      <c r="C296" t="s">
        <v>5022</v>
      </c>
      <c r="F296">
        <v>1</v>
      </c>
      <c r="G296" s="1" t="s">
        <v>412</v>
      </c>
      <c r="I296" s="1" t="s">
        <v>11473</v>
      </c>
      <c r="O296" t="s">
        <v>22</v>
      </c>
    </row>
    <row r="297" spans="1:15">
      <c r="A297" t="s">
        <v>9442</v>
      </c>
      <c r="B297" t="s">
        <v>9442</v>
      </c>
      <c r="C297" t="s">
        <v>9443</v>
      </c>
      <c r="F297">
        <v>1</v>
      </c>
      <c r="G297" s="1" t="s">
        <v>413</v>
      </c>
      <c r="I297" s="1" t="s">
        <v>11473</v>
      </c>
      <c r="O297" t="s">
        <v>22</v>
      </c>
    </row>
    <row r="298" spans="1:15">
      <c r="A298" t="s">
        <v>9688</v>
      </c>
      <c r="B298" t="s">
        <v>9688</v>
      </c>
      <c r="C298" t="s">
        <v>9689</v>
      </c>
      <c r="F298">
        <v>1</v>
      </c>
      <c r="G298" s="1" t="s">
        <v>414</v>
      </c>
      <c r="I298" s="1" t="s">
        <v>11473</v>
      </c>
      <c r="O298" t="s">
        <v>22</v>
      </c>
    </row>
    <row r="299" spans="1:15">
      <c r="A299" t="s">
        <v>5748</v>
      </c>
      <c r="B299" t="s">
        <v>5748</v>
      </c>
      <c r="C299" t="s">
        <v>5749</v>
      </c>
      <c r="F299">
        <v>1</v>
      </c>
      <c r="G299" s="1" t="s">
        <v>415</v>
      </c>
      <c r="I299" s="1" t="s">
        <v>11473</v>
      </c>
      <c r="O299" t="s">
        <v>22</v>
      </c>
    </row>
    <row r="300" spans="1:15">
      <c r="A300" t="s">
        <v>7892</v>
      </c>
      <c r="B300" t="s">
        <v>7892</v>
      </c>
      <c r="C300" t="s">
        <v>7893</v>
      </c>
      <c r="F300">
        <v>1</v>
      </c>
      <c r="G300" s="1" t="s">
        <v>416</v>
      </c>
      <c r="I300" s="1" t="s">
        <v>11473</v>
      </c>
      <c r="O300" t="s">
        <v>22</v>
      </c>
    </row>
    <row r="301" spans="1:15">
      <c r="A301" t="s">
        <v>9477</v>
      </c>
      <c r="B301" t="s">
        <v>9477</v>
      </c>
      <c r="C301" t="s">
        <v>9478</v>
      </c>
      <c r="F301">
        <v>1</v>
      </c>
      <c r="G301" s="1" t="s">
        <v>417</v>
      </c>
      <c r="I301" s="1" t="s">
        <v>11473</v>
      </c>
      <c r="O301" t="s">
        <v>22</v>
      </c>
    </row>
    <row r="302" spans="1:15">
      <c r="A302" t="s">
        <v>5606</v>
      </c>
      <c r="B302" t="s">
        <v>5606</v>
      </c>
      <c r="C302" t="s">
        <v>4649</v>
      </c>
      <c r="F302">
        <v>1</v>
      </c>
      <c r="G302" s="1" t="s">
        <v>418</v>
      </c>
      <c r="I302" s="1" t="s">
        <v>11473</v>
      </c>
      <c r="O302" t="s">
        <v>22</v>
      </c>
    </row>
    <row r="303" spans="1:15">
      <c r="A303" t="s">
        <v>5604</v>
      </c>
      <c r="B303" t="s">
        <v>5604</v>
      </c>
      <c r="C303" t="s">
        <v>5605</v>
      </c>
      <c r="F303">
        <v>1</v>
      </c>
      <c r="G303" s="1" t="s">
        <v>419</v>
      </c>
      <c r="I303" s="1" t="s">
        <v>11473</v>
      </c>
      <c r="O303" t="s">
        <v>22</v>
      </c>
    </row>
    <row r="304" spans="1:15">
      <c r="A304" t="s">
        <v>6113</v>
      </c>
      <c r="B304" t="s">
        <v>6113</v>
      </c>
      <c r="C304" t="s">
        <v>5605</v>
      </c>
      <c r="F304">
        <v>1</v>
      </c>
      <c r="G304" s="1" t="s">
        <v>420</v>
      </c>
      <c r="I304" s="1" t="s">
        <v>11473</v>
      </c>
      <c r="O304" t="s">
        <v>22</v>
      </c>
    </row>
    <row r="305" spans="1:15">
      <c r="A305" t="s">
        <v>10650</v>
      </c>
      <c r="B305" t="s">
        <v>10650</v>
      </c>
      <c r="C305" t="s">
        <v>5605</v>
      </c>
      <c r="F305">
        <v>1</v>
      </c>
      <c r="G305" s="1" t="s">
        <v>421</v>
      </c>
      <c r="I305" s="1" t="s">
        <v>11473</v>
      </c>
      <c r="O305" t="s">
        <v>22</v>
      </c>
    </row>
    <row r="306" spans="1:15">
      <c r="A306" t="s">
        <v>8832</v>
      </c>
      <c r="B306" t="s">
        <v>8832</v>
      </c>
      <c r="C306" t="s">
        <v>4297</v>
      </c>
      <c r="F306">
        <v>1</v>
      </c>
      <c r="G306" s="1" t="s">
        <v>422</v>
      </c>
      <c r="I306" s="1" t="s">
        <v>11473</v>
      </c>
      <c r="O306" t="s">
        <v>22</v>
      </c>
    </row>
    <row r="307" spans="1:15">
      <c r="A307" t="s">
        <v>10546</v>
      </c>
      <c r="B307" t="s">
        <v>10546</v>
      </c>
      <c r="C307" t="s">
        <v>4571</v>
      </c>
      <c r="F307">
        <v>1</v>
      </c>
      <c r="G307" s="1" t="s">
        <v>423</v>
      </c>
      <c r="I307" s="1" t="s">
        <v>11473</v>
      </c>
      <c r="O307" t="s">
        <v>22</v>
      </c>
    </row>
    <row r="308" spans="1:15">
      <c r="A308" t="s">
        <v>9914</v>
      </c>
      <c r="B308" t="s">
        <v>9914</v>
      </c>
      <c r="C308" t="s">
        <v>5018</v>
      </c>
      <c r="F308">
        <v>1</v>
      </c>
      <c r="G308" s="1" t="s">
        <v>424</v>
      </c>
      <c r="I308" s="1" t="s">
        <v>11473</v>
      </c>
      <c r="O308" t="s">
        <v>22</v>
      </c>
    </row>
    <row r="309" spans="1:15">
      <c r="A309" t="s">
        <v>8455</v>
      </c>
      <c r="B309" t="s">
        <v>8455</v>
      </c>
      <c r="C309" t="s">
        <v>4380</v>
      </c>
      <c r="F309">
        <v>1</v>
      </c>
      <c r="G309" s="1" t="s">
        <v>425</v>
      </c>
      <c r="I309" s="1" t="s">
        <v>11473</v>
      </c>
      <c r="O309" t="s">
        <v>22</v>
      </c>
    </row>
    <row r="310" spans="1:15">
      <c r="A310" t="s">
        <v>11062</v>
      </c>
      <c r="B310" t="s">
        <v>11062</v>
      </c>
      <c r="C310" t="s">
        <v>4380</v>
      </c>
      <c r="F310">
        <v>1</v>
      </c>
      <c r="G310" s="1" t="s">
        <v>426</v>
      </c>
      <c r="I310" s="1" t="s">
        <v>11473</v>
      </c>
      <c r="O310" t="s">
        <v>22</v>
      </c>
    </row>
    <row r="311" spans="1:15">
      <c r="A311" t="s">
        <v>11060</v>
      </c>
      <c r="B311" t="s">
        <v>11060</v>
      </c>
      <c r="C311" t="s">
        <v>11061</v>
      </c>
      <c r="F311">
        <v>1</v>
      </c>
      <c r="G311" s="1" t="s">
        <v>427</v>
      </c>
      <c r="I311" s="1" t="s">
        <v>11473</v>
      </c>
      <c r="O311" t="s">
        <v>22</v>
      </c>
    </row>
    <row r="312" spans="1:15">
      <c r="A312" t="s">
        <v>5792</v>
      </c>
      <c r="B312" t="s">
        <v>5792</v>
      </c>
      <c r="C312" t="s">
        <v>5793</v>
      </c>
      <c r="F312">
        <v>1</v>
      </c>
      <c r="G312" s="1" t="s">
        <v>428</v>
      </c>
      <c r="I312" s="1" t="s">
        <v>11473</v>
      </c>
      <c r="O312" t="s">
        <v>22</v>
      </c>
    </row>
    <row r="313" spans="1:15">
      <c r="A313" t="s">
        <v>8947</v>
      </c>
      <c r="B313" t="s">
        <v>8947</v>
      </c>
      <c r="C313" t="s">
        <v>4424</v>
      </c>
      <c r="F313">
        <v>1</v>
      </c>
      <c r="G313" s="1" t="s">
        <v>429</v>
      </c>
      <c r="I313" s="1" t="s">
        <v>11473</v>
      </c>
      <c r="O313" t="s">
        <v>22</v>
      </c>
    </row>
    <row r="314" spans="1:15">
      <c r="A314" t="s">
        <v>9402</v>
      </c>
      <c r="B314" t="s">
        <v>9402</v>
      </c>
      <c r="C314" t="s">
        <v>4424</v>
      </c>
      <c r="F314">
        <v>1</v>
      </c>
      <c r="G314" s="1" t="s">
        <v>430</v>
      </c>
      <c r="I314" s="1" t="s">
        <v>11473</v>
      </c>
      <c r="O314" t="s">
        <v>22</v>
      </c>
    </row>
    <row r="315" spans="1:15">
      <c r="A315" t="s">
        <v>9411</v>
      </c>
      <c r="B315" t="s">
        <v>9411</v>
      </c>
      <c r="C315" t="s">
        <v>4424</v>
      </c>
      <c r="F315">
        <v>1</v>
      </c>
      <c r="G315" s="1" t="s">
        <v>431</v>
      </c>
      <c r="I315" s="1" t="s">
        <v>11473</v>
      </c>
      <c r="O315" t="s">
        <v>22</v>
      </c>
    </row>
    <row r="316" spans="1:15">
      <c r="A316" t="s">
        <v>5661</v>
      </c>
      <c r="B316" t="s">
        <v>5661</v>
      </c>
      <c r="C316" t="s">
        <v>4524</v>
      </c>
      <c r="F316">
        <v>1</v>
      </c>
      <c r="G316" s="1" t="s">
        <v>432</v>
      </c>
      <c r="I316" s="1" t="s">
        <v>11473</v>
      </c>
      <c r="O316" t="s">
        <v>22</v>
      </c>
    </row>
    <row r="317" spans="1:15">
      <c r="A317" t="s">
        <v>10574</v>
      </c>
      <c r="B317" t="s">
        <v>10574</v>
      </c>
      <c r="C317" t="s">
        <v>10575</v>
      </c>
      <c r="F317">
        <v>1</v>
      </c>
      <c r="G317" s="1" t="s">
        <v>433</v>
      </c>
      <c r="I317" s="1" t="s">
        <v>11473</v>
      </c>
      <c r="O317" t="s">
        <v>22</v>
      </c>
    </row>
    <row r="318" spans="1:15">
      <c r="A318" t="s">
        <v>7457</v>
      </c>
      <c r="B318" t="s">
        <v>7457</v>
      </c>
      <c r="C318" t="s">
        <v>7458</v>
      </c>
      <c r="F318">
        <v>1</v>
      </c>
      <c r="G318" s="1" t="s">
        <v>434</v>
      </c>
      <c r="I318" s="1" t="s">
        <v>11473</v>
      </c>
      <c r="O318" t="s">
        <v>22</v>
      </c>
    </row>
    <row r="319" spans="1:15">
      <c r="A319" t="s">
        <v>8270</v>
      </c>
      <c r="B319" t="s">
        <v>8270</v>
      </c>
      <c r="C319" t="s">
        <v>4823</v>
      </c>
      <c r="F319">
        <v>1</v>
      </c>
      <c r="G319" s="1" t="s">
        <v>435</v>
      </c>
      <c r="I319" s="1" t="s">
        <v>11473</v>
      </c>
      <c r="O319" t="s">
        <v>22</v>
      </c>
    </row>
    <row r="320" spans="1:15">
      <c r="A320" t="s">
        <v>5602</v>
      </c>
      <c r="B320" t="s">
        <v>5602</v>
      </c>
      <c r="C320" t="s">
        <v>5603</v>
      </c>
      <c r="F320">
        <v>1</v>
      </c>
      <c r="G320" s="1" t="s">
        <v>436</v>
      </c>
      <c r="I320" s="1" t="s">
        <v>11473</v>
      </c>
      <c r="O320" t="s">
        <v>22</v>
      </c>
    </row>
    <row r="321" spans="1:15">
      <c r="A321" t="s">
        <v>7891</v>
      </c>
      <c r="B321" t="s">
        <v>7891</v>
      </c>
      <c r="C321" t="s">
        <v>5603</v>
      </c>
      <c r="F321">
        <v>1</v>
      </c>
      <c r="G321" s="1" t="s">
        <v>437</v>
      </c>
      <c r="I321" s="1" t="s">
        <v>11473</v>
      </c>
      <c r="O321" t="s">
        <v>22</v>
      </c>
    </row>
    <row r="322" spans="1:15">
      <c r="A322" t="s">
        <v>5766</v>
      </c>
      <c r="B322" t="s">
        <v>5766</v>
      </c>
      <c r="C322" t="s">
        <v>5767</v>
      </c>
      <c r="F322">
        <v>1</v>
      </c>
      <c r="G322" s="1" t="s">
        <v>438</v>
      </c>
      <c r="I322" s="1" t="s">
        <v>11473</v>
      </c>
      <c r="O322" t="s">
        <v>22</v>
      </c>
    </row>
    <row r="323" spans="1:15">
      <c r="A323" t="s">
        <v>5742</v>
      </c>
      <c r="B323" t="s">
        <v>5742</v>
      </c>
      <c r="C323" t="s">
        <v>5743</v>
      </c>
      <c r="F323">
        <v>1</v>
      </c>
      <c r="G323" s="1" t="s">
        <v>439</v>
      </c>
      <c r="I323" s="1" t="s">
        <v>11473</v>
      </c>
      <c r="O323" t="s">
        <v>22</v>
      </c>
    </row>
    <row r="324" spans="1:15">
      <c r="A324" t="s">
        <v>8858</v>
      </c>
      <c r="B324" t="s">
        <v>8858</v>
      </c>
      <c r="C324" t="s">
        <v>8859</v>
      </c>
      <c r="F324">
        <v>1</v>
      </c>
      <c r="G324" s="1" t="s">
        <v>440</v>
      </c>
      <c r="I324" s="1" t="s">
        <v>11473</v>
      </c>
      <c r="O324" t="s">
        <v>22</v>
      </c>
    </row>
    <row r="325" spans="1:15">
      <c r="A325" t="s">
        <v>6622</v>
      </c>
      <c r="B325" t="s">
        <v>6622</v>
      </c>
      <c r="C325" t="s">
        <v>6623</v>
      </c>
      <c r="F325">
        <v>1</v>
      </c>
      <c r="G325" s="1" t="s">
        <v>441</v>
      </c>
      <c r="I325" s="1" t="s">
        <v>11473</v>
      </c>
      <c r="O325" t="s">
        <v>22</v>
      </c>
    </row>
    <row r="326" spans="1:15">
      <c r="A326" t="s">
        <v>9378</v>
      </c>
      <c r="B326" t="s">
        <v>9378</v>
      </c>
      <c r="C326" t="s">
        <v>9379</v>
      </c>
      <c r="F326">
        <v>1</v>
      </c>
      <c r="G326" s="1" t="s">
        <v>442</v>
      </c>
      <c r="I326" s="1" t="s">
        <v>11473</v>
      </c>
      <c r="O326" t="s">
        <v>22</v>
      </c>
    </row>
    <row r="327" spans="1:15">
      <c r="A327" t="s">
        <v>9870</v>
      </c>
      <c r="B327" t="s">
        <v>9870</v>
      </c>
      <c r="C327" t="s">
        <v>9871</v>
      </c>
      <c r="F327">
        <v>1</v>
      </c>
      <c r="G327" s="1" t="s">
        <v>443</v>
      </c>
      <c r="I327" s="1" t="s">
        <v>11473</v>
      </c>
      <c r="O327" t="s">
        <v>22</v>
      </c>
    </row>
    <row r="328" spans="1:15">
      <c r="A328" t="s">
        <v>9193</v>
      </c>
      <c r="B328" t="s">
        <v>9193</v>
      </c>
      <c r="C328" t="s">
        <v>4299</v>
      </c>
      <c r="F328">
        <v>1</v>
      </c>
      <c r="G328" s="1" t="s">
        <v>444</v>
      </c>
      <c r="I328" s="1" t="s">
        <v>11473</v>
      </c>
      <c r="O328" t="s">
        <v>22</v>
      </c>
    </row>
    <row r="329" spans="1:15">
      <c r="A329" t="s">
        <v>7413</v>
      </c>
      <c r="B329" t="s">
        <v>7413</v>
      </c>
      <c r="C329" t="s">
        <v>7414</v>
      </c>
      <c r="F329">
        <v>1</v>
      </c>
      <c r="G329" s="1" t="s">
        <v>445</v>
      </c>
      <c r="I329" s="1" t="s">
        <v>11473</v>
      </c>
      <c r="O329" t="s">
        <v>22</v>
      </c>
    </row>
    <row r="330" spans="1:15">
      <c r="A330" t="s">
        <v>7396</v>
      </c>
      <c r="B330" t="s">
        <v>7396</v>
      </c>
      <c r="C330" t="s">
        <v>5137</v>
      </c>
      <c r="F330">
        <v>1</v>
      </c>
      <c r="G330" s="1" t="s">
        <v>446</v>
      </c>
      <c r="I330" s="1" t="s">
        <v>11473</v>
      </c>
      <c r="O330" t="s">
        <v>22</v>
      </c>
    </row>
    <row r="331" spans="1:15">
      <c r="A331" t="s">
        <v>7400</v>
      </c>
      <c r="B331" t="s">
        <v>7400</v>
      </c>
      <c r="C331" t="s">
        <v>5137</v>
      </c>
      <c r="F331">
        <v>1</v>
      </c>
      <c r="G331" s="1" t="s">
        <v>447</v>
      </c>
      <c r="I331" s="1" t="s">
        <v>11473</v>
      </c>
      <c r="O331" t="s">
        <v>22</v>
      </c>
    </row>
    <row r="332" spans="1:15">
      <c r="A332" t="s">
        <v>9079</v>
      </c>
      <c r="B332" t="s">
        <v>9079</v>
      </c>
      <c r="C332" t="s">
        <v>9080</v>
      </c>
      <c r="F332">
        <v>1</v>
      </c>
      <c r="G332" s="1" t="s">
        <v>448</v>
      </c>
      <c r="I332" s="1" t="s">
        <v>11473</v>
      </c>
      <c r="O332" t="s">
        <v>22</v>
      </c>
    </row>
    <row r="333" spans="1:15">
      <c r="A333" t="s">
        <v>9164</v>
      </c>
      <c r="B333" t="s">
        <v>9164</v>
      </c>
      <c r="C333" t="s">
        <v>9165</v>
      </c>
      <c r="F333">
        <v>1</v>
      </c>
      <c r="G333" s="1" t="s">
        <v>449</v>
      </c>
      <c r="I333" s="1" t="s">
        <v>11473</v>
      </c>
      <c r="O333" t="s">
        <v>22</v>
      </c>
    </row>
    <row r="334" spans="1:15">
      <c r="A334" t="s">
        <v>10869</v>
      </c>
      <c r="B334" t="s">
        <v>10869</v>
      </c>
      <c r="C334" t="s">
        <v>10870</v>
      </c>
      <c r="F334">
        <v>1</v>
      </c>
      <c r="G334" s="1" t="s">
        <v>450</v>
      </c>
      <c r="I334" s="1" t="s">
        <v>11473</v>
      </c>
      <c r="O334" t="s">
        <v>22</v>
      </c>
    </row>
    <row r="335" spans="1:15">
      <c r="A335" t="s">
        <v>6271</v>
      </c>
      <c r="B335" t="s">
        <v>6271</v>
      </c>
      <c r="C335" t="s">
        <v>4088</v>
      </c>
      <c r="F335">
        <v>1</v>
      </c>
      <c r="G335" s="1" t="s">
        <v>451</v>
      </c>
      <c r="I335" s="1" t="s">
        <v>11473</v>
      </c>
      <c r="O335" t="s">
        <v>22</v>
      </c>
    </row>
    <row r="336" spans="1:15">
      <c r="A336" t="s">
        <v>8488</v>
      </c>
      <c r="B336" t="s">
        <v>8488</v>
      </c>
      <c r="C336" t="s">
        <v>4305</v>
      </c>
      <c r="F336">
        <v>1</v>
      </c>
      <c r="G336" s="1" t="s">
        <v>452</v>
      </c>
      <c r="I336" s="1" t="s">
        <v>11473</v>
      </c>
      <c r="O336" t="s">
        <v>22</v>
      </c>
    </row>
    <row r="337" spans="1:15">
      <c r="A337" t="s">
        <v>6259</v>
      </c>
      <c r="B337" t="s">
        <v>6259</v>
      </c>
      <c r="C337" t="s">
        <v>4308</v>
      </c>
      <c r="F337">
        <v>1</v>
      </c>
      <c r="G337" s="1" t="s">
        <v>453</v>
      </c>
      <c r="I337" s="1" t="s">
        <v>11473</v>
      </c>
      <c r="O337" t="s">
        <v>22</v>
      </c>
    </row>
    <row r="338" spans="1:15">
      <c r="A338" t="s">
        <v>11041</v>
      </c>
      <c r="B338" t="s">
        <v>11041</v>
      </c>
      <c r="C338" t="s">
        <v>4308</v>
      </c>
      <c r="F338">
        <v>1</v>
      </c>
      <c r="G338" s="1" t="s">
        <v>454</v>
      </c>
      <c r="I338" s="1" t="s">
        <v>11473</v>
      </c>
      <c r="O338" t="s">
        <v>22</v>
      </c>
    </row>
    <row r="339" spans="1:15">
      <c r="A339" t="s">
        <v>10854</v>
      </c>
      <c r="B339" t="s">
        <v>10854</v>
      </c>
      <c r="C339" t="s">
        <v>10855</v>
      </c>
      <c r="F339">
        <v>1</v>
      </c>
      <c r="G339" s="1" t="s">
        <v>455</v>
      </c>
      <c r="I339" s="1" t="s">
        <v>11473</v>
      </c>
      <c r="O339" t="s">
        <v>22</v>
      </c>
    </row>
    <row r="340" spans="1:15">
      <c r="A340" t="s">
        <v>10863</v>
      </c>
      <c r="B340" t="s">
        <v>10863</v>
      </c>
      <c r="C340" t="s">
        <v>10855</v>
      </c>
      <c r="F340">
        <v>1</v>
      </c>
      <c r="G340" s="1" t="s">
        <v>456</v>
      </c>
      <c r="I340" s="1" t="s">
        <v>11473</v>
      </c>
      <c r="O340" t="s">
        <v>22</v>
      </c>
    </row>
    <row r="341" spans="1:15">
      <c r="A341" t="s">
        <v>7531</v>
      </c>
      <c r="B341" t="s">
        <v>7531</v>
      </c>
      <c r="C341" t="s">
        <v>5332</v>
      </c>
      <c r="F341">
        <v>1</v>
      </c>
      <c r="G341" s="1" t="s">
        <v>457</v>
      </c>
      <c r="I341" s="1" t="s">
        <v>11473</v>
      </c>
      <c r="O341" t="s">
        <v>22</v>
      </c>
    </row>
    <row r="342" spans="1:15">
      <c r="A342" t="s">
        <v>7895</v>
      </c>
      <c r="B342" t="s">
        <v>7895</v>
      </c>
      <c r="C342" t="s">
        <v>5332</v>
      </c>
      <c r="F342">
        <v>1</v>
      </c>
      <c r="G342" s="1" t="s">
        <v>458</v>
      </c>
      <c r="I342" s="1" t="s">
        <v>11473</v>
      </c>
      <c r="O342" t="s">
        <v>22</v>
      </c>
    </row>
    <row r="343" spans="1:15">
      <c r="A343" t="s">
        <v>10853</v>
      </c>
      <c r="B343" t="s">
        <v>10853</v>
      </c>
      <c r="C343" t="s">
        <v>5332</v>
      </c>
      <c r="F343">
        <v>1</v>
      </c>
      <c r="G343" s="1" t="s">
        <v>459</v>
      </c>
      <c r="I343" s="1" t="s">
        <v>11473</v>
      </c>
      <c r="O343" t="s">
        <v>22</v>
      </c>
    </row>
    <row r="344" spans="1:15">
      <c r="A344" t="s">
        <v>7404</v>
      </c>
      <c r="B344" t="s">
        <v>7404</v>
      </c>
      <c r="C344" t="s">
        <v>7405</v>
      </c>
      <c r="F344">
        <v>1</v>
      </c>
      <c r="G344" s="1" t="s">
        <v>460</v>
      </c>
      <c r="I344" s="1" t="s">
        <v>11473</v>
      </c>
      <c r="O344" t="s">
        <v>22</v>
      </c>
    </row>
    <row r="345" spans="1:15">
      <c r="A345" t="s">
        <v>9169</v>
      </c>
      <c r="B345" t="s">
        <v>9169</v>
      </c>
      <c r="C345" t="s">
        <v>9170</v>
      </c>
      <c r="F345">
        <v>1</v>
      </c>
      <c r="G345" s="1" t="s">
        <v>461</v>
      </c>
      <c r="I345" s="1" t="s">
        <v>11473</v>
      </c>
      <c r="O345" t="s">
        <v>22</v>
      </c>
    </row>
    <row r="346" spans="1:15">
      <c r="A346" t="s">
        <v>7403</v>
      </c>
      <c r="B346" t="s">
        <v>7403</v>
      </c>
      <c r="C346" t="s">
        <v>5065</v>
      </c>
      <c r="F346">
        <v>1</v>
      </c>
      <c r="G346" s="1" t="s">
        <v>462</v>
      </c>
      <c r="I346" s="1" t="s">
        <v>11473</v>
      </c>
      <c r="O346" t="s">
        <v>22</v>
      </c>
    </row>
    <row r="347" spans="1:15">
      <c r="A347" t="s">
        <v>7417</v>
      </c>
      <c r="B347" t="s">
        <v>7417</v>
      </c>
      <c r="C347" t="s">
        <v>5065</v>
      </c>
      <c r="F347">
        <v>1</v>
      </c>
      <c r="G347" s="1" t="s">
        <v>463</v>
      </c>
      <c r="I347" s="1" t="s">
        <v>11473</v>
      </c>
      <c r="O347" t="s">
        <v>22</v>
      </c>
    </row>
    <row r="348" spans="1:15">
      <c r="A348" t="s">
        <v>7761</v>
      </c>
      <c r="B348" t="s">
        <v>7761</v>
      </c>
      <c r="C348" t="s">
        <v>4292</v>
      </c>
      <c r="F348">
        <v>1</v>
      </c>
      <c r="G348" s="1" t="s">
        <v>464</v>
      </c>
      <c r="I348" s="1" t="s">
        <v>11473</v>
      </c>
      <c r="O348" t="s">
        <v>22</v>
      </c>
    </row>
    <row r="349" spans="1:15">
      <c r="A349" t="s">
        <v>8020</v>
      </c>
      <c r="B349" t="s">
        <v>8020</v>
      </c>
      <c r="C349" t="s">
        <v>8021</v>
      </c>
      <c r="F349">
        <v>1</v>
      </c>
      <c r="G349" s="1" t="s">
        <v>465</v>
      </c>
      <c r="I349" s="1" t="s">
        <v>11473</v>
      </c>
      <c r="O349" t="s">
        <v>22</v>
      </c>
    </row>
    <row r="350" spans="1:15">
      <c r="A350" t="s">
        <v>7512</v>
      </c>
      <c r="B350" t="s">
        <v>7512</v>
      </c>
      <c r="C350" t="s">
        <v>7513</v>
      </c>
      <c r="F350">
        <v>1</v>
      </c>
      <c r="G350" s="1" t="s">
        <v>466</v>
      </c>
      <c r="I350" s="1" t="s">
        <v>11473</v>
      </c>
      <c r="O350" t="s">
        <v>22</v>
      </c>
    </row>
    <row r="351" spans="1:15">
      <c r="A351" t="s">
        <v>11020</v>
      </c>
      <c r="B351" t="s">
        <v>11020</v>
      </c>
      <c r="C351" t="s">
        <v>7513</v>
      </c>
      <c r="F351">
        <v>1</v>
      </c>
      <c r="G351" s="1" t="s">
        <v>467</v>
      </c>
      <c r="I351" s="1" t="s">
        <v>11473</v>
      </c>
      <c r="O351" t="s">
        <v>22</v>
      </c>
    </row>
    <row r="352" spans="1:15">
      <c r="A352" t="s">
        <v>9690</v>
      </c>
      <c r="B352" t="s">
        <v>9690</v>
      </c>
      <c r="C352" t="s">
        <v>4488</v>
      </c>
      <c r="F352">
        <v>1</v>
      </c>
      <c r="G352" s="1" t="s">
        <v>468</v>
      </c>
      <c r="I352" s="1" t="s">
        <v>11473</v>
      </c>
      <c r="O352" t="s">
        <v>22</v>
      </c>
    </row>
    <row r="353" spans="1:15">
      <c r="A353" t="s">
        <v>7415</v>
      </c>
      <c r="B353" t="s">
        <v>7415</v>
      </c>
      <c r="C353" t="s">
        <v>7416</v>
      </c>
      <c r="F353">
        <v>1</v>
      </c>
      <c r="G353" s="1" t="s">
        <v>469</v>
      </c>
      <c r="I353" s="1" t="s">
        <v>11473</v>
      </c>
      <c r="O353" t="s">
        <v>22</v>
      </c>
    </row>
    <row r="354" spans="1:15">
      <c r="A354" t="s">
        <v>8806</v>
      </c>
      <c r="B354" t="s">
        <v>8806</v>
      </c>
      <c r="C354" t="s">
        <v>8807</v>
      </c>
      <c r="F354">
        <v>1</v>
      </c>
      <c r="G354" s="1" t="s">
        <v>470</v>
      </c>
      <c r="I354" s="1" t="s">
        <v>11473</v>
      </c>
      <c r="O354" t="s">
        <v>22</v>
      </c>
    </row>
    <row r="355" spans="1:15">
      <c r="A355" t="s">
        <v>8068</v>
      </c>
      <c r="B355" t="s">
        <v>8068</v>
      </c>
      <c r="C355" t="s">
        <v>8069</v>
      </c>
      <c r="F355">
        <v>1</v>
      </c>
      <c r="G355" s="1" t="s">
        <v>471</v>
      </c>
      <c r="I355" s="1" t="s">
        <v>11473</v>
      </c>
      <c r="O355" t="s">
        <v>22</v>
      </c>
    </row>
    <row r="356" spans="1:15">
      <c r="A356" t="s">
        <v>8132</v>
      </c>
      <c r="B356" t="s">
        <v>8132</v>
      </c>
      <c r="C356" t="s">
        <v>8069</v>
      </c>
      <c r="F356">
        <v>1</v>
      </c>
      <c r="G356" s="1" t="s">
        <v>472</v>
      </c>
      <c r="I356" s="1" t="s">
        <v>11473</v>
      </c>
      <c r="O356" t="s">
        <v>22</v>
      </c>
    </row>
    <row r="357" spans="1:15">
      <c r="A357" t="s">
        <v>9180</v>
      </c>
      <c r="B357" t="s">
        <v>9180</v>
      </c>
      <c r="C357" t="s">
        <v>8069</v>
      </c>
      <c r="F357">
        <v>1</v>
      </c>
      <c r="G357" s="1" t="s">
        <v>473</v>
      </c>
      <c r="I357" s="1" t="s">
        <v>11473</v>
      </c>
      <c r="O357" t="s">
        <v>22</v>
      </c>
    </row>
    <row r="358" spans="1:15">
      <c r="A358" t="s">
        <v>10584</v>
      </c>
      <c r="B358" t="s">
        <v>10584</v>
      </c>
      <c r="C358" t="s">
        <v>4291</v>
      </c>
      <c r="F358">
        <v>1</v>
      </c>
      <c r="G358" s="1" t="s">
        <v>474</v>
      </c>
      <c r="I358" s="1" t="s">
        <v>11473</v>
      </c>
      <c r="O358" t="s">
        <v>22</v>
      </c>
    </row>
    <row r="359" spans="1:15">
      <c r="A359" t="s">
        <v>7525</v>
      </c>
      <c r="B359" t="s">
        <v>7525</v>
      </c>
      <c r="C359" t="s">
        <v>7526</v>
      </c>
      <c r="F359">
        <v>1</v>
      </c>
      <c r="G359" s="1" t="s">
        <v>475</v>
      </c>
      <c r="I359" s="1" t="s">
        <v>11473</v>
      </c>
      <c r="O359" t="s">
        <v>22</v>
      </c>
    </row>
    <row r="360" spans="1:15">
      <c r="A360" t="s">
        <v>7527</v>
      </c>
      <c r="B360" t="s">
        <v>7527</v>
      </c>
      <c r="C360" t="s">
        <v>4302</v>
      </c>
      <c r="F360">
        <v>1</v>
      </c>
      <c r="G360" s="1" t="s">
        <v>476</v>
      </c>
      <c r="I360" s="1" t="s">
        <v>11473</v>
      </c>
      <c r="O360" t="s">
        <v>22</v>
      </c>
    </row>
    <row r="361" spans="1:15">
      <c r="A361" t="s">
        <v>5704</v>
      </c>
      <c r="B361" t="s">
        <v>5704</v>
      </c>
      <c r="C361" t="s">
        <v>4306</v>
      </c>
      <c r="F361">
        <v>1</v>
      </c>
      <c r="G361" s="1" t="s">
        <v>477</v>
      </c>
      <c r="I361" s="1" t="s">
        <v>11473</v>
      </c>
      <c r="O361" t="s">
        <v>22</v>
      </c>
    </row>
    <row r="362" spans="1:15">
      <c r="A362" t="s">
        <v>8820</v>
      </c>
      <c r="B362" t="s">
        <v>8820</v>
      </c>
      <c r="C362" t="s">
        <v>4306</v>
      </c>
      <c r="F362">
        <v>1</v>
      </c>
      <c r="G362" s="1" t="s">
        <v>478</v>
      </c>
      <c r="I362" s="1" t="s">
        <v>11473</v>
      </c>
      <c r="O362" t="s">
        <v>22</v>
      </c>
    </row>
    <row r="363" spans="1:15">
      <c r="A363" t="s">
        <v>9174</v>
      </c>
      <c r="B363" t="s">
        <v>9174</v>
      </c>
      <c r="C363" t="s">
        <v>4480</v>
      </c>
      <c r="F363">
        <v>1</v>
      </c>
      <c r="G363" s="1" t="s">
        <v>479</v>
      </c>
      <c r="I363" s="1" t="s">
        <v>11473</v>
      </c>
      <c r="O363" t="s">
        <v>22</v>
      </c>
    </row>
    <row r="364" spans="1:15">
      <c r="A364" t="s">
        <v>8970</v>
      </c>
      <c r="B364" t="s">
        <v>8970</v>
      </c>
      <c r="C364" t="s">
        <v>8971</v>
      </c>
      <c r="F364">
        <v>1</v>
      </c>
      <c r="G364" s="1" t="s">
        <v>480</v>
      </c>
      <c r="I364" s="1" t="s">
        <v>11473</v>
      </c>
      <c r="O364" t="s">
        <v>22</v>
      </c>
    </row>
    <row r="365" spans="1:15">
      <c r="A365" t="s">
        <v>10857</v>
      </c>
      <c r="B365" t="s">
        <v>10857</v>
      </c>
      <c r="C365" t="s">
        <v>8971</v>
      </c>
      <c r="F365">
        <v>1</v>
      </c>
      <c r="G365" s="1" t="s">
        <v>481</v>
      </c>
      <c r="I365" s="1" t="s">
        <v>11473</v>
      </c>
      <c r="O365" t="s">
        <v>22</v>
      </c>
    </row>
    <row r="366" spans="1:15">
      <c r="A366" t="s">
        <v>7532</v>
      </c>
      <c r="B366" t="s">
        <v>7532</v>
      </c>
      <c r="C366" t="s">
        <v>7533</v>
      </c>
      <c r="F366">
        <v>1</v>
      </c>
      <c r="G366" s="1" t="s">
        <v>482</v>
      </c>
      <c r="I366" s="1" t="s">
        <v>11473</v>
      </c>
      <c r="O366" t="s">
        <v>22</v>
      </c>
    </row>
    <row r="367" spans="1:15">
      <c r="A367" t="s">
        <v>9270</v>
      </c>
      <c r="B367" t="s">
        <v>9270</v>
      </c>
      <c r="C367" t="s">
        <v>9271</v>
      </c>
      <c r="F367">
        <v>1</v>
      </c>
      <c r="G367" s="1" t="s">
        <v>483</v>
      </c>
      <c r="I367" s="1" t="s">
        <v>11473</v>
      </c>
      <c r="O367" t="s">
        <v>22</v>
      </c>
    </row>
    <row r="368" spans="1:15">
      <c r="A368" t="s">
        <v>7493</v>
      </c>
      <c r="B368" t="s">
        <v>7493</v>
      </c>
      <c r="C368" t="s">
        <v>4953</v>
      </c>
      <c r="F368">
        <v>1</v>
      </c>
      <c r="G368" s="1" t="s">
        <v>484</v>
      </c>
      <c r="I368" s="1" t="s">
        <v>11473</v>
      </c>
      <c r="O368" t="s">
        <v>22</v>
      </c>
    </row>
    <row r="369" spans="1:15">
      <c r="A369" t="s">
        <v>7510</v>
      </c>
      <c r="B369" t="s">
        <v>7510</v>
      </c>
      <c r="C369" t="s">
        <v>7511</v>
      </c>
      <c r="F369">
        <v>1</v>
      </c>
      <c r="G369" s="1" t="s">
        <v>485</v>
      </c>
      <c r="I369" s="1" t="s">
        <v>11473</v>
      </c>
      <c r="O369" t="s">
        <v>22</v>
      </c>
    </row>
    <row r="370" spans="1:15">
      <c r="A370" t="s">
        <v>7407</v>
      </c>
      <c r="B370" t="s">
        <v>7407</v>
      </c>
      <c r="C370" t="s">
        <v>7408</v>
      </c>
      <c r="F370">
        <v>1</v>
      </c>
      <c r="G370" s="1" t="s">
        <v>486</v>
      </c>
      <c r="I370" s="1" t="s">
        <v>11473</v>
      </c>
      <c r="O370" t="s">
        <v>22</v>
      </c>
    </row>
    <row r="371" spans="1:15">
      <c r="A371" t="s">
        <v>7420</v>
      </c>
      <c r="B371" t="s">
        <v>7420</v>
      </c>
      <c r="C371" t="s">
        <v>7421</v>
      </c>
      <c r="F371">
        <v>1</v>
      </c>
      <c r="G371" s="1" t="s">
        <v>487</v>
      </c>
      <c r="I371" s="1" t="s">
        <v>11473</v>
      </c>
      <c r="O371" t="s">
        <v>22</v>
      </c>
    </row>
    <row r="372" spans="1:15">
      <c r="A372" t="s">
        <v>10536</v>
      </c>
      <c r="B372" t="s">
        <v>10536</v>
      </c>
      <c r="C372" t="s">
        <v>10537</v>
      </c>
      <c r="F372">
        <v>1</v>
      </c>
      <c r="G372" s="1" t="s">
        <v>488</v>
      </c>
      <c r="I372" s="1" t="s">
        <v>11473</v>
      </c>
      <c r="O372" t="s">
        <v>22</v>
      </c>
    </row>
    <row r="373" spans="1:15">
      <c r="A373" t="s">
        <v>9244</v>
      </c>
      <c r="B373" t="s">
        <v>9244</v>
      </c>
      <c r="C373" t="s">
        <v>4090</v>
      </c>
      <c r="F373">
        <v>1</v>
      </c>
      <c r="G373" s="1" t="s">
        <v>489</v>
      </c>
      <c r="I373" s="1" t="s">
        <v>11473</v>
      </c>
      <c r="O373" t="s">
        <v>22</v>
      </c>
    </row>
    <row r="374" spans="1:15">
      <c r="A374" t="s">
        <v>9503</v>
      </c>
      <c r="B374" t="s">
        <v>9503</v>
      </c>
      <c r="C374" t="s">
        <v>9504</v>
      </c>
      <c r="F374">
        <v>1</v>
      </c>
      <c r="G374" s="1" t="s">
        <v>490</v>
      </c>
      <c r="I374" s="1" t="s">
        <v>11473</v>
      </c>
      <c r="O374" t="s">
        <v>22</v>
      </c>
    </row>
    <row r="375" spans="1:15">
      <c r="A375" t="s">
        <v>8789</v>
      </c>
      <c r="B375" t="s">
        <v>8789</v>
      </c>
      <c r="C375" t="s">
        <v>8790</v>
      </c>
      <c r="F375">
        <v>1</v>
      </c>
      <c r="G375" s="1" t="s">
        <v>491</v>
      </c>
      <c r="I375" s="1" t="s">
        <v>11473</v>
      </c>
      <c r="O375" t="s">
        <v>22</v>
      </c>
    </row>
    <row r="376" spans="1:15">
      <c r="A376" t="s">
        <v>6616</v>
      </c>
      <c r="B376" t="s">
        <v>6616</v>
      </c>
      <c r="C376" t="s">
        <v>6617</v>
      </c>
      <c r="F376">
        <v>1</v>
      </c>
      <c r="G376" s="1" t="s">
        <v>492</v>
      </c>
      <c r="I376" s="1" t="s">
        <v>11473</v>
      </c>
      <c r="O376" t="s">
        <v>22</v>
      </c>
    </row>
    <row r="377" spans="1:15">
      <c r="A377" t="s">
        <v>4118</v>
      </c>
      <c r="B377" t="s">
        <v>4118</v>
      </c>
      <c r="C377" t="s">
        <v>6617</v>
      </c>
      <c r="F377">
        <v>1</v>
      </c>
      <c r="G377" s="1" t="s">
        <v>493</v>
      </c>
      <c r="I377" s="1" t="s">
        <v>11473</v>
      </c>
      <c r="O377" t="s">
        <v>22</v>
      </c>
    </row>
    <row r="378" spans="1:15">
      <c r="A378" t="s">
        <v>7970</v>
      </c>
      <c r="B378" t="s">
        <v>7970</v>
      </c>
      <c r="C378" t="s">
        <v>7971</v>
      </c>
      <c r="F378">
        <v>1</v>
      </c>
      <c r="G378" s="1" t="s">
        <v>494</v>
      </c>
      <c r="I378" s="1" t="s">
        <v>11473</v>
      </c>
      <c r="O378" t="s">
        <v>22</v>
      </c>
    </row>
    <row r="379" spans="1:15">
      <c r="A379" t="s">
        <v>7863</v>
      </c>
      <c r="B379" t="s">
        <v>7863</v>
      </c>
      <c r="C379" t="s">
        <v>4523</v>
      </c>
      <c r="F379">
        <v>1</v>
      </c>
      <c r="G379" s="1" t="s">
        <v>495</v>
      </c>
      <c r="I379" s="1" t="s">
        <v>11473</v>
      </c>
      <c r="O379" t="s">
        <v>22</v>
      </c>
    </row>
    <row r="380" spans="1:15">
      <c r="A380" t="s">
        <v>7826</v>
      </c>
      <c r="B380" t="s">
        <v>7826</v>
      </c>
      <c r="C380" t="s">
        <v>7827</v>
      </c>
      <c r="F380">
        <v>1</v>
      </c>
      <c r="G380" s="1" t="s">
        <v>496</v>
      </c>
      <c r="I380" s="1" t="s">
        <v>11473</v>
      </c>
      <c r="O380" t="s">
        <v>22</v>
      </c>
    </row>
    <row r="381" spans="1:15">
      <c r="A381" t="s">
        <v>8973</v>
      </c>
      <c r="B381" t="s">
        <v>8973</v>
      </c>
      <c r="C381" t="s">
        <v>7827</v>
      </c>
      <c r="F381">
        <v>1</v>
      </c>
      <c r="G381" s="1" t="s">
        <v>497</v>
      </c>
      <c r="I381" s="1" t="s">
        <v>11473</v>
      </c>
      <c r="O381" t="s">
        <v>22</v>
      </c>
    </row>
    <row r="382" spans="1:15">
      <c r="A382" t="s">
        <v>7834</v>
      </c>
      <c r="B382" t="s">
        <v>7834</v>
      </c>
      <c r="C382" t="s">
        <v>4502</v>
      </c>
      <c r="F382">
        <v>1</v>
      </c>
      <c r="G382" s="1" t="s">
        <v>498</v>
      </c>
      <c r="I382" s="1" t="s">
        <v>11473</v>
      </c>
      <c r="O382" t="s">
        <v>22</v>
      </c>
    </row>
    <row r="383" spans="1:15">
      <c r="A383" t="s">
        <v>7996</v>
      </c>
      <c r="B383" t="s">
        <v>7996</v>
      </c>
      <c r="C383" t="s">
        <v>4502</v>
      </c>
      <c r="F383">
        <v>1</v>
      </c>
      <c r="G383" s="1" t="s">
        <v>499</v>
      </c>
      <c r="I383" s="1" t="s">
        <v>11473</v>
      </c>
      <c r="O383" t="s">
        <v>22</v>
      </c>
    </row>
    <row r="384" spans="1:15">
      <c r="A384" t="s">
        <v>7882</v>
      </c>
      <c r="B384" t="s">
        <v>7882</v>
      </c>
      <c r="C384" t="s">
        <v>7883</v>
      </c>
      <c r="F384">
        <v>1</v>
      </c>
      <c r="G384" s="1" t="s">
        <v>500</v>
      </c>
      <c r="I384" s="1" t="s">
        <v>11473</v>
      </c>
      <c r="O384" t="s">
        <v>22</v>
      </c>
    </row>
    <row r="385" spans="1:15">
      <c r="A385" t="s">
        <v>9524</v>
      </c>
      <c r="B385" t="s">
        <v>9524</v>
      </c>
      <c r="C385" t="s">
        <v>4482</v>
      </c>
      <c r="F385">
        <v>1</v>
      </c>
      <c r="G385" s="1" t="s">
        <v>501</v>
      </c>
      <c r="I385" s="1" t="s">
        <v>11473</v>
      </c>
      <c r="O385" t="s">
        <v>22</v>
      </c>
    </row>
    <row r="386" spans="1:15">
      <c r="A386" t="s">
        <v>8013</v>
      </c>
      <c r="B386" t="s">
        <v>8013</v>
      </c>
      <c r="C386" t="s">
        <v>8014</v>
      </c>
      <c r="F386">
        <v>1</v>
      </c>
      <c r="G386" s="1" t="s">
        <v>502</v>
      </c>
      <c r="I386" s="1" t="s">
        <v>11473</v>
      </c>
      <c r="O386" t="s">
        <v>22</v>
      </c>
    </row>
    <row r="387" spans="1:15">
      <c r="A387" t="s">
        <v>9002</v>
      </c>
      <c r="B387" t="s">
        <v>9002</v>
      </c>
      <c r="C387" t="s">
        <v>9003</v>
      </c>
      <c r="F387">
        <v>1</v>
      </c>
      <c r="G387" s="1" t="s">
        <v>503</v>
      </c>
      <c r="I387" s="1" t="s">
        <v>11473</v>
      </c>
      <c r="O387" t="s">
        <v>22</v>
      </c>
    </row>
    <row r="388" spans="1:15">
      <c r="A388" t="s">
        <v>5927</v>
      </c>
      <c r="B388" t="s">
        <v>5927</v>
      </c>
      <c r="C388" t="s">
        <v>5928</v>
      </c>
      <c r="F388">
        <v>1</v>
      </c>
      <c r="G388" s="1" t="s">
        <v>504</v>
      </c>
      <c r="I388" s="1" t="s">
        <v>11473</v>
      </c>
      <c r="O388" t="s">
        <v>22</v>
      </c>
    </row>
    <row r="389" spans="1:15">
      <c r="A389" t="s">
        <v>8801</v>
      </c>
      <c r="B389" t="s">
        <v>8801</v>
      </c>
      <c r="C389" t="s">
        <v>8802</v>
      </c>
      <c r="F389">
        <v>1</v>
      </c>
      <c r="G389" s="1" t="s">
        <v>505</v>
      </c>
      <c r="I389" s="1" t="s">
        <v>11473</v>
      </c>
      <c r="O389" t="s">
        <v>22</v>
      </c>
    </row>
    <row r="390" spans="1:15">
      <c r="A390" t="s">
        <v>11458</v>
      </c>
      <c r="B390" t="s">
        <v>11458</v>
      </c>
      <c r="C390" t="s">
        <v>8802</v>
      </c>
      <c r="F390">
        <v>1</v>
      </c>
      <c r="G390" s="1" t="s">
        <v>506</v>
      </c>
      <c r="I390" s="1" t="s">
        <v>11473</v>
      </c>
      <c r="O390" t="s">
        <v>22</v>
      </c>
    </row>
    <row r="391" spans="1:15">
      <c r="A391" t="s">
        <v>8868</v>
      </c>
      <c r="B391" t="s">
        <v>8868</v>
      </c>
      <c r="C391" t="s">
        <v>4628</v>
      </c>
      <c r="F391">
        <v>1</v>
      </c>
      <c r="G391" s="1" t="s">
        <v>507</v>
      </c>
      <c r="I391" s="1" t="s">
        <v>11473</v>
      </c>
      <c r="O391" t="s">
        <v>22</v>
      </c>
    </row>
    <row r="392" spans="1:15">
      <c r="A392" t="s">
        <v>8799</v>
      </c>
      <c r="B392" t="s">
        <v>8799</v>
      </c>
      <c r="C392" t="s">
        <v>4377</v>
      </c>
      <c r="F392">
        <v>1</v>
      </c>
      <c r="G392" s="1" t="s">
        <v>508</v>
      </c>
      <c r="I392" s="1" t="s">
        <v>11473</v>
      </c>
      <c r="O392" t="s">
        <v>22</v>
      </c>
    </row>
    <row r="393" spans="1:15">
      <c r="A393" t="s">
        <v>11404</v>
      </c>
      <c r="B393" t="s">
        <v>11404</v>
      </c>
      <c r="C393" t="s">
        <v>4623</v>
      </c>
      <c r="F393">
        <v>1</v>
      </c>
      <c r="G393" s="1" t="s">
        <v>509</v>
      </c>
      <c r="I393" s="1" t="s">
        <v>11473</v>
      </c>
      <c r="O393" t="s">
        <v>22</v>
      </c>
    </row>
    <row r="394" spans="1:15">
      <c r="A394" t="s">
        <v>10112</v>
      </c>
      <c r="B394" t="s">
        <v>10112</v>
      </c>
      <c r="C394" t="s">
        <v>4191</v>
      </c>
      <c r="F394">
        <v>1</v>
      </c>
      <c r="G394" s="1" t="s">
        <v>510</v>
      </c>
      <c r="I394" s="1" t="s">
        <v>11473</v>
      </c>
      <c r="O394" t="s">
        <v>22</v>
      </c>
    </row>
    <row r="395" spans="1:15">
      <c r="A395" t="s">
        <v>6239</v>
      </c>
      <c r="B395" t="s">
        <v>6239</v>
      </c>
      <c r="C395" t="s">
        <v>4209</v>
      </c>
      <c r="F395">
        <v>1</v>
      </c>
      <c r="G395" s="1" t="s">
        <v>511</v>
      </c>
      <c r="I395" s="1" t="s">
        <v>11473</v>
      </c>
      <c r="O395" t="s">
        <v>22</v>
      </c>
    </row>
    <row r="396" spans="1:15">
      <c r="A396" t="s">
        <v>11058</v>
      </c>
      <c r="B396" t="s">
        <v>11058</v>
      </c>
      <c r="C396" t="s">
        <v>11059</v>
      </c>
      <c r="F396">
        <v>1</v>
      </c>
      <c r="G396" s="1" t="s">
        <v>512</v>
      </c>
      <c r="I396" s="1" t="s">
        <v>11473</v>
      </c>
      <c r="O396" t="s">
        <v>22</v>
      </c>
    </row>
    <row r="397" spans="1:15">
      <c r="A397" t="s">
        <v>8023</v>
      </c>
      <c r="B397" t="s">
        <v>8023</v>
      </c>
      <c r="C397" t="s">
        <v>8024</v>
      </c>
      <c r="F397">
        <v>1</v>
      </c>
      <c r="G397" s="1" t="s">
        <v>513</v>
      </c>
      <c r="I397" s="1" t="s">
        <v>11473</v>
      </c>
      <c r="O397" t="s">
        <v>22</v>
      </c>
    </row>
    <row r="398" spans="1:15">
      <c r="A398" t="s">
        <v>9013</v>
      </c>
      <c r="B398" t="s">
        <v>9013</v>
      </c>
      <c r="C398" t="s">
        <v>8024</v>
      </c>
      <c r="F398">
        <v>1</v>
      </c>
      <c r="G398" s="1" t="s">
        <v>514</v>
      </c>
      <c r="I398" s="1" t="s">
        <v>11473</v>
      </c>
      <c r="O398" t="s">
        <v>22</v>
      </c>
    </row>
    <row r="399" spans="1:15">
      <c r="A399" t="s">
        <v>11459</v>
      </c>
      <c r="B399" t="s">
        <v>11459</v>
      </c>
      <c r="C399" t="s">
        <v>11460</v>
      </c>
      <c r="F399">
        <v>1</v>
      </c>
      <c r="G399" s="1" t="s">
        <v>515</v>
      </c>
      <c r="I399" s="1" t="s">
        <v>11473</v>
      </c>
      <c r="O399" t="s">
        <v>22</v>
      </c>
    </row>
    <row r="400" spans="1:15">
      <c r="A400" t="s">
        <v>7516</v>
      </c>
      <c r="B400" t="s">
        <v>7516</v>
      </c>
      <c r="C400" t="s">
        <v>4797</v>
      </c>
      <c r="F400">
        <v>1</v>
      </c>
      <c r="G400" s="1" t="s">
        <v>516</v>
      </c>
      <c r="I400" s="1" t="s">
        <v>11473</v>
      </c>
      <c r="O400" t="s">
        <v>22</v>
      </c>
    </row>
    <row r="401" spans="1:15">
      <c r="A401" t="s">
        <v>7442</v>
      </c>
      <c r="B401" t="s">
        <v>7442</v>
      </c>
      <c r="C401" t="s">
        <v>7443</v>
      </c>
      <c r="F401">
        <v>1</v>
      </c>
      <c r="G401" s="1" t="s">
        <v>517</v>
      </c>
      <c r="I401" s="1" t="s">
        <v>11473</v>
      </c>
      <c r="O401" t="s">
        <v>22</v>
      </c>
    </row>
    <row r="402" spans="1:15">
      <c r="A402" t="s">
        <v>8882</v>
      </c>
      <c r="B402" t="s">
        <v>8882</v>
      </c>
      <c r="C402" t="s">
        <v>8883</v>
      </c>
      <c r="F402">
        <v>1</v>
      </c>
      <c r="G402" s="1" t="s">
        <v>518</v>
      </c>
      <c r="I402" s="1" t="s">
        <v>11473</v>
      </c>
      <c r="O402" t="s">
        <v>22</v>
      </c>
    </row>
    <row r="403" spans="1:15">
      <c r="A403" t="s">
        <v>10913</v>
      </c>
      <c r="B403" t="s">
        <v>10913</v>
      </c>
      <c r="C403" t="s">
        <v>10914</v>
      </c>
      <c r="F403">
        <v>1</v>
      </c>
      <c r="G403" s="1" t="s">
        <v>519</v>
      </c>
      <c r="I403" s="1" t="s">
        <v>11473</v>
      </c>
      <c r="O403" t="s">
        <v>22</v>
      </c>
    </row>
    <row r="404" spans="1:15">
      <c r="A404" t="s">
        <v>5740</v>
      </c>
      <c r="B404" t="s">
        <v>5740</v>
      </c>
      <c r="C404" t="s">
        <v>5741</v>
      </c>
      <c r="F404">
        <v>1</v>
      </c>
      <c r="G404" s="1" t="s">
        <v>520</v>
      </c>
      <c r="I404" s="1" t="s">
        <v>11473</v>
      </c>
      <c r="O404" t="s">
        <v>22</v>
      </c>
    </row>
    <row r="405" spans="1:15">
      <c r="A405" t="s">
        <v>7773</v>
      </c>
      <c r="B405" t="s">
        <v>7773</v>
      </c>
      <c r="C405" t="s">
        <v>7774</v>
      </c>
      <c r="F405">
        <v>1</v>
      </c>
      <c r="G405" s="1" t="s">
        <v>521</v>
      </c>
      <c r="I405" s="1" t="s">
        <v>11473</v>
      </c>
      <c r="O405" t="s">
        <v>22</v>
      </c>
    </row>
    <row r="406" spans="1:15">
      <c r="A406" t="s">
        <v>6459</v>
      </c>
      <c r="B406" t="s">
        <v>6459</v>
      </c>
      <c r="C406" t="s">
        <v>6460</v>
      </c>
      <c r="F406">
        <v>1</v>
      </c>
      <c r="G406" s="1" t="s">
        <v>522</v>
      </c>
      <c r="I406" s="1" t="s">
        <v>11473</v>
      </c>
      <c r="O406" t="s">
        <v>22</v>
      </c>
    </row>
    <row r="407" spans="1:15">
      <c r="A407" t="s">
        <v>6708</v>
      </c>
      <c r="B407" t="s">
        <v>6708</v>
      </c>
      <c r="C407" t="s">
        <v>6460</v>
      </c>
      <c r="F407">
        <v>1</v>
      </c>
      <c r="G407" s="1" t="s">
        <v>523</v>
      </c>
      <c r="I407" s="1" t="s">
        <v>11473</v>
      </c>
      <c r="O407" t="s">
        <v>22</v>
      </c>
    </row>
    <row r="408" spans="1:15">
      <c r="A408" t="s">
        <v>8046</v>
      </c>
      <c r="B408" t="s">
        <v>8046</v>
      </c>
      <c r="C408" t="s">
        <v>4099</v>
      </c>
      <c r="F408">
        <v>1</v>
      </c>
      <c r="G408" s="1" t="s">
        <v>524</v>
      </c>
      <c r="I408" s="1" t="s">
        <v>11473</v>
      </c>
      <c r="O408" t="s">
        <v>22</v>
      </c>
    </row>
    <row r="409" spans="1:15">
      <c r="A409" t="s">
        <v>8341</v>
      </c>
      <c r="B409" t="s">
        <v>8341</v>
      </c>
      <c r="C409" t="s">
        <v>8342</v>
      </c>
      <c r="F409">
        <v>1</v>
      </c>
      <c r="G409" s="1" t="s">
        <v>525</v>
      </c>
      <c r="I409" s="1" t="s">
        <v>11473</v>
      </c>
      <c r="O409" t="s">
        <v>22</v>
      </c>
    </row>
    <row r="410" spans="1:15">
      <c r="A410" t="s">
        <v>4207</v>
      </c>
      <c r="B410" t="s">
        <v>4207</v>
      </c>
      <c r="C410" t="s">
        <v>8467</v>
      </c>
      <c r="F410">
        <v>1</v>
      </c>
      <c r="G410" s="1" t="s">
        <v>526</v>
      </c>
      <c r="I410" s="1" t="s">
        <v>11473</v>
      </c>
      <c r="O410" t="s">
        <v>22</v>
      </c>
    </row>
    <row r="411" spans="1:15">
      <c r="A411" t="s">
        <v>8334</v>
      </c>
      <c r="B411" t="s">
        <v>8334</v>
      </c>
      <c r="C411" t="s">
        <v>5384</v>
      </c>
      <c r="F411">
        <v>1</v>
      </c>
      <c r="G411" s="1" t="s">
        <v>527</v>
      </c>
      <c r="I411" s="1" t="s">
        <v>11473</v>
      </c>
      <c r="O411" t="s">
        <v>22</v>
      </c>
    </row>
    <row r="412" spans="1:15">
      <c r="A412" t="s">
        <v>9029</v>
      </c>
      <c r="B412" t="s">
        <v>9029</v>
      </c>
      <c r="C412" t="s">
        <v>5384</v>
      </c>
      <c r="F412">
        <v>1</v>
      </c>
      <c r="G412" s="1" t="s">
        <v>528</v>
      </c>
      <c r="I412" s="1" t="s">
        <v>11473</v>
      </c>
      <c r="O412" t="s">
        <v>22</v>
      </c>
    </row>
    <row r="413" spans="1:15">
      <c r="A413" t="s">
        <v>10126</v>
      </c>
      <c r="B413" t="s">
        <v>10126</v>
      </c>
      <c r="C413" t="s">
        <v>4617</v>
      </c>
      <c r="F413">
        <v>1</v>
      </c>
      <c r="G413" s="1" t="s">
        <v>529</v>
      </c>
      <c r="I413" s="1" t="s">
        <v>11473</v>
      </c>
      <c r="O413" t="s">
        <v>22</v>
      </c>
    </row>
    <row r="414" spans="1:15">
      <c r="A414" t="s">
        <v>10151</v>
      </c>
      <c r="B414" t="s">
        <v>10151</v>
      </c>
      <c r="C414" t="s">
        <v>4617</v>
      </c>
      <c r="F414">
        <v>1</v>
      </c>
      <c r="G414" s="1" t="s">
        <v>530</v>
      </c>
      <c r="I414" s="1" t="s">
        <v>11473</v>
      </c>
      <c r="O414" t="s">
        <v>22</v>
      </c>
    </row>
    <row r="415" spans="1:15">
      <c r="A415" t="s">
        <v>8271</v>
      </c>
      <c r="B415" t="s">
        <v>8271</v>
      </c>
      <c r="C415" t="s">
        <v>4526</v>
      </c>
      <c r="F415">
        <v>1</v>
      </c>
      <c r="G415" s="1" t="s">
        <v>531</v>
      </c>
      <c r="I415" s="1" t="s">
        <v>11473</v>
      </c>
      <c r="O415" t="s">
        <v>22</v>
      </c>
    </row>
    <row r="416" spans="1:15">
      <c r="A416" t="s">
        <v>8874</v>
      </c>
      <c r="B416" t="s">
        <v>8874</v>
      </c>
      <c r="C416" t="s">
        <v>4506</v>
      </c>
      <c r="F416">
        <v>1</v>
      </c>
      <c r="G416" s="1" t="s">
        <v>532</v>
      </c>
      <c r="I416" s="1" t="s">
        <v>11473</v>
      </c>
      <c r="O416" t="s">
        <v>22</v>
      </c>
    </row>
    <row r="417" spans="1:15">
      <c r="A417" t="s">
        <v>10045</v>
      </c>
      <c r="B417" t="s">
        <v>10045</v>
      </c>
      <c r="C417" t="s">
        <v>10046</v>
      </c>
      <c r="F417">
        <v>1</v>
      </c>
      <c r="G417" s="1" t="s">
        <v>533</v>
      </c>
      <c r="I417" s="1" t="s">
        <v>11473</v>
      </c>
      <c r="O417" t="s">
        <v>22</v>
      </c>
    </row>
    <row r="418" spans="1:15">
      <c r="A418" t="s">
        <v>11464</v>
      </c>
      <c r="B418" t="s">
        <v>11464</v>
      </c>
      <c r="C418" t="s">
        <v>11465</v>
      </c>
      <c r="F418">
        <v>1</v>
      </c>
      <c r="G418" s="1" t="s">
        <v>534</v>
      </c>
      <c r="I418" s="1" t="s">
        <v>11473</v>
      </c>
      <c r="O418" t="s">
        <v>22</v>
      </c>
    </row>
    <row r="419" spans="1:15">
      <c r="A419" t="s">
        <v>8741</v>
      </c>
      <c r="B419" t="s">
        <v>8741</v>
      </c>
      <c r="C419" t="s">
        <v>8742</v>
      </c>
      <c r="F419">
        <v>1</v>
      </c>
      <c r="G419" s="1" t="s">
        <v>535</v>
      </c>
      <c r="I419" s="1" t="s">
        <v>11473</v>
      </c>
      <c r="O419" t="s">
        <v>22</v>
      </c>
    </row>
    <row r="420" spans="1:15">
      <c r="A420" t="s">
        <v>9972</v>
      </c>
      <c r="B420" t="s">
        <v>9972</v>
      </c>
      <c r="C420" t="s">
        <v>8742</v>
      </c>
      <c r="F420">
        <v>1</v>
      </c>
      <c r="G420" s="1" t="s">
        <v>536</v>
      </c>
      <c r="I420" s="1" t="s">
        <v>11473</v>
      </c>
      <c r="O420" t="s">
        <v>22</v>
      </c>
    </row>
    <row r="421" spans="1:15">
      <c r="A421" t="s">
        <v>8905</v>
      </c>
      <c r="B421" t="s">
        <v>8905</v>
      </c>
      <c r="C421" t="s">
        <v>8906</v>
      </c>
      <c r="F421">
        <v>1</v>
      </c>
      <c r="G421" s="1" t="s">
        <v>537</v>
      </c>
      <c r="I421" s="1" t="s">
        <v>11473</v>
      </c>
      <c r="O421" t="s">
        <v>22</v>
      </c>
    </row>
    <row r="422" spans="1:15">
      <c r="A422" t="s">
        <v>8958</v>
      </c>
      <c r="B422" t="s">
        <v>8958</v>
      </c>
      <c r="C422" t="s">
        <v>4256</v>
      </c>
      <c r="F422">
        <v>1</v>
      </c>
      <c r="G422" s="1" t="s">
        <v>538</v>
      </c>
      <c r="I422" s="1" t="s">
        <v>11473</v>
      </c>
      <c r="O422" t="s">
        <v>22</v>
      </c>
    </row>
    <row r="423" spans="1:15">
      <c r="A423" t="s">
        <v>11290</v>
      </c>
      <c r="B423" t="s">
        <v>11290</v>
      </c>
      <c r="C423" t="s">
        <v>11291</v>
      </c>
      <c r="F423">
        <v>1</v>
      </c>
      <c r="G423" s="1" t="s">
        <v>539</v>
      </c>
      <c r="I423" s="1" t="s">
        <v>11473</v>
      </c>
      <c r="O423" t="s">
        <v>22</v>
      </c>
    </row>
    <row r="424" spans="1:15">
      <c r="A424" t="s">
        <v>7905</v>
      </c>
      <c r="B424" t="s">
        <v>7905</v>
      </c>
      <c r="C424" t="s">
        <v>7906</v>
      </c>
      <c r="F424">
        <v>1</v>
      </c>
      <c r="G424" s="1" t="s">
        <v>540</v>
      </c>
      <c r="I424" s="1" t="s">
        <v>11473</v>
      </c>
      <c r="O424" t="s">
        <v>22</v>
      </c>
    </row>
    <row r="425" spans="1:15">
      <c r="A425" t="s">
        <v>9666</v>
      </c>
      <c r="B425" t="s">
        <v>9666</v>
      </c>
      <c r="C425" t="s">
        <v>9667</v>
      </c>
      <c r="F425">
        <v>1</v>
      </c>
      <c r="G425" s="1" t="s">
        <v>541</v>
      </c>
      <c r="I425" s="1" t="s">
        <v>11473</v>
      </c>
      <c r="O425" t="s">
        <v>22</v>
      </c>
    </row>
    <row r="426" spans="1:15">
      <c r="A426" t="s">
        <v>5796</v>
      </c>
      <c r="B426" t="s">
        <v>5796</v>
      </c>
      <c r="C426" t="s">
        <v>5797</v>
      </c>
      <c r="F426">
        <v>1</v>
      </c>
      <c r="G426" s="1" t="s">
        <v>542</v>
      </c>
      <c r="I426" s="1" t="s">
        <v>11473</v>
      </c>
      <c r="O426" t="s">
        <v>22</v>
      </c>
    </row>
    <row r="427" spans="1:15">
      <c r="A427" t="s">
        <v>11239</v>
      </c>
      <c r="B427" t="s">
        <v>11239</v>
      </c>
      <c r="C427" t="s">
        <v>11240</v>
      </c>
      <c r="F427">
        <v>1</v>
      </c>
      <c r="G427" s="1" t="s">
        <v>543</v>
      </c>
      <c r="I427" s="1" t="s">
        <v>11473</v>
      </c>
      <c r="O427" t="s">
        <v>22</v>
      </c>
    </row>
    <row r="428" spans="1:15">
      <c r="A428" t="s">
        <v>10933</v>
      </c>
      <c r="B428" t="s">
        <v>10933</v>
      </c>
      <c r="C428" t="s">
        <v>10934</v>
      </c>
      <c r="F428">
        <v>1</v>
      </c>
      <c r="G428" s="1" t="s">
        <v>544</v>
      </c>
      <c r="I428" s="1" t="s">
        <v>11473</v>
      </c>
      <c r="O428" t="s">
        <v>22</v>
      </c>
    </row>
    <row r="429" spans="1:15">
      <c r="A429" t="s">
        <v>6274</v>
      </c>
      <c r="B429" t="s">
        <v>6274</v>
      </c>
      <c r="C429" t="s">
        <v>6275</v>
      </c>
      <c r="F429">
        <v>1</v>
      </c>
      <c r="G429" s="1" t="s">
        <v>545</v>
      </c>
      <c r="I429" s="1" t="s">
        <v>11473</v>
      </c>
      <c r="O429" t="s">
        <v>22</v>
      </c>
    </row>
    <row r="430" spans="1:15">
      <c r="A430" t="s">
        <v>9945</v>
      </c>
      <c r="B430" t="s">
        <v>9945</v>
      </c>
      <c r="C430" t="s">
        <v>6275</v>
      </c>
      <c r="F430">
        <v>1</v>
      </c>
      <c r="G430" s="1" t="s">
        <v>546</v>
      </c>
      <c r="I430" s="1" t="s">
        <v>11473</v>
      </c>
      <c r="O430" t="s">
        <v>22</v>
      </c>
    </row>
    <row r="431" spans="1:15">
      <c r="A431" t="s">
        <v>6354</v>
      </c>
      <c r="B431" t="s">
        <v>6354</v>
      </c>
      <c r="C431" t="s">
        <v>4366</v>
      </c>
      <c r="F431">
        <v>1</v>
      </c>
      <c r="G431" s="1" t="s">
        <v>547</v>
      </c>
      <c r="I431" s="1" t="s">
        <v>11473</v>
      </c>
      <c r="O431" t="s">
        <v>22</v>
      </c>
    </row>
    <row r="432" spans="1:15">
      <c r="A432" t="s">
        <v>6957</v>
      </c>
      <c r="B432" t="s">
        <v>6957</v>
      </c>
      <c r="C432" t="s">
        <v>4399</v>
      </c>
      <c r="F432">
        <v>1</v>
      </c>
      <c r="G432" s="1" t="s">
        <v>548</v>
      </c>
      <c r="I432" s="1" t="s">
        <v>11473</v>
      </c>
      <c r="O432" t="s">
        <v>22</v>
      </c>
    </row>
    <row r="433" spans="1:15">
      <c r="A433" t="s">
        <v>11158</v>
      </c>
      <c r="B433" t="s">
        <v>11158</v>
      </c>
      <c r="C433" t="s">
        <v>4622</v>
      </c>
      <c r="F433">
        <v>1</v>
      </c>
      <c r="G433" s="1" t="s">
        <v>549</v>
      </c>
      <c r="I433" s="1" t="s">
        <v>11473</v>
      </c>
      <c r="O433" t="s">
        <v>22</v>
      </c>
    </row>
    <row r="434" spans="1:15">
      <c r="A434" t="s">
        <v>9490</v>
      </c>
      <c r="B434" t="s">
        <v>9490</v>
      </c>
      <c r="C434" t="s">
        <v>9491</v>
      </c>
      <c r="F434">
        <v>1</v>
      </c>
      <c r="G434" s="1" t="s">
        <v>550</v>
      </c>
      <c r="I434" s="1" t="s">
        <v>11473</v>
      </c>
      <c r="O434" t="s">
        <v>22</v>
      </c>
    </row>
    <row r="435" spans="1:15">
      <c r="A435" t="s">
        <v>5251</v>
      </c>
      <c r="B435" t="s">
        <v>5251</v>
      </c>
      <c r="C435" t="s">
        <v>8061</v>
      </c>
      <c r="F435">
        <v>1</v>
      </c>
      <c r="G435" s="1" t="s">
        <v>551</v>
      </c>
      <c r="I435" s="1" t="s">
        <v>11473</v>
      </c>
      <c r="O435" t="s">
        <v>22</v>
      </c>
    </row>
    <row r="436" spans="1:15">
      <c r="A436" t="s">
        <v>11241</v>
      </c>
      <c r="B436" t="s">
        <v>11241</v>
      </c>
      <c r="C436" t="s">
        <v>11242</v>
      </c>
      <c r="F436">
        <v>1</v>
      </c>
      <c r="G436" s="1" t="s">
        <v>552</v>
      </c>
      <c r="I436" s="1" t="s">
        <v>11473</v>
      </c>
      <c r="O436" t="s">
        <v>22</v>
      </c>
    </row>
    <row r="437" spans="1:15">
      <c r="A437" t="s">
        <v>6874</v>
      </c>
      <c r="B437" t="s">
        <v>6874</v>
      </c>
      <c r="C437" t="s">
        <v>6875</v>
      </c>
      <c r="F437">
        <v>1</v>
      </c>
      <c r="G437" s="1" t="s">
        <v>553</v>
      </c>
      <c r="I437" s="1" t="s">
        <v>11473</v>
      </c>
      <c r="O437" t="s">
        <v>22</v>
      </c>
    </row>
    <row r="438" spans="1:15">
      <c r="A438" t="s">
        <v>10592</v>
      </c>
      <c r="B438" t="s">
        <v>10592</v>
      </c>
      <c r="C438" t="s">
        <v>10593</v>
      </c>
      <c r="F438">
        <v>1</v>
      </c>
      <c r="G438" s="1" t="s">
        <v>554</v>
      </c>
      <c r="I438" s="1" t="s">
        <v>11473</v>
      </c>
      <c r="O438" t="s">
        <v>22</v>
      </c>
    </row>
    <row r="439" spans="1:15">
      <c r="A439" t="s">
        <v>9691</v>
      </c>
      <c r="B439" t="s">
        <v>9691</v>
      </c>
      <c r="C439" t="s">
        <v>4410</v>
      </c>
      <c r="F439">
        <v>1</v>
      </c>
      <c r="G439" s="1" t="s">
        <v>555</v>
      </c>
      <c r="I439" s="1" t="s">
        <v>11473</v>
      </c>
      <c r="O439" t="s">
        <v>22</v>
      </c>
    </row>
    <row r="440" spans="1:15">
      <c r="A440" t="s">
        <v>9827</v>
      </c>
      <c r="B440" t="s">
        <v>9827</v>
      </c>
      <c r="C440" t="s">
        <v>4410</v>
      </c>
      <c r="F440">
        <v>1</v>
      </c>
      <c r="G440" s="1" t="s">
        <v>556</v>
      </c>
      <c r="I440" s="1" t="s">
        <v>11473</v>
      </c>
      <c r="O440" t="s">
        <v>22</v>
      </c>
    </row>
    <row r="441" spans="1:15">
      <c r="A441" t="s">
        <v>6903</v>
      </c>
      <c r="B441" t="s">
        <v>6903</v>
      </c>
      <c r="C441" t="s">
        <v>6904</v>
      </c>
      <c r="F441">
        <v>1</v>
      </c>
      <c r="G441" s="1" t="s">
        <v>557</v>
      </c>
      <c r="I441" s="1" t="s">
        <v>11473</v>
      </c>
      <c r="O441" t="s">
        <v>22</v>
      </c>
    </row>
    <row r="442" spans="1:15">
      <c r="A442" t="s">
        <v>8166</v>
      </c>
      <c r="B442" t="s">
        <v>8166</v>
      </c>
      <c r="C442" t="s">
        <v>8167</v>
      </c>
      <c r="F442">
        <v>1</v>
      </c>
      <c r="G442" s="1" t="s">
        <v>558</v>
      </c>
      <c r="I442" s="1" t="s">
        <v>11473</v>
      </c>
      <c r="O442" t="s">
        <v>22</v>
      </c>
    </row>
    <row r="443" spans="1:15">
      <c r="A443" t="s">
        <v>10064</v>
      </c>
      <c r="B443" t="s">
        <v>10064</v>
      </c>
      <c r="C443" t="s">
        <v>10065</v>
      </c>
      <c r="F443">
        <v>1</v>
      </c>
      <c r="G443" s="1" t="s">
        <v>559</v>
      </c>
      <c r="I443" s="1" t="s">
        <v>11473</v>
      </c>
      <c r="O443" t="s">
        <v>22</v>
      </c>
    </row>
    <row r="444" spans="1:15">
      <c r="A444" t="s">
        <v>7880</v>
      </c>
      <c r="B444" t="s">
        <v>7880</v>
      </c>
      <c r="C444" t="s">
        <v>7881</v>
      </c>
      <c r="F444">
        <v>1</v>
      </c>
      <c r="G444" s="1" t="s">
        <v>560</v>
      </c>
      <c r="I444" s="1" t="s">
        <v>11473</v>
      </c>
      <c r="O444" t="s">
        <v>22</v>
      </c>
    </row>
    <row r="445" spans="1:15">
      <c r="A445" t="s">
        <v>8978</v>
      </c>
      <c r="B445" t="s">
        <v>8978</v>
      </c>
      <c r="C445" t="s">
        <v>8979</v>
      </c>
      <c r="F445">
        <v>1</v>
      </c>
      <c r="G445" s="1" t="s">
        <v>561</v>
      </c>
      <c r="I445" s="1" t="s">
        <v>11473</v>
      </c>
      <c r="O445" t="s">
        <v>22</v>
      </c>
    </row>
    <row r="446" spans="1:15">
      <c r="A446" t="s">
        <v>6829</v>
      </c>
      <c r="B446" t="s">
        <v>6829</v>
      </c>
      <c r="C446" t="s">
        <v>6830</v>
      </c>
      <c r="F446">
        <v>1</v>
      </c>
      <c r="G446" s="1" t="s">
        <v>562</v>
      </c>
      <c r="I446" s="1" t="s">
        <v>11473</v>
      </c>
      <c r="O446" t="s">
        <v>22</v>
      </c>
    </row>
    <row r="447" spans="1:15">
      <c r="A447" t="s">
        <v>8955</v>
      </c>
      <c r="B447" t="s">
        <v>8955</v>
      </c>
      <c r="C447" t="s">
        <v>8956</v>
      </c>
      <c r="F447">
        <v>1</v>
      </c>
      <c r="G447" s="1" t="s">
        <v>563</v>
      </c>
      <c r="I447" s="1" t="s">
        <v>11473</v>
      </c>
      <c r="O447" t="s">
        <v>22</v>
      </c>
    </row>
    <row r="448" spans="1:15">
      <c r="A448" t="s">
        <v>7885</v>
      </c>
      <c r="B448" t="s">
        <v>7885</v>
      </c>
      <c r="C448" t="s">
        <v>7886</v>
      </c>
      <c r="F448">
        <v>1</v>
      </c>
      <c r="G448" s="1" t="s">
        <v>564</v>
      </c>
      <c r="I448" s="1" t="s">
        <v>11473</v>
      </c>
      <c r="O448" t="s">
        <v>22</v>
      </c>
    </row>
    <row r="449" spans="1:15">
      <c r="A449" t="s">
        <v>9204</v>
      </c>
      <c r="B449" t="s">
        <v>9204</v>
      </c>
      <c r="C449" t="s">
        <v>7886</v>
      </c>
      <c r="F449">
        <v>1</v>
      </c>
      <c r="G449" s="1" t="s">
        <v>565</v>
      </c>
      <c r="I449" s="1" t="s">
        <v>11473</v>
      </c>
      <c r="O449" t="s">
        <v>22</v>
      </c>
    </row>
    <row r="450" spans="1:15">
      <c r="A450" t="s">
        <v>6519</v>
      </c>
      <c r="B450" t="s">
        <v>6519</v>
      </c>
      <c r="C450" t="s">
        <v>6520</v>
      </c>
      <c r="F450">
        <v>1</v>
      </c>
      <c r="G450" s="1" t="s">
        <v>566</v>
      </c>
      <c r="I450" s="1" t="s">
        <v>11473</v>
      </c>
      <c r="O450" t="s">
        <v>22</v>
      </c>
    </row>
    <row r="451" spans="1:15">
      <c r="A451" t="s">
        <v>10915</v>
      </c>
      <c r="B451" t="s">
        <v>10915</v>
      </c>
      <c r="C451" t="s">
        <v>10916</v>
      </c>
      <c r="F451">
        <v>1</v>
      </c>
      <c r="G451" s="1" t="s">
        <v>567</v>
      </c>
      <c r="I451" s="1" t="s">
        <v>11473</v>
      </c>
      <c r="O451" t="s">
        <v>22</v>
      </c>
    </row>
    <row r="452" spans="1:15">
      <c r="A452" t="s">
        <v>7585</v>
      </c>
      <c r="B452" t="s">
        <v>7585</v>
      </c>
      <c r="C452" t="s">
        <v>7586</v>
      </c>
      <c r="F452">
        <v>1</v>
      </c>
      <c r="G452" s="1" t="s">
        <v>568</v>
      </c>
      <c r="I452" s="1" t="s">
        <v>11473</v>
      </c>
      <c r="O452" t="s">
        <v>22</v>
      </c>
    </row>
    <row r="453" spans="1:15">
      <c r="A453" t="s">
        <v>5807</v>
      </c>
      <c r="B453" t="s">
        <v>5807</v>
      </c>
      <c r="C453" t="s">
        <v>5808</v>
      </c>
      <c r="F453">
        <v>1</v>
      </c>
      <c r="G453" s="1" t="s">
        <v>569</v>
      </c>
      <c r="I453" s="1" t="s">
        <v>11473</v>
      </c>
      <c r="O453" t="s">
        <v>22</v>
      </c>
    </row>
    <row r="454" spans="1:15">
      <c r="A454" t="s">
        <v>10040</v>
      </c>
      <c r="B454" t="s">
        <v>10040</v>
      </c>
      <c r="C454" t="s">
        <v>5808</v>
      </c>
      <c r="F454">
        <v>1</v>
      </c>
      <c r="G454" s="1" t="s">
        <v>570</v>
      </c>
      <c r="I454" s="1" t="s">
        <v>11473</v>
      </c>
      <c r="O454" t="s">
        <v>22</v>
      </c>
    </row>
    <row r="455" spans="1:15">
      <c r="A455" t="s">
        <v>5835</v>
      </c>
      <c r="B455" t="s">
        <v>5835</v>
      </c>
      <c r="C455" t="s">
        <v>5836</v>
      </c>
      <c r="F455">
        <v>1</v>
      </c>
      <c r="G455" s="1" t="s">
        <v>571</v>
      </c>
      <c r="I455" s="1" t="s">
        <v>11473</v>
      </c>
      <c r="O455" t="s">
        <v>22</v>
      </c>
    </row>
    <row r="456" spans="1:15">
      <c r="A456" t="s">
        <v>8237</v>
      </c>
      <c r="B456" t="s">
        <v>8237</v>
      </c>
      <c r="C456" t="s">
        <v>5127</v>
      </c>
      <c r="F456">
        <v>1</v>
      </c>
      <c r="G456" s="1" t="s">
        <v>572</v>
      </c>
      <c r="I456" s="1" t="s">
        <v>11473</v>
      </c>
      <c r="O456" t="s">
        <v>22</v>
      </c>
    </row>
    <row r="457" spans="1:15">
      <c r="A457" t="s">
        <v>9092</v>
      </c>
      <c r="B457" t="s">
        <v>9092</v>
      </c>
      <c r="C457" t="s">
        <v>9093</v>
      </c>
      <c r="F457">
        <v>1</v>
      </c>
      <c r="G457" s="1" t="s">
        <v>573</v>
      </c>
      <c r="I457" s="1" t="s">
        <v>11473</v>
      </c>
      <c r="O457" t="s">
        <v>22</v>
      </c>
    </row>
    <row r="458" spans="1:15">
      <c r="A458" t="s">
        <v>10843</v>
      </c>
      <c r="B458" t="s">
        <v>10843</v>
      </c>
      <c r="C458" t="s">
        <v>9093</v>
      </c>
      <c r="F458">
        <v>1</v>
      </c>
      <c r="G458" s="1" t="s">
        <v>574</v>
      </c>
      <c r="I458" s="1" t="s">
        <v>11473</v>
      </c>
      <c r="O458" t="s">
        <v>22</v>
      </c>
    </row>
    <row r="459" spans="1:15">
      <c r="A459" t="s">
        <v>5744</v>
      </c>
      <c r="B459" t="s">
        <v>5744</v>
      </c>
      <c r="C459" t="s">
        <v>5745</v>
      </c>
      <c r="F459">
        <v>1</v>
      </c>
      <c r="G459" s="1" t="s">
        <v>575</v>
      </c>
      <c r="I459" s="1" t="s">
        <v>11473</v>
      </c>
      <c r="O459" t="s">
        <v>22</v>
      </c>
    </row>
    <row r="460" spans="1:15">
      <c r="A460" t="s">
        <v>6001</v>
      </c>
      <c r="B460" t="s">
        <v>6001</v>
      </c>
      <c r="C460" t="s">
        <v>6002</v>
      </c>
      <c r="F460">
        <v>1</v>
      </c>
      <c r="G460" s="1" t="s">
        <v>576</v>
      </c>
      <c r="I460" s="1" t="s">
        <v>11473</v>
      </c>
      <c r="O460" t="s">
        <v>22</v>
      </c>
    </row>
    <row r="461" spans="1:15">
      <c r="A461" t="s">
        <v>6885</v>
      </c>
      <c r="B461" t="s">
        <v>6885</v>
      </c>
      <c r="C461" t="s">
        <v>6002</v>
      </c>
      <c r="F461">
        <v>1</v>
      </c>
      <c r="G461" s="1" t="s">
        <v>577</v>
      </c>
      <c r="I461" s="1" t="s">
        <v>11473</v>
      </c>
      <c r="O461" t="s">
        <v>22</v>
      </c>
    </row>
    <row r="462" spans="1:15">
      <c r="A462" t="s">
        <v>11006</v>
      </c>
      <c r="B462" t="s">
        <v>11006</v>
      </c>
      <c r="C462" t="s">
        <v>11007</v>
      </c>
      <c r="F462">
        <v>1</v>
      </c>
      <c r="G462" s="1" t="s">
        <v>578</v>
      </c>
      <c r="I462" s="1" t="s">
        <v>11473</v>
      </c>
      <c r="O462" t="s">
        <v>22</v>
      </c>
    </row>
    <row r="463" spans="1:15">
      <c r="A463" t="s">
        <v>6791</v>
      </c>
      <c r="B463" t="s">
        <v>6791</v>
      </c>
      <c r="C463" t="s">
        <v>5147</v>
      </c>
      <c r="F463">
        <v>1</v>
      </c>
      <c r="G463" s="1" t="s">
        <v>579</v>
      </c>
      <c r="I463" s="1" t="s">
        <v>11473</v>
      </c>
      <c r="O463" t="s">
        <v>22</v>
      </c>
    </row>
    <row r="464" spans="1:15">
      <c r="A464" t="s">
        <v>8095</v>
      </c>
      <c r="B464" t="s">
        <v>8095</v>
      </c>
      <c r="C464" t="s">
        <v>5147</v>
      </c>
      <c r="F464">
        <v>1</v>
      </c>
      <c r="G464" s="1" t="s">
        <v>580</v>
      </c>
      <c r="I464" s="1" t="s">
        <v>11473</v>
      </c>
      <c r="O464" t="s">
        <v>22</v>
      </c>
    </row>
    <row r="465" spans="1:15">
      <c r="A465" t="s">
        <v>9044</v>
      </c>
      <c r="B465" t="s">
        <v>9044</v>
      </c>
      <c r="C465" t="s">
        <v>5147</v>
      </c>
      <c r="F465">
        <v>1</v>
      </c>
      <c r="G465" s="1" t="s">
        <v>581</v>
      </c>
      <c r="I465" s="1" t="s">
        <v>11473</v>
      </c>
      <c r="O465" t="s">
        <v>22</v>
      </c>
    </row>
    <row r="466" spans="1:15">
      <c r="A466" t="s">
        <v>11288</v>
      </c>
      <c r="B466" t="s">
        <v>11288</v>
      </c>
      <c r="C466" t="s">
        <v>11289</v>
      </c>
      <c r="F466">
        <v>1</v>
      </c>
      <c r="G466" s="1" t="s">
        <v>582</v>
      </c>
      <c r="I466" s="1" t="s">
        <v>11473</v>
      </c>
      <c r="O466" t="s">
        <v>22</v>
      </c>
    </row>
    <row r="467" spans="1:15">
      <c r="A467" t="s">
        <v>11023</v>
      </c>
      <c r="B467" t="s">
        <v>11023</v>
      </c>
      <c r="C467" t="s">
        <v>4390</v>
      </c>
      <c r="F467">
        <v>1</v>
      </c>
      <c r="G467" s="1" t="s">
        <v>583</v>
      </c>
      <c r="I467" s="1" t="s">
        <v>11473</v>
      </c>
      <c r="O467" t="s">
        <v>22</v>
      </c>
    </row>
    <row r="468" spans="1:15">
      <c r="A468" t="s">
        <v>10159</v>
      </c>
      <c r="B468" t="s">
        <v>10159</v>
      </c>
      <c r="C468" t="s">
        <v>10160</v>
      </c>
      <c r="F468">
        <v>1</v>
      </c>
      <c r="G468" s="1" t="s">
        <v>584</v>
      </c>
      <c r="I468" s="1" t="s">
        <v>11473</v>
      </c>
      <c r="O468" t="s">
        <v>22</v>
      </c>
    </row>
    <row r="469" spans="1:15">
      <c r="A469" t="s">
        <v>6501</v>
      </c>
      <c r="B469" t="s">
        <v>6501</v>
      </c>
      <c r="C469" t="s">
        <v>6502</v>
      </c>
      <c r="F469">
        <v>1</v>
      </c>
      <c r="G469" s="1" t="s">
        <v>585</v>
      </c>
      <c r="I469" s="1" t="s">
        <v>11473</v>
      </c>
      <c r="O469" t="s">
        <v>22</v>
      </c>
    </row>
    <row r="470" spans="1:15">
      <c r="A470" t="s">
        <v>8347</v>
      </c>
      <c r="B470" t="s">
        <v>8347</v>
      </c>
      <c r="C470" t="s">
        <v>6502</v>
      </c>
      <c r="F470">
        <v>1</v>
      </c>
      <c r="G470" s="1" t="s">
        <v>586</v>
      </c>
      <c r="I470" s="1" t="s">
        <v>11473</v>
      </c>
      <c r="O470" t="s">
        <v>22</v>
      </c>
    </row>
    <row r="471" spans="1:15">
      <c r="A471" t="s">
        <v>10355</v>
      </c>
      <c r="B471" t="s">
        <v>10355</v>
      </c>
      <c r="C471" t="s">
        <v>6502</v>
      </c>
      <c r="F471">
        <v>1</v>
      </c>
      <c r="G471" s="1" t="s">
        <v>587</v>
      </c>
      <c r="I471" s="1" t="s">
        <v>11473</v>
      </c>
      <c r="O471" t="s">
        <v>22</v>
      </c>
    </row>
    <row r="472" spans="1:15">
      <c r="A472" t="s">
        <v>11451</v>
      </c>
      <c r="B472" t="s">
        <v>11451</v>
      </c>
      <c r="C472" t="s">
        <v>6502</v>
      </c>
      <c r="F472">
        <v>1</v>
      </c>
      <c r="G472" s="1" t="s">
        <v>588</v>
      </c>
      <c r="I472" s="1" t="s">
        <v>11473</v>
      </c>
      <c r="O472" t="s">
        <v>22</v>
      </c>
    </row>
    <row r="473" spans="1:15">
      <c r="A473" t="s">
        <v>6020</v>
      </c>
      <c r="B473" t="s">
        <v>6020</v>
      </c>
      <c r="C473" t="s">
        <v>4486</v>
      </c>
      <c r="F473">
        <v>1</v>
      </c>
      <c r="G473" s="1" t="s">
        <v>589</v>
      </c>
      <c r="I473" s="1" t="s">
        <v>11473</v>
      </c>
      <c r="O473" t="s">
        <v>22</v>
      </c>
    </row>
    <row r="474" spans="1:15">
      <c r="A474" t="s">
        <v>7823</v>
      </c>
      <c r="B474" t="s">
        <v>7823</v>
      </c>
      <c r="C474" t="s">
        <v>4486</v>
      </c>
      <c r="F474">
        <v>1</v>
      </c>
      <c r="G474" s="1" t="s">
        <v>590</v>
      </c>
      <c r="I474" s="1" t="s">
        <v>11473</v>
      </c>
      <c r="O474" t="s">
        <v>22</v>
      </c>
    </row>
    <row r="475" spans="1:15">
      <c r="A475" t="s">
        <v>8793</v>
      </c>
      <c r="B475" t="s">
        <v>8793</v>
      </c>
      <c r="C475" t="s">
        <v>8794</v>
      </c>
      <c r="F475">
        <v>1</v>
      </c>
      <c r="G475" s="1" t="s">
        <v>591</v>
      </c>
      <c r="I475" s="1" t="s">
        <v>11473</v>
      </c>
      <c r="O475" t="s">
        <v>22</v>
      </c>
    </row>
    <row r="476" spans="1:15">
      <c r="A476" t="s">
        <v>9878</v>
      </c>
      <c r="B476" t="s">
        <v>9878</v>
      </c>
      <c r="C476" t="s">
        <v>4686</v>
      </c>
      <c r="F476">
        <v>1</v>
      </c>
      <c r="G476" s="1" t="s">
        <v>592</v>
      </c>
      <c r="I476" s="1" t="s">
        <v>11473</v>
      </c>
      <c r="O476" t="s">
        <v>22</v>
      </c>
    </row>
    <row r="477" spans="1:15">
      <c r="A477" t="s">
        <v>7896</v>
      </c>
      <c r="B477" t="s">
        <v>7896</v>
      </c>
      <c r="C477" t="s">
        <v>7897</v>
      </c>
      <c r="F477">
        <v>1</v>
      </c>
      <c r="G477" s="1" t="s">
        <v>593</v>
      </c>
      <c r="I477" s="1" t="s">
        <v>11473</v>
      </c>
      <c r="O477" t="s">
        <v>22</v>
      </c>
    </row>
    <row r="478" spans="1:15">
      <c r="A478" t="s">
        <v>9859</v>
      </c>
      <c r="B478" t="s">
        <v>9859</v>
      </c>
      <c r="C478" t="s">
        <v>7897</v>
      </c>
      <c r="F478">
        <v>1</v>
      </c>
      <c r="G478" s="1" t="s">
        <v>594</v>
      </c>
      <c r="I478" s="1" t="s">
        <v>11473</v>
      </c>
      <c r="O478" t="s">
        <v>22</v>
      </c>
    </row>
    <row r="479" spans="1:15">
      <c r="A479" t="s">
        <v>10776</v>
      </c>
      <c r="B479" t="s">
        <v>10776</v>
      </c>
      <c r="C479" t="s">
        <v>10777</v>
      </c>
      <c r="F479">
        <v>1</v>
      </c>
      <c r="G479" s="1" t="s">
        <v>595</v>
      </c>
      <c r="I479" s="1" t="s">
        <v>11473</v>
      </c>
      <c r="O479" t="s">
        <v>22</v>
      </c>
    </row>
    <row r="480" spans="1:15">
      <c r="A480" t="s">
        <v>8043</v>
      </c>
      <c r="B480" t="s">
        <v>8043</v>
      </c>
      <c r="C480" t="s">
        <v>4724</v>
      </c>
      <c r="F480">
        <v>1</v>
      </c>
      <c r="G480" s="1" t="s">
        <v>596</v>
      </c>
      <c r="I480" s="1" t="s">
        <v>11473</v>
      </c>
      <c r="O480" t="s">
        <v>22</v>
      </c>
    </row>
    <row r="481" spans="1:15">
      <c r="A481" t="s">
        <v>10839</v>
      </c>
      <c r="B481" t="s">
        <v>10839</v>
      </c>
      <c r="C481" t="s">
        <v>4477</v>
      </c>
      <c r="F481">
        <v>1</v>
      </c>
      <c r="G481" s="1" t="s">
        <v>597</v>
      </c>
      <c r="I481" s="1" t="s">
        <v>11473</v>
      </c>
      <c r="O481" t="s">
        <v>22</v>
      </c>
    </row>
    <row r="482" spans="1:15">
      <c r="A482" t="s">
        <v>10138</v>
      </c>
      <c r="B482" t="s">
        <v>10138</v>
      </c>
      <c r="C482" t="s">
        <v>10139</v>
      </c>
      <c r="F482">
        <v>1</v>
      </c>
      <c r="G482" s="1" t="s">
        <v>598</v>
      </c>
      <c r="I482" s="1" t="s">
        <v>11473</v>
      </c>
      <c r="O482" t="s">
        <v>22</v>
      </c>
    </row>
    <row r="483" spans="1:15">
      <c r="A483" t="s">
        <v>7198</v>
      </c>
      <c r="B483" t="s">
        <v>7198</v>
      </c>
      <c r="C483" t="s">
        <v>7199</v>
      </c>
      <c r="F483">
        <v>1</v>
      </c>
      <c r="G483" s="1" t="s">
        <v>599</v>
      </c>
      <c r="I483" s="1" t="s">
        <v>11473</v>
      </c>
      <c r="O483" t="s">
        <v>22</v>
      </c>
    </row>
    <row r="484" spans="1:15">
      <c r="A484" t="s">
        <v>11009</v>
      </c>
      <c r="B484" t="s">
        <v>11009</v>
      </c>
      <c r="C484" t="s">
        <v>11010</v>
      </c>
      <c r="F484">
        <v>1</v>
      </c>
      <c r="G484" s="1" t="s">
        <v>600</v>
      </c>
      <c r="I484" s="1" t="s">
        <v>11473</v>
      </c>
      <c r="O484" t="s">
        <v>22</v>
      </c>
    </row>
    <row r="485" spans="1:15">
      <c r="A485" t="s">
        <v>10818</v>
      </c>
      <c r="B485" t="s">
        <v>10818</v>
      </c>
      <c r="C485" t="s">
        <v>10819</v>
      </c>
      <c r="F485">
        <v>1</v>
      </c>
      <c r="G485" s="1" t="s">
        <v>601</v>
      </c>
      <c r="I485" s="1" t="s">
        <v>11473</v>
      </c>
      <c r="O485" t="s">
        <v>22</v>
      </c>
    </row>
    <row r="486" spans="1:15">
      <c r="A486" t="s">
        <v>9289</v>
      </c>
      <c r="B486" t="s">
        <v>9289</v>
      </c>
      <c r="C486" t="s">
        <v>9290</v>
      </c>
      <c r="F486">
        <v>1</v>
      </c>
      <c r="G486" s="1" t="s">
        <v>602</v>
      </c>
      <c r="I486" s="1" t="s">
        <v>11473</v>
      </c>
      <c r="O486" t="s">
        <v>22</v>
      </c>
    </row>
    <row r="487" spans="1:15">
      <c r="A487" t="s">
        <v>9864</v>
      </c>
      <c r="B487" t="s">
        <v>9864</v>
      </c>
      <c r="C487" t="s">
        <v>9865</v>
      </c>
      <c r="F487">
        <v>1</v>
      </c>
      <c r="G487" s="1" t="s">
        <v>603</v>
      </c>
      <c r="I487" s="1" t="s">
        <v>11473</v>
      </c>
      <c r="O487" t="s">
        <v>22</v>
      </c>
    </row>
    <row r="488" spans="1:15">
      <c r="A488" t="s">
        <v>8953</v>
      </c>
      <c r="B488" t="s">
        <v>8953</v>
      </c>
      <c r="C488" t="s">
        <v>8954</v>
      </c>
      <c r="F488">
        <v>1</v>
      </c>
      <c r="G488" s="1" t="s">
        <v>604</v>
      </c>
      <c r="I488" s="1" t="s">
        <v>11473</v>
      </c>
      <c r="O488" t="s">
        <v>22</v>
      </c>
    </row>
    <row r="489" spans="1:15">
      <c r="A489" t="s">
        <v>7514</v>
      </c>
      <c r="B489" t="s">
        <v>7514</v>
      </c>
      <c r="C489" t="s">
        <v>7515</v>
      </c>
      <c r="F489">
        <v>1</v>
      </c>
      <c r="G489" s="1" t="s">
        <v>605</v>
      </c>
      <c r="I489" s="1" t="s">
        <v>11473</v>
      </c>
      <c r="O489" t="s">
        <v>22</v>
      </c>
    </row>
    <row r="490" spans="1:15">
      <c r="A490" t="s">
        <v>9226</v>
      </c>
      <c r="B490" t="s">
        <v>9226</v>
      </c>
      <c r="C490" t="s">
        <v>9227</v>
      </c>
      <c r="F490">
        <v>1</v>
      </c>
      <c r="G490" s="1" t="s">
        <v>606</v>
      </c>
      <c r="I490" s="1" t="s">
        <v>11473</v>
      </c>
      <c r="O490" t="s">
        <v>22</v>
      </c>
    </row>
    <row r="491" spans="1:15">
      <c r="A491" t="s">
        <v>10728</v>
      </c>
      <c r="B491" t="s">
        <v>10728</v>
      </c>
      <c r="C491" t="s">
        <v>9227</v>
      </c>
      <c r="F491">
        <v>1</v>
      </c>
      <c r="G491" s="1" t="s">
        <v>607</v>
      </c>
      <c r="I491" s="1" t="s">
        <v>11473</v>
      </c>
      <c r="O491" t="s">
        <v>22</v>
      </c>
    </row>
    <row r="492" spans="1:15">
      <c r="A492" t="s">
        <v>8776</v>
      </c>
      <c r="B492" t="s">
        <v>8776</v>
      </c>
      <c r="C492" t="s">
        <v>5333</v>
      </c>
      <c r="F492">
        <v>1</v>
      </c>
      <c r="G492" s="1" t="s">
        <v>608</v>
      </c>
      <c r="I492" s="1" t="s">
        <v>11473</v>
      </c>
      <c r="O492" t="s">
        <v>22</v>
      </c>
    </row>
    <row r="493" spans="1:15">
      <c r="A493" t="s">
        <v>8070</v>
      </c>
      <c r="B493" t="s">
        <v>8070</v>
      </c>
      <c r="C493" t="s">
        <v>4484</v>
      </c>
      <c r="F493">
        <v>1</v>
      </c>
      <c r="G493" s="1" t="s">
        <v>609</v>
      </c>
      <c r="I493" s="1" t="s">
        <v>11473</v>
      </c>
      <c r="O493" t="s">
        <v>22</v>
      </c>
    </row>
    <row r="494" spans="1:15">
      <c r="A494" t="s">
        <v>11431</v>
      </c>
      <c r="B494" t="s">
        <v>11431</v>
      </c>
      <c r="C494" t="s">
        <v>11432</v>
      </c>
      <c r="F494">
        <v>1</v>
      </c>
      <c r="G494" s="1" t="s">
        <v>610</v>
      </c>
      <c r="I494" s="1" t="s">
        <v>11473</v>
      </c>
      <c r="O494" t="s">
        <v>22</v>
      </c>
    </row>
    <row r="495" spans="1:15">
      <c r="A495" t="s">
        <v>10386</v>
      </c>
      <c r="B495" t="s">
        <v>10386</v>
      </c>
      <c r="C495" t="s">
        <v>10387</v>
      </c>
      <c r="F495">
        <v>1</v>
      </c>
      <c r="G495" s="1" t="s">
        <v>611</v>
      </c>
      <c r="I495" s="1" t="s">
        <v>11473</v>
      </c>
      <c r="O495" t="s">
        <v>22</v>
      </c>
    </row>
    <row r="496" spans="1:15">
      <c r="A496" t="s">
        <v>8032</v>
      </c>
      <c r="B496" t="s">
        <v>8032</v>
      </c>
      <c r="C496" t="s">
        <v>8033</v>
      </c>
      <c r="F496">
        <v>1</v>
      </c>
      <c r="G496" s="1" t="s">
        <v>612</v>
      </c>
      <c r="I496" s="1" t="s">
        <v>11473</v>
      </c>
      <c r="O496" t="s">
        <v>22</v>
      </c>
    </row>
    <row r="497" spans="1:15">
      <c r="A497" t="s">
        <v>10832</v>
      </c>
      <c r="B497" t="s">
        <v>10832</v>
      </c>
      <c r="C497" t="s">
        <v>4136</v>
      </c>
      <c r="F497">
        <v>1</v>
      </c>
      <c r="G497" s="1" t="s">
        <v>613</v>
      </c>
      <c r="I497" s="1" t="s">
        <v>11473</v>
      </c>
      <c r="O497" t="s">
        <v>22</v>
      </c>
    </row>
    <row r="498" spans="1:15">
      <c r="A498" t="s">
        <v>8477</v>
      </c>
      <c r="B498" t="s">
        <v>8477</v>
      </c>
      <c r="C498" t="s">
        <v>4578</v>
      </c>
      <c r="F498">
        <v>1</v>
      </c>
      <c r="G498" s="1" t="s">
        <v>614</v>
      </c>
      <c r="I498" s="1" t="s">
        <v>11473</v>
      </c>
      <c r="O498" t="s">
        <v>22</v>
      </c>
    </row>
    <row r="499" spans="1:15">
      <c r="A499" t="s">
        <v>8207</v>
      </c>
      <c r="B499" t="s">
        <v>8207</v>
      </c>
      <c r="C499" t="s">
        <v>4560</v>
      </c>
      <c r="F499">
        <v>1</v>
      </c>
      <c r="G499" s="1" t="s">
        <v>615</v>
      </c>
      <c r="I499" s="1" t="s">
        <v>11473</v>
      </c>
      <c r="O499" t="s">
        <v>22</v>
      </c>
    </row>
    <row r="500" spans="1:15">
      <c r="A500" t="s">
        <v>7779</v>
      </c>
      <c r="B500" t="s">
        <v>7779</v>
      </c>
      <c r="C500" t="s">
        <v>7780</v>
      </c>
      <c r="F500">
        <v>1</v>
      </c>
      <c r="G500" s="1" t="s">
        <v>616</v>
      </c>
      <c r="I500" s="1" t="s">
        <v>11473</v>
      </c>
      <c r="O500" t="s">
        <v>22</v>
      </c>
    </row>
    <row r="501" spans="1:15">
      <c r="A501" t="s">
        <v>8036</v>
      </c>
      <c r="B501" t="s">
        <v>8036</v>
      </c>
      <c r="C501" t="s">
        <v>8037</v>
      </c>
      <c r="F501">
        <v>1</v>
      </c>
      <c r="G501" s="1" t="s">
        <v>617</v>
      </c>
      <c r="I501" s="1" t="s">
        <v>11473</v>
      </c>
      <c r="O501" t="s">
        <v>22</v>
      </c>
    </row>
    <row r="502" spans="1:15">
      <c r="A502" t="s">
        <v>5802</v>
      </c>
      <c r="B502" t="s">
        <v>5802</v>
      </c>
      <c r="C502" t="s">
        <v>5803</v>
      </c>
      <c r="F502">
        <v>1</v>
      </c>
      <c r="G502" s="1" t="s">
        <v>618</v>
      </c>
      <c r="I502" s="1" t="s">
        <v>11473</v>
      </c>
      <c r="O502" t="s">
        <v>22</v>
      </c>
    </row>
    <row r="503" spans="1:15">
      <c r="A503" t="s">
        <v>11151</v>
      </c>
      <c r="B503" t="s">
        <v>11151</v>
      </c>
      <c r="C503" t="s">
        <v>4572</v>
      </c>
      <c r="F503">
        <v>1</v>
      </c>
      <c r="G503" s="1" t="s">
        <v>619</v>
      </c>
      <c r="I503" s="1" t="s">
        <v>11473</v>
      </c>
      <c r="O503" t="s">
        <v>22</v>
      </c>
    </row>
    <row r="504" spans="1:15">
      <c r="A504" t="s">
        <v>5580</v>
      </c>
      <c r="B504" t="s">
        <v>5580</v>
      </c>
      <c r="C504" t="s">
        <v>4376</v>
      </c>
      <c r="F504">
        <v>1</v>
      </c>
      <c r="G504" s="1" t="s">
        <v>620</v>
      </c>
      <c r="I504" s="1" t="s">
        <v>11473</v>
      </c>
      <c r="O504" t="s">
        <v>22</v>
      </c>
    </row>
    <row r="505" spans="1:15">
      <c r="A505" t="s">
        <v>5652</v>
      </c>
      <c r="B505" t="s">
        <v>5652</v>
      </c>
      <c r="C505" t="s">
        <v>5653</v>
      </c>
      <c r="F505">
        <v>1</v>
      </c>
      <c r="G505" s="1" t="s">
        <v>621</v>
      </c>
      <c r="I505" s="1" t="s">
        <v>11473</v>
      </c>
      <c r="O505" t="s">
        <v>22</v>
      </c>
    </row>
    <row r="506" spans="1:15">
      <c r="A506" t="s">
        <v>11138</v>
      </c>
      <c r="B506" t="s">
        <v>11138</v>
      </c>
      <c r="C506" t="s">
        <v>11139</v>
      </c>
      <c r="F506">
        <v>1</v>
      </c>
      <c r="G506" s="1" t="s">
        <v>622</v>
      </c>
      <c r="I506" s="1" t="s">
        <v>11473</v>
      </c>
      <c r="O506" t="s">
        <v>22</v>
      </c>
    </row>
    <row r="507" spans="1:15">
      <c r="A507" t="s">
        <v>10940</v>
      </c>
      <c r="B507" t="s">
        <v>10940</v>
      </c>
      <c r="C507" t="s">
        <v>10941</v>
      </c>
      <c r="F507">
        <v>1</v>
      </c>
      <c r="G507" s="1" t="s">
        <v>623</v>
      </c>
      <c r="I507" s="1" t="s">
        <v>11473</v>
      </c>
      <c r="O507" t="s">
        <v>22</v>
      </c>
    </row>
    <row r="508" spans="1:15">
      <c r="A508" t="s">
        <v>7845</v>
      </c>
      <c r="B508" t="s">
        <v>7845</v>
      </c>
      <c r="C508" t="s">
        <v>7846</v>
      </c>
      <c r="F508">
        <v>1</v>
      </c>
      <c r="G508" s="1" t="s">
        <v>624</v>
      </c>
      <c r="I508" s="1" t="s">
        <v>11473</v>
      </c>
      <c r="O508" t="s">
        <v>22</v>
      </c>
    </row>
    <row r="509" spans="1:15">
      <c r="A509" t="s">
        <v>7862</v>
      </c>
      <c r="B509" t="s">
        <v>7862</v>
      </c>
      <c r="C509" t="s">
        <v>4541</v>
      </c>
      <c r="F509">
        <v>1</v>
      </c>
      <c r="G509" s="1" t="s">
        <v>625</v>
      </c>
      <c r="I509" s="1" t="s">
        <v>11473</v>
      </c>
      <c r="O509" t="s">
        <v>22</v>
      </c>
    </row>
    <row r="510" spans="1:15">
      <c r="A510" t="s">
        <v>7889</v>
      </c>
      <c r="B510" t="s">
        <v>7889</v>
      </c>
      <c r="C510" t="s">
        <v>7890</v>
      </c>
      <c r="F510">
        <v>1</v>
      </c>
      <c r="G510" s="1" t="s">
        <v>626</v>
      </c>
      <c r="I510" s="1" t="s">
        <v>11473</v>
      </c>
      <c r="O510" t="s">
        <v>22</v>
      </c>
    </row>
    <row r="511" spans="1:15">
      <c r="A511" t="s">
        <v>8785</v>
      </c>
      <c r="B511" t="s">
        <v>8785</v>
      </c>
      <c r="C511" t="s">
        <v>8786</v>
      </c>
      <c r="F511">
        <v>1</v>
      </c>
      <c r="G511" s="1" t="s">
        <v>627</v>
      </c>
      <c r="I511" s="1" t="s">
        <v>11473</v>
      </c>
      <c r="O511" t="s">
        <v>22</v>
      </c>
    </row>
    <row r="512" spans="1:15">
      <c r="A512" t="s">
        <v>6722</v>
      </c>
      <c r="B512" t="s">
        <v>6722</v>
      </c>
      <c r="C512" t="s">
        <v>4509</v>
      </c>
      <c r="F512">
        <v>1</v>
      </c>
      <c r="G512" s="1" t="s">
        <v>628</v>
      </c>
      <c r="I512" s="1" t="s">
        <v>11473</v>
      </c>
      <c r="O512" t="s">
        <v>22</v>
      </c>
    </row>
    <row r="513" spans="1:15">
      <c r="A513" t="s">
        <v>10986</v>
      </c>
      <c r="B513" t="s">
        <v>10986</v>
      </c>
      <c r="C513" t="s">
        <v>4388</v>
      </c>
      <c r="F513">
        <v>1</v>
      </c>
      <c r="G513" s="1" t="s">
        <v>629</v>
      </c>
      <c r="I513" s="1" t="s">
        <v>11473</v>
      </c>
      <c r="O513" t="s">
        <v>22</v>
      </c>
    </row>
    <row r="514" spans="1:15">
      <c r="A514" t="s">
        <v>9167</v>
      </c>
      <c r="B514" t="s">
        <v>9167</v>
      </c>
      <c r="C514" t="s">
        <v>5007</v>
      </c>
      <c r="F514">
        <v>1</v>
      </c>
      <c r="G514" s="1" t="s">
        <v>630</v>
      </c>
      <c r="I514" s="1" t="s">
        <v>11473</v>
      </c>
      <c r="O514" t="s">
        <v>22</v>
      </c>
    </row>
    <row r="515" spans="1:15">
      <c r="A515" t="s">
        <v>5637</v>
      </c>
      <c r="B515" t="s">
        <v>5637</v>
      </c>
      <c r="C515" t="s">
        <v>5126</v>
      </c>
      <c r="F515">
        <v>1</v>
      </c>
      <c r="G515" s="1" t="s">
        <v>631</v>
      </c>
      <c r="I515" s="1" t="s">
        <v>11473</v>
      </c>
      <c r="O515" t="s">
        <v>22</v>
      </c>
    </row>
    <row r="516" spans="1:15">
      <c r="A516" t="s">
        <v>6017</v>
      </c>
      <c r="B516" t="s">
        <v>6017</v>
      </c>
      <c r="C516" t="s">
        <v>5126</v>
      </c>
      <c r="F516">
        <v>1</v>
      </c>
      <c r="G516" s="1" t="s">
        <v>632</v>
      </c>
      <c r="I516" s="1" t="s">
        <v>11473</v>
      </c>
      <c r="O516" t="s">
        <v>22</v>
      </c>
    </row>
    <row r="517" spans="1:15">
      <c r="A517" t="s">
        <v>7724</v>
      </c>
      <c r="B517" t="s">
        <v>7724</v>
      </c>
      <c r="C517" t="s">
        <v>5366</v>
      </c>
      <c r="F517">
        <v>1</v>
      </c>
      <c r="G517" s="1" t="s">
        <v>633</v>
      </c>
      <c r="I517" s="1" t="s">
        <v>11473</v>
      </c>
      <c r="O517" t="s">
        <v>22</v>
      </c>
    </row>
    <row r="518" spans="1:15">
      <c r="A518" t="s">
        <v>10177</v>
      </c>
      <c r="B518" t="s">
        <v>10177</v>
      </c>
      <c r="C518" t="s">
        <v>5366</v>
      </c>
      <c r="F518">
        <v>1</v>
      </c>
      <c r="G518" s="1" t="s">
        <v>634</v>
      </c>
      <c r="I518" s="1" t="s">
        <v>11473</v>
      </c>
      <c r="O518" t="s">
        <v>22</v>
      </c>
    </row>
    <row r="519" spans="1:15">
      <c r="A519" t="s">
        <v>11066</v>
      </c>
      <c r="B519" t="s">
        <v>11066</v>
      </c>
      <c r="C519" t="s">
        <v>5366</v>
      </c>
      <c r="F519">
        <v>1</v>
      </c>
      <c r="G519" s="1" t="s">
        <v>635</v>
      </c>
      <c r="I519" s="1" t="s">
        <v>11473</v>
      </c>
      <c r="O519" t="s">
        <v>22</v>
      </c>
    </row>
    <row r="520" spans="1:15">
      <c r="A520" t="s">
        <v>8431</v>
      </c>
      <c r="B520" t="s">
        <v>8431</v>
      </c>
      <c r="C520" t="s">
        <v>8432</v>
      </c>
      <c r="F520">
        <v>1</v>
      </c>
      <c r="G520" s="1" t="s">
        <v>636</v>
      </c>
      <c r="I520" s="1" t="s">
        <v>11473</v>
      </c>
      <c r="O520" t="s">
        <v>22</v>
      </c>
    </row>
    <row r="521" spans="1:15">
      <c r="A521" t="s">
        <v>10827</v>
      </c>
      <c r="B521" t="s">
        <v>10827</v>
      </c>
      <c r="C521" t="s">
        <v>8432</v>
      </c>
      <c r="F521">
        <v>1</v>
      </c>
      <c r="G521" s="1" t="s">
        <v>637</v>
      </c>
      <c r="I521" s="1" t="s">
        <v>11473</v>
      </c>
      <c r="O521" t="s">
        <v>22</v>
      </c>
    </row>
    <row r="522" spans="1:15">
      <c r="A522" t="s">
        <v>7839</v>
      </c>
      <c r="B522" t="s">
        <v>7839</v>
      </c>
      <c r="C522" t="s">
        <v>4094</v>
      </c>
      <c r="F522">
        <v>1</v>
      </c>
      <c r="G522" s="1" t="s">
        <v>638</v>
      </c>
      <c r="I522" s="1" t="s">
        <v>11473</v>
      </c>
      <c r="O522" t="s">
        <v>22</v>
      </c>
    </row>
    <row r="523" spans="1:15">
      <c r="A523" t="s">
        <v>7425</v>
      </c>
      <c r="B523" t="s">
        <v>7425</v>
      </c>
      <c r="C523" t="s">
        <v>7426</v>
      </c>
      <c r="F523">
        <v>1</v>
      </c>
      <c r="G523" s="1" t="s">
        <v>639</v>
      </c>
      <c r="I523" s="1" t="s">
        <v>11473</v>
      </c>
      <c r="O523" t="s">
        <v>22</v>
      </c>
    </row>
    <row r="524" spans="1:15">
      <c r="A524" t="s">
        <v>10162</v>
      </c>
      <c r="B524" t="s">
        <v>10162</v>
      </c>
      <c r="C524" t="s">
        <v>10163</v>
      </c>
      <c r="F524">
        <v>1</v>
      </c>
      <c r="G524" s="1" t="s">
        <v>640</v>
      </c>
      <c r="I524" s="1" t="s">
        <v>11473</v>
      </c>
      <c r="O524" t="s">
        <v>22</v>
      </c>
    </row>
    <row r="525" spans="1:15">
      <c r="A525" t="s">
        <v>10829</v>
      </c>
      <c r="B525" t="s">
        <v>10829</v>
      </c>
      <c r="C525" t="s">
        <v>10163</v>
      </c>
      <c r="F525">
        <v>1</v>
      </c>
      <c r="G525" s="1" t="s">
        <v>641</v>
      </c>
      <c r="I525" s="1" t="s">
        <v>11473</v>
      </c>
      <c r="O525" t="s">
        <v>22</v>
      </c>
    </row>
    <row r="526" spans="1:15">
      <c r="A526" t="s">
        <v>5941</v>
      </c>
      <c r="B526" t="s">
        <v>5941</v>
      </c>
      <c r="C526" t="s">
        <v>5942</v>
      </c>
      <c r="F526">
        <v>1</v>
      </c>
      <c r="G526" s="1" t="s">
        <v>642</v>
      </c>
      <c r="I526" s="1" t="s">
        <v>11473</v>
      </c>
      <c r="O526" t="s">
        <v>22</v>
      </c>
    </row>
    <row r="527" spans="1:15">
      <c r="A527" t="s">
        <v>10510</v>
      </c>
      <c r="B527" t="s">
        <v>10510</v>
      </c>
      <c r="C527" t="s">
        <v>10511</v>
      </c>
      <c r="F527">
        <v>1</v>
      </c>
      <c r="G527" s="1" t="s">
        <v>643</v>
      </c>
      <c r="I527" s="1" t="s">
        <v>11473</v>
      </c>
      <c r="O527" t="s">
        <v>22</v>
      </c>
    </row>
    <row r="528" spans="1:15">
      <c r="A528" t="s">
        <v>10997</v>
      </c>
      <c r="B528" t="s">
        <v>10997</v>
      </c>
      <c r="C528" t="s">
        <v>10998</v>
      </c>
      <c r="F528">
        <v>1</v>
      </c>
      <c r="G528" s="1" t="s">
        <v>644</v>
      </c>
      <c r="I528" s="1" t="s">
        <v>11473</v>
      </c>
      <c r="O528" t="s">
        <v>22</v>
      </c>
    </row>
    <row r="529" spans="1:15">
      <c r="A529" t="s">
        <v>7481</v>
      </c>
      <c r="B529" t="s">
        <v>7481</v>
      </c>
      <c r="C529" t="s">
        <v>7482</v>
      </c>
      <c r="F529">
        <v>1</v>
      </c>
      <c r="G529" s="1" t="s">
        <v>645</v>
      </c>
      <c r="I529" s="1" t="s">
        <v>11473</v>
      </c>
      <c r="O529" t="s">
        <v>22</v>
      </c>
    </row>
    <row r="530" spans="1:15">
      <c r="A530" t="s">
        <v>5626</v>
      </c>
      <c r="B530" t="s">
        <v>5626</v>
      </c>
      <c r="C530" t="s">
        <v>5627</v>
      </c>
      <c r="F530">
        <v>1</v>
      </c>
      <c r="G530" s="1" t="s">
        <v>646</v>
      </c>
      <c r="I530" s="1" t="s">
        <v>11473</v>
      </c>
      <c r="O530" t="s">
        <v>22</v>
      </c>
    </row>
    <row r="531" spans="1:15">
      <c r="A531" t="s">
        <v>10847</v>
      </c>
      <c r="B531" t="s">
        <v>10847</v>
      </c>
      <c r="C531" t="s">
        <v>10848</v>
      </c>
      <c r="F531">
        <v>1</v>
      </c>
      <c r="G531" s="1" t="s">
        <v>647</v>
      </c>
      <c r="I531" s="1" t="s">
        <v>11473</v>
      </c>
      <c r="O531" t="s">
        <v>22</v>
      </c>
    </row>
    <row r="532" spans="1:15">
      <c r="A532" t="s">
        <v>8256</v>
      </c>
      <c r="B532" t="s">
        <v>8256</v>
      </c>
      <c r="C532" t="s">
        <v>8257</v>
      </c>
      <c r="F532">
        <v>1</v>
      </c>
      <c r="G532" s="1" t="s">
        <v>648</v>
      </c>
      <c r="I532" s="1" t="s">
        <v>11473</v>
      </c>
      <c r="O532" t="s">
        <v>22</v>
      </c>
    </row>
    <row r="533" spans="1:15">
      <c r="A533" t="s">
        <v>11015</v>
      </c>
      <c r="B533" t="s">
        <v>11015</v>
      </c>
      <c r="C533" t="s">
        <v>8257</v>
      </c>
      <c r="F533">
        <v>1</v>
      </c>
      <c r="G533" s="1" t="s">
        <v>649</v>
      </c>
      <c r="I533" s="1" t="s">
        <v>11473</v>
      </c>
      <c r="O533" t="s">
        <v>22</v>
      </c>
    </row>
    <row r="534" spans="1:15">
      <c r="A534" t="s">
        <v>7877</v>
      </c>
      <c r="B534" t="s">
        <v>7877</v>
      </c>
      <c r="C534" t="s">
        <v>7878</v>
      </c>
      <c r="F534">
        <v>1</v>
      </c>
      <c r="G534" s="1" t="s">
        <v>650</v>
      </c>
      <c r="I534" s="1" t="s">
        <v>11473</v>
      </c>
      <c r="O534" t="s">
        <v>22</v>
      </c>
    </row>
    <row r="535" spans="1:15">
      <c r="A535" t="s">
        <v>5649</v>
      </c>
      <c r="B535" t="s">
        <v>5649</v>
      </c>
      <c r="C535" t="s">
        <v>5650</v>
      </c>
      <c r="F535">
        <v>1</v>
      </c>
      <c r="G535" s="1" t="s">
        <v>651</v>
      </c>
      <c r="I535" s="1" t="s">
        <v>11473</v>
      </c>
      <c r="O535" t="s">
        <v>22</v>
      </c>
    </row>
    <row r="536" spans="1:15">
      <c r="A536" t="s">
        <v>9807</v>
      </c>
      <c r="B536" t="s">
        <v>9807</v>
      </c>
      <c r="C536" t="s">
        <v>9808</v>
      </c>
      <c r="F536">
        <v>1</v>
      </c>
      <c r="G536" s="1" t="s">
        <v>652</v>
      </c>
      <c r="I536" s="1" t="s">
        <v>11473</v>
      </c>
      <c r="O536" t="s">
        <v>22</v>
      </c>
    </row>
    <row r="537" spans="1:15">
      <c r="A537" t="s">
        <v>5619</v>
      </c>
      <c r="B537" t="s">
        <v>5619</v>
      </c>
      <c r="C537" t="s">
        <v>5620</v>
      </c>
      <c r="F537">
        <v>1</v>
      </c>
      <c r="G537" s="1" t="s">
        <v>653</v>
      </c>
      <c r="I537" s="1" t="s">
        <v>11473</v>
      </c>
      <c r="O537" t="s">
        <v>22</v>
      </c>
    </row>
    <row r="538" spans="1:15">
      <c r="A538" t="s">
        <v>7830</v>
      </c>
      <c r="B538" t="s">
        <v>7830</v>
      </c>
      <c r="C538" t="s">
        <v>7831</v>
      </c>
      <c r="F538">
        <v>1</v>
      </c>
      <c r="G538" s="1" t="s">
        <v>654</v>
      </c>
      <c r="I538" s="1" t="s">
        <v>11473</v>
      </c>
      <c r="O538" t="s">
        <v>22</v>
      </c>
    </row>
    <row r="539" spans="1:15">
      <c r="A539" t="s">
        <v>8029</v>
      </c>
      <c r="B539" t="s">
        <v>8029</v>
      </c>
      <c r="C539" t="s">
        <v>7831</v>
      </c>
      <c r="F539">
        <v>1</v>
      </c>
      <c r="G539" s="1" t="s">
        <v>655</v>
      </c>
      <c r="I539" s="1" t="s">
        <v>11473</v>
      </c>
      <c r="O539" t="s">
        <v>22</v>
      </c>
    </row>
    <row r="540" spans="1:15">
      <c r="A540" t="s">
        <v>10812</v>
      </c>
      <c r="B540" t="s">
        <v>10812</v>
      </c>
      <c r="C540" t="s">
        <v>10813</v>
      </c>
      <c r="F540">
        <v>1</v>
      </c>
      <c r="G540" s="1" t="s">
        <v>656</v>
      </c>
      <c r="I540" s="1" t="s">
        <v>11473</v>
      </c>
      <c r="O540" t="s">
        <v>22</v>
      </c>
    </row>
    <row r="541" spans="1:15">
      <c r="A541" t="s">
        <v>7939</v>
      </c>
      <c r="B541" t="s">
        <v>7939</v>
      </c>
      <c r="C541" t="s">
        <v>7940</v>
      </c>
      <c r="F541">
        <v>1</v>
      </c>
      <c r="G541" s="1" t="s">
        <v>657</v>
      </c>
      <c r="I541" s="1" t="s">
        <v>11473</v>
      </c>
      <c r="O541" t="s">
        <v>22</v>
      </c>
    </row>
    <row r="542" spans="1:15">
      <c r="A542" t="s">
        <v>6116</v>
      </c>
      <c r="B542" t="s">
        <v>6116</v>
      </c>
      <c r="C542" t="s">
        <v>6117</v>
      </c>
      <c r="F542">
        <v>1</v>
      </c>
      <c r="G542" s="1" t="s">
        <v>658</v>
      </c>
      <c r="I542" s="1" t="s">
        <v>11473</v>
      </c>
      <c r="O542" t="s">
        <v>22</v>
      </c>
    </row>
    <row r="543" spans="1:15">
      <c r="A543" t="s">
        <v>9062</v>
      </c>
      <c r="B543" t="s">
        <v>9062</v>
      </c>
      <c r="C543" t="s">
        <v>6117</v>
      </c>
      <c r="F543">
        <v>1</v>
      </c>
      <c r="G543" s="1" t="s">
        <v>659</v>
      </c>
      <c r="I543" s="1" t="s">
        <v>11473</v>
      </c>
      <c r="O543" t="s">
        <v>22</v>
      </c>
    </row>
    <row r="544" spans="1:15">
      <c r="A544" t="s">
        <v>5800</v>
      </c>
      <c r="B544" t="s">
        <v>5800</v>
      </c>
      <c r="C544" t="s">
        <v>5801</v>
      </c>
      <c r="F544">
        <v>1</v>
      </c>
      <c r="G544" s="1" t="s">
        <v>660</v>
      </c>
      <c r="I544" s="1" t="s">
        <v>11473</v>
      </c>
      <c r="O544" t="s">
        <v>22</v>
      </c>
    </row>
    <row r="545" spans="1:15">
      <c r="A545" t="s">
        <v>8315</v>
      </c>
      <c r="B545" t="s">
        <v>8315</v>
      </c>
      <c r="C545" t="s">
        <v>4379</v>
      </c>
      <c r="F545">
        <v>1</v>
      </c>
      <c r="G545" s="1" t="s">
        <v>661</v>
      </c>
      <c r="I545" s="1" t="s">
        <v>11473</v>
      </c>
      <c r="O545" t="s">
        <v>22</v>
      </c>
    </row>
    <row r="546" spans="1:15">
      <c r="A546" t="s">
        <v>5787</v>
      </c>
      <c r="B546" t="s">
        <v>5787</v>
      </c>
      <c r="C546" t="s">
        <v>4531</v>
      </c>
      <c r="F546">
        <v>1</v>
      </c>
      <c r="G546" s="1" t="s">
        <v>662</v>
      </c>
      <c r="I546" s="1" t="s">
        <v>11473</v>
      </c>
      <c r="O546" t="s">
        <v>22</v>
      </c>
    </row>
    <row r="547" spans="1:15">
      <c r="A547" t="s">
        <v>9201</v>
      </c>
      <c r="B547" t="s">
        <v>9201</v>
      </c>
      <c r="C547" t="s">
        <v>4531</v>
      </c>
      <c r="F547">
        <v>1</v>
      </c>
      <c r="G547" s="1" t="s">
        <v>663</v>
      </c>
      <c r="I547" s="1" t="s">
        <v>11473</v>
      </c>
      <c r="O547" t="s">
        <v>22</v>
      </c>
    </row>
    <row r="548" spans="1:15">
      <c r="A548" t="s">
        <v>5815</v>
      </c>
      <c r="B548" t="s">
        <v>5815</v>
      </c>
      <c r="C548" t="s">
        <v>4754</v>
      </c>
      <c r="F548">
        <v>1</v>
      </c>
      <c r="G548" s="1" t="s">
        <v>664</v>
      </c>
      <c r="I548" s="1" t="s">
        <v>11473</v>
      </c>
      <c r="O548" t="s">
        <v>22</v>
      </c>
    </row>
    <row r="549" spans="1:15">
      <c r="A549" t="s">
        <v>5752</v>
      </c>
      <c r="B549" t="s">
        <v>5752</v>
      </c>
      <c r="C549" t="s">
        <v>5753</v>
      </c>
      <c r="F549">
        <v>1</v>
      </c>
      <c r="G549" s="1" t="s">
        <v>665</v>
      </c>
      <c r="I549" s="1" t="s">
        <v>11473</v>
      </c>
      <c r="O549" t="s">
        <v>22</v>
      </c>
    </row>
    <row r="550" spans="1:15">
      <c r="A550" t="s">
        <v>8977</v>
      </c>
      <c r="B550" t="s">
        <v>8977</v>
      </c>
      <c r="C550" t="s">
        <v>5753</v>
      </c>
      <c r="F550">
        <v>1</v>
      </c>
      <c r="G550" s="1" t="s">
        <v>666</v>
      </c>
      <c r="I550" s="1" t="s">
        <v>11473</v>
      </c>
      <c r="O550" t="s">
        <v>22</v>
      </c>
    </row>
    <row r="551" spans="1:15">
      <c r="A551" t="s">
        <v>11157</v>
      </c>
      <c r="B551" t="s">
        <v>11157</v>
      </c>
      <c r="C551" t="s">
        <v>5753</v>
      </c>
      <c r="F551">
        <v>1</v>
      </c>
      <c r="G551" s="1" t="s">
        <v>667</v>
      </c>
      <c r="I551" s="1" t="s">
        <v>11473</v>
      </c>
      <c r="O551" t="s">
        <v>22</v>
      </c>
    </row>
    <row r="552" spans="1:15">
      <c r="A552" t="s">
        <v>11273</v>
      </c>
      <c r="B552" t="s">
        <v>11273</v>
      </c>
      <c r="C552" t="s">
        <v>5753</v>
      </c>
      <c r="F552">
        <v>1</v>
      </c>
      <c r="G552" s="1" t="s">
        <v>668</v>
      </c>
      <c r="I552" s="1" t="s">
        <v>11473</v>
      </c>
      <c r="O552" t="s">
        <v>22</v>
      </c>
    </row>
    <row r="553" spans="1:15">
      <c r="A553" t="s">
        <v>10837</v>
      </c>
      <c r="B553" t="s">
        <v>10837</v>
      </c>
      <c r="C553" t="s">
        <v>10838</v>
      </c>
      <c r="F553">
        <v>1</v>
      </c>
      <c r="G553" s="1" t="s">
        <v>669</v>
      </c>
      <c r="I553" s="1" t="s">
        <v>11473</v>
      </c>
      <c r="O553" t="s">
        <v>22</v>
      </c>
    </row>
    <row r="554" spans="1:15">
      <c r="A554" t="s">
        <v>8092</v>
      </c>
      <c r="B554" t="s">
        <v>8092</v>
      </c>
      <c r="C554" t="s">
        <v>4895</v>
      </c>
      <c r="F554">
        <v>1</v>
      </c>
      <c r="G554" s="1" t="s">
        <v>670</v>
      </c>
      <c r="I554" s="1" t="s">
        <v>11473</v>
      </c>
      <c r="O554" t="s">
        <v>22</v>
      </c>
    </row>
    <row r="555" spans="1:15">
      <c r="A555" t="s">
        <v>8283</v>
      </c>
      <c r="B555" t="s">
        <v>8283</v>
      </c>
      <c r="C555" t="s">
        <v>4507</v>
      </c>
      <c r="F555">
        <v>1</v>
      </c>
      <c r="G555" s="1" t="s">
        <v>671</v>
      </c>
      <c r="I555" s="1" t="s">
        <v>11473</v>
      </c>
      <c r="O555" t="s">
        <v>22</v>
      </c>
    </row>
    <row r="556" spans="1:15">
      <c r="A556" t="s">
        <v>8640</v>
      </c>
      <c r="B556" t="s">
        <v>8640</v>
      </c>
      <c r="C556" t="s">
        <v>4507</v>
      </c>
      <c r="F556">
        <v>1</v>
      </c>
      <c r="G556" s="1" t="s">
        <v>672</v>
      </c>
      <c r="I556" s="1" t="s">
        <v>11473</v>
      </c>
      <c r="O556" t="s">
        <v>22</v>
      </c>
    </row>
    <row r="557" spans="1:15">
      <c r="A557" t="s">
        <v>7927</v>
      </c>
      <c r="B557" t="s">
        <v>7927</v>
      </c>
      <c r="C557" t="s">
        <v>7928</v>
      </c>
      <c r="F557">
        <v>1</v>
      </c>
      <c r="G557" s="1" t="s">
        <v>673</v>
      </c>
      <c r="I557" s="1" t="s">
        <v>11473</v>
      </c>
      <c r="O557" t="s">
        <v>22</v>
      </c>
    </row>
    <row r="558" spans="1:15">
      <c r="A558" t="s">
        <v>8957</v>
      </c>
      <c r="B558" t="s">
        <v>8957</v>
      </c>
      <c r="C558" t="s">
        <v>7928</v>
      </c>
      <c r="F558">
        <v>1</v>
      </c>
      <c r="G558" s="1" t="s">
        <v>674</v>
      </c>
      <c r="I558" s="1" t="s">
        <v>11473</v>
      </c>
      <c r="O558" t="s">
        <v>22</v>
      </c>
    </row>
    <row r="559" spans="1:15">
      <c r="A559" t="s">
        <v>8860</v>
      </c>
      <c r="B559" t="s">
        <v>8860</v>
      </c>
      <c r="C559" t="s">
        <v>4576</v>
      </c>
      <c r="F559">
        <v>1</v>
      </c>
      <c r="G559" s="1" t="s">
        <v>675</v>
      </c>
      <c r="I559" s="1" t="s">
        <v>11473</v>
      </c>
      <c r="O559" t="s">
        <v>22</v>
      </c>
    </row>
    <row r="560" spans="1:15">
      <c r="A560" t="s">
        <v>6174</v>
      </c>
      <c r="B560" t="s">
        <v>6174</v>
      </c>
      <c r="C560" t="s">
        <v>6175</v>
      </c>
      <c r="F560">
        <v>1</v>
      </c>
      <c r="G560" s="1" t="s">
        <v>676</v>
      </c>
      <c r="I560" s="1" t="s">
        <v>11473</v>
      </c>
      <c r="O560" t="s">
        <v>22</v>
      </c>
    </row>
    <row r="561" spans="1:15">
      <c r="A561" t="s">
        <v>8071</v>
      </c>
      <c r="B561" t="s">
        <v>8071</v>
      </c>
      <c r="C561" t="s">
        <v>4586</v>
      </c>
      <c r="F561">
        <v>1</v>
      </c>
      <c r="G561" s="1" t="s">
        <v>677</v>
      </c>
      <c r="I561" s="1" t="s">
        <v>11473</v>
      </c>
      <c r="O561" t="s">
        <v>22</v>
      </c>
    </row>
    <row r="562" spans="1:15">
      <c r="A562" t="s">
        <v>5654</v>
      </c>
      <c r="B562" t="s">
        <v>5654</v>
      </c>
      <c r="C562" t="s">
        <v>5655</v>
      </c>
      <c r="F562">
        <v>1</v>
      </c>
      <c r="G562" s="1" t="s">
        <v>678</v>
      </c>
      <c r="I562" s="1" t="s">
        <v>11473</v>
      </c>
      <c r="O562" t="s">
        <v>22</v>
      </c>
    </row>
    <row r="563" spans="1:15">
      <c r="A563" t="s">
        <v>5718</v>
      </c>
      <c r="B563" t="s">
        <v>5718</v>
      </c>
      <c r="C563" t="s">
        <v>5719</v>
      </c>
      <c r="F563">
        <v>1</v>
      </c>
      <c r="G563" s="1" t="s">
        <v>679</v>
      </c>
      <c r="I563" s="1" t="s">
        <v>11473</v>
      </c>
      <c r="O563" t="s">
        <v>22</v>
      </c>
    </row>
    <row r="564" spans="1:15">
      <c r="A564" t="s">
        <v>7922</v>
      </c>
      <c r="B564" t="s">
        <v>7922</v>
      </c>
      <c r="C564" t="s">
        <v>7923</v>
      </c>
      <c r="F564">
        <v>1</v>
      </c>
      <c r="G564" s="1" t="s">
        <v>680</v>
      </c>
      <c r="I564" s="1" t="s">
        <v>11473</v>
      </c>
      <c r="O564" t="s">
        <v>22</v>
      </c>
    </row>
    <row r="565" spans="1:15">
      <c r="A565" t="s">
        <v>8001</v>
      </c>
      <c r="B565" t="s">
        <v>8001</v>
      </c>
      <c r="C565" t="s">
        <v>7923</v>
      </c>
      <c r="F565">
        <v>1</v>
      </c>
      <c r="G565" s="1" t="s">
        <v>681</v>
      </c>
      <c r="I565" s="1" t="s">
        <v>11473</v>
      </c>
      <c r="O565" t="s">
        <v>22</v>
      </c>
    </row>
    <row r="566" spans="1:15">
      <c r="A566" t="s">
        <v>8135</v>
      </c>
      <c r="B566" t="s">
        <v>8135</v>
      </c>
      <c r="C566" t="s">
        <v>8136</v>
      </c>
      <c r="F566">
        <v>1</v>
      </c>
      <c r="G566" s="1" t="s">
        <v>682</v>
      </c>
      <c r="I566" s="1" t="s">
        <v>11473</v>
      </c>
      <c r="O566" t="s">
        <v>22</v>
      </c>
    </row>
    <row r="567" spans="1:15">
      <c r="A567" t="s">
        <v>9147</v>
      </c>
      <c r="B567" t="s">
        <v>9147</v>
      </c>
      <c r="C567" t="s">
        <v>4501</v>
      </c>
      <c r="F567">
        <v>1</v>
      </c>
      <c r="G567" s="1" t="s">
        <v>683</v>
      </c>
      <c r="I567" s="1" t="s">
        <v>11473</v>
      </c>
      <c r="O567" t="s">
        <v>22</v>
      </c>
    </row>
    <row r="568" spans="1:15">
      <c r="A568" t="s">
        <v>9528</v>
      </c>
      <c r="B568" t="s">
        <v>9528</v>
      </c>
      <c r="C568" t="s">
        <v>5367</v>
      </c>
      <c r="F568">
        <v>1</v>
      </c>
      <c r="G568" s="1" t="s">
        <v>684</v>
      </c>
      <c r="I568" s="1" t="s">
        <v>11473</v>
      </c>
      <c r="O568" t="s">
        <v>22</v>
      </c>
    </row>
    <row r="569" spans="1:15">
      <c r="A569" t="s">
        <v>9281</v>
      </c>
      <c r="B569" t="s">
        <v>9281</v>
      </c>
      <c r="C569" t="s">
        <v>4537</v>
      </c>
      <c r="F569">
        <v>1</v>
      </c>
      <c r="G569" s="1" t="s">
        <v>685</v>
      </c>
      <c r="I569" s="1" t="s">
        <v>11473</v>
      </c>
      <c r="O569" t="s">
        <v>22</v>
      </c>
    </row>
    <row r="570" spans="1:15">
      <c r="A570" t="s">
        <v>9408</v>
      </c>
      <c r="B570" t="s">
        <v>9408</v>
      </c>
      <c r="C570" t="s">
        <v>4537</v>
      </c>
      <c r="F570">
        <v>1</v>
      </c>
      <c r="G570" s="1" t="s">
        <v>686</v>
      </c>
      <c r="I570" s="1" t="s">
        <v>11473</v>
      </c>
      <c r="O570" t="s">
        <v>22</v>
      </c>
    </row>
    <row r="571" spans="1:15">
      <c r="A571" t="s">
        <v>6040</v>
      </c>
      <c r="B571" t="s">
        <v>6040</v>
      </c>
      <c r="C571" t="s">
        <v>5023</v>
      </c>
      <c r="F571">
        <v>1</v>
      </c>
      <c r="G571" s="1" t="s">
        <v>687</v>
      </c>
      <c r="I571" s="1" t="s">
        <v>11473</v>
      </c>
      <c r="O571" t="s">
        <v>22</v>
      </c>
    </row>
    <row r="572" spans="1:15">
      <c r="A572" t="s">
        <v>6891</v>
      </c>
      <c r="B572" t="s">
        <v>6891</v>
      </c>
      <c r="C572" t="s">
        <v>6892</v>
      </c>
      <c r="F572">
        <v>1</v>
      </c>
      <c r="G572" s="1" t="s">
        <v>688</v>
      </c>
      <c r="I572" s="1" t="s">
        <v>11473</v>
      </c>
      <c r="O572" t="s">
        <v>22</v>
      </c>
    </row>
    <row r="573" spans="1:15">
      <c r="A573" t="s">
        <v>10471</v>
      </c>
      <c r="B573" t="s">
        <v>10471</v>
      </c>
      <c r="C573" t="s">
        <v>10472</v>
      </c>
      <c r="F573">
        <v>1</v>
      </c>
      <c r="G573" s="1" t="s">
        <v>689</v>
      </c>
      <c r="I573" s="1" t="s">
        <v>11473</v>
      </c>
      <c r="O573" t="s">
        <v>22</v>
      </c>
    </row>
    <row r="574" spans="1:15">
      <c r="A574" t="s">
        <v>4818</v>
      </c>
      <c r="B574" t="s">
        <v>4818</v>
      </c>
      <c r="C574" t="s">
        <v>8059</v>
      </c>
      <c r="F574">
        <v>1</v>
      </c>
      <c r="G574" s="1" t="s">
        <v>690</v>
      </c>
      <c r="I574" s="1" t="s">
        <v>11473</v>
      </c>
      <c r="O574" t="s">
        <v>22</v>
      </c>
    </row>
    <row r="575" spans="1:15">
      <c r="A575" t="s">
        <v>5934</v>
      </c>
      <c r="B575" t="s">
        <v>5934</v>
      </c>
      <c r="C575" t="s">
        <v>5935</v>
      </c>
      <c r="F575">
        <v>1</v>
      </c>
      <c r="G575" s="1" t="s">
        <v>691</v>
      </c>
      <c r="I575" s="1" t="s">
        <v>11473</v>
      </c>
      <c r="O575" t="s">
        <v>22</v>
      </c>
    </row>
    <row r="576" spans="1:15">
      <c r="A576" t="s">
        <v>9213</v>
      </c>
      <c r="B576" t="s">
        <v>9213</v>
      </c>
      <c r="C576" t="s">
        <v>4475</v>
      </c>
      <c r="F576">
        <v>1</v>
      </c>
      <c r="G576" s="1" t="s">
        <v>692</v>
      </c>
      <c r="I576" s="1" t="s">
        <v>11473</v>
      </c>
      <c r="O576" t="s">
        <v>22</v>
      </c>
    </row>
    <row r="577" spans="1:15">
      <c r="A577" t="s">
        <v>9662</v>
      </c>
      <c r="B577" t="s">
        <v>9662</v>
      </c>
      <c r="C577" t="s">
        <v>4475</v>
      </c>
      <c r="F577">
        <v>1</v>
      </c>
      <c r="G577" s="1" t="s">
        <v>693</v>
      </c>
      <c r="I577" s="1" t="s">
        <v>11473</v>
      </c>
      <c r="O577" t="s">
        <v>22</v>
      </c>
    </row>
    <row r="578" spans="1:15">
      <c r="A578" t="s">
        <v>8638</v>
      </c>
      <c r="B578" t="s">
        <v>8638</v>
      </c>
      <c r="C578" t="s">
        <v>5231</v>
      </c>
      <c r="F578">
        <v>1</v>
      </c>
      <c r="G578" s="1" t="s">
        <v>694</v>
      </c>
      <c r="I578" s="1" t="s">
        <v>11473</v>
      </c>
      <c r="O578" t="s">
        <v>22</v>
      </c>
    </row>
    <row r="579" spans="1:15">
      <c r="A579" t="s">
        <v>8828</v>
      </c>
      <c r="B579" t="s">
        <v>8828</v>
      </c>
      <c r="C579" t="s">
        <v>8829</v>
      </c>
      <c r="F579">
        <v>1</v>
      </c>
      <c r="G579" s="1" t="s">
        <v>695</v>
      </c>
      <c r="I579" s="1" t="s">
        <v>11473</v>
      </c>
      <c r="O579" t="s">
        <v>22</v>
      </c>
    </row>
    <row r="580" spans="1:15">
      <c r="A580" t="s">
        <v>11199</v>
      </c>
      <c r="B580" t="s">
        <v>11199</v>
      </c>
      <c r="C580" t="s">
        <v>8829</v>
      </c>
      <c r="F580">
        <v>1</v>
      </c>
      <c r="G580" s="1" t="s">
        <v>696</v>
      </c>
      <c r="I580" s="1" t="s">
        <v>11473</v>
      </c>
      <c r="O580" t="s">
        <v>22</v>
      </c>
    </row>
    <row r="581" spans="1:15">
      <c r="A581" t="s">
        <v>7824</v>
      </c>
      <c r="B581" t="s">
        <v>7824</v>
      </c>
      <c r="C581" t="s">
        <v>7825</v>
      </c>
      <c r="F581">
        <v>1</v>
      </c>
      <c r="G581" s="1" t="s">
        <v>697</v>
      </c>
      <c r="I581" s="1" t="s">
        <v>11473</v>
      </c>
      <c r="O581" t="s">
        <v>22</v>
      </c>
    </row>
    <row r="582" spans="1:15">
      <c r="A582" t="s">
        <v>10076</v>
      </c>
      <c r="B582" t="s">
        <v>10076</v>
      </c>
      <c r="C582" t="s">
        <v>10077</v>
      </c>
      <c r="F582">
        <v>1</v>
      </c>
      <c r="G582" s="1" t="s">
        <v>698</v>
      </c>
      <c r="I582" s="1" t="s">
        <v>11473</v>
      </c>
      <c r="O582" t="s">
        <v>22</v>
      </c>
    </row>
    <row r="583" spans="1:15">
      <c r="A583" t="s">
        <v>5246</v>
      </c>
      <c r="B583" t="s">
        <v>5246</v>
      </c>
      <c r="C583" t="s">
        <v>10740</v>
      </c>
      <c r="F583">
        <v>1</v>
      </c>
      <c r="G583" s="1" t="s">
        <v>699</v>
      </c>
      <c r="I583" s="1" t="s">
        <v>11473</v>
      </c>
      <c r="O583" t="s">
        <v>22</v>
      </c>
    </row>
    <row r="584" spans="1:15">
      <c r="A584" t="s">
        <v>5791</v>
      </c>
      <c r="B584" t="s">
        <v>5791</v>
      </c>
      <c r="C584" t="s">
        <v>4972</v>
      </c>
      <c r="F584">
        <v>1</v>
      </c>
      <c r="G584" s="1" t="s">
        <v>700</v>
      </c>
      <c r="I584" s="1" t="s">
        <v>11473</v>
      </c>
      <c r="O584" t="s">
        <v>22</v>
      </c>
    </row>
    <row r="585" spans="1:15">
      <c r="A585" t="s">
        <v>10982</v>
      </c>
      <c r="B585" t="s">
        <v>10982</v>
      </c>
      <c r="C585" t="s">
        <v>10983</v>
      </c>
      <c r="F585">
        <v>1</v>
      </c>
      <c r="G585" s="1" t="s">
        <v>701</v>
      </c>
      <c r="I585" s="1" t="s">
        <v>11473</v>
      </c>
      <c r="O585" t="s">
        <v>22</v>
      </c>
    </row>
    <row r="586" spans="1:15">
      <c r="A586" t="s">
        <v>8974</v>
      </c>
      <c r="B586" t="s">
        <v>8974</v>
      </c>
      <c r="C586" t="s">
        <v>4783</v>
      </c>
      <c r="F586">
        <v>1</v>
      </c>
      <c r="G586" s="1" t="s">
        <v>702</v>
      </c>
      <c r="I586" s="1" t="s">
        <v>11473</v>
      </c>
      <c r="O586" t="s">
        <v>22</v>
      </c>
    </row>
    <row r="587" spans="1:15">
      <c r="A587" t="s">
        <v>8838</v>
      </c>
      <c r="B587" t="s">
        <v>8838</v>
      </c>
      <c r="C587" t="s">
        <v>8839</v>
      </c>
      <c r="F587">
        <v>1</v>
      </c>
      <c r="G587" s="1" t="s">
        <v>703</v>
      </c>
      <c r="I587" s="1" t="s">
        <v>11473</v>
      </c>
      <c r="O587" t="s">
        <v>22</v>
      </c>
    </row>
    <row r="588" spans="1:15">
      <c r="A588" t="s">
        <v>10155</v>
      </c>
      <c r="B588" t="s">
        <v>10155</v>
      </c>
      <c r="C588" t="s">
        <v>8839</v>
      </c>
      <c r="F588">
        <v>1</v>
      </c>
      <c r="G588" s="1" t="s">
        <v>704</v>
      </c>
      <c r="I588" s="1" t="s">
        <v>11473</v>
      </c>
      <c r="O588" t="s">
        <v>22</v>
      </c>
    </row>
    <row r="589" spans="1:15">
      <c r="A589" t="s">
        <v>11140</v>
      </c>
      <c r="B589" t="s">
        <v>11140</v>
      </c>
      <c r="C589" t="s">
        <v>5110</v>
      </c>
      <c r="F589">
        <v>1</v>
      </c>
      <c r="G589" s="1" t="s">
        <v>705</v>
      </c>
      <c r="I589" s="1" t="s">
        <v>11473</v>
      </c>
      <c r="O589" t="s">
        <v>22</v>
      </c>
    </row>
    <row r="590" spans="1:15">
      <c r="A590" t="s">
        <v>9570</v>
      </c>
      <c r="B590" t="s">
        <v>9570</v>
      </c>
      <c r="C590" t="s">
        <v>5060</v>
      </c>
      <c r="F590">
        <v>1</v>
      </c>
      <c r="G590" s="1" t="s">
        <v>706</v>
      </c>
      <c r="I590" s="1" t="s">
        <v>11473</v>
      </c>
      <c r="O590" t="s">
        <v>22</v>
      </c>
    </row>
    <row r="591" spans="1:15">
      <c r="A591" t="s">
        <v>10435</v>
      </c>
      <c r="B591" t="s">
        <v>10435</v>
      </c>
      <c r="C591" t="s">
        <v>5060</v>
      </c>
      <c r="F591">
        <v>1</v>
      </c>
      <c r="G591" s="1" t="s">
        <v>707</v>
      </c>
      <c r="I591" s="1" t="s">
        <v>11473</v>
      </c>
      <c r="O591" t="s">
        <v>22</v>
      </c>
    </row>
    <row r="592" spans="1:15">
      <c r="A592" t="s">
        <v>6262</v>
      </c>
      <c r="B592" t="s">
        <v>6262</v>
      </c>
      <c r="C592" t="s">
        <v>6263</v>
      </c>
      <c r="F592">
        <v>1</v>
      </c>
      <c r="G592" s="1" t="s">
        <v>708</v>
      </c>
      <c r="I592" s="1" t="s">
        <v>11473</v>
      </c>
      <c r="O592" t="s">
        <v>22</v>
      </c>
    </row>
    <row r="593" spans="1:15">
      <c r="A593" t="s">
        <v>10412</v>
      </c>
      <c r="B593" t="s">
        <v>10412</v>
      </c>
      <c r="C593" t="s">
        <v>10413</v>
      </c>
      <c r="F593">
        <v>1</v>
      </c>
      <c r="G593" s="1" t="s">
        <v>709</v>
      </c>
      <c r="I593" s="1" t="s">
        <v>11473</v>
      </c>
      <c r="O593" t="s">
        <v>22</v>
      </c>
    </row>
    <row r="594" spans="1:15">
      <c r="A594" t="s">
        <v>9151</v>
      </c>
      <c r="B594" t="s">
        <v>9151</v>
      </c>
      <c r="C594" t="s">
        <v>9152</v>
      </c>
      <c r="F594">
        <v>1</v>
      </c>
      <c r="G594" s="1" t="s">
        <v>710</v>
      </c>
      <c r="I594" s="1" t="s">
        <v>11473</v>
      </c>
      <c r="O594" t="s">
        <v>22</v>
      </c>
    </row>
    <row r="595" spans="1:15">
      <c r="A595" t="s">
        <v>10577</v>
      </c>
      <c r="B595" t="s">
        <v>10577</v>
      </c>
      <c r="C595" t="s">
        <v>10578</v>
      </c>
      <c r="F595">
        <v>1</v>
      </c>
      <c r="G595" s="1" t="s">
        <v>711</v>
      </c>
      <c r="I595" s="1" t="s">
        <v>11473</v>
      </c>
      <c r="O595" t="s">
        <v>22</v>
      </c>
    </row>
    <row r="596" spans="1:15">
      <c r="A596" t="s">
        <v>10778</v>
      </c>
      <c r="B596" t="s">
        <v>10778</v>
      </c>
      <c r="C596" t="s">
        <v>10578</v>
      </c>
      <c r="F596">
        <v>1</v>
      </c>
      <c r="G596" s="1" t="s">
        <v>712</v>
      </c>
      <c r="I596" s="1" t="s">
        <v>11473</v>
      </c>
      <c r="O596" t="s">
        <v>22</v>
      </c>
    </row>
    <row r="597" spans="1:15">
      <c r="A597" t="s">
        <v>7269</v>
      </c>
      <c r="B597" t="s">
        <v>7269</v>
      </c>
      <c r="C597" t="s">
        <v>7270</v>
      </c>
      <c r="F597">
        <v>1</v>
      </c>
      <c r="G597" s="1" t="s">
        <v>713</v>
      </c>
      <c r="I597" s="1" t="s">
        <v>11473</v>
      </c>
      <c r="O597" t="s">
        <v>22</v>
      </c>
    </row>
    <row r="598" spans="1:15">
      <c r="A598" t="s">
        <v>7285</v>
      </c>
      <c r="B598" t="s">
        <v>7285</v>
      </c>
      <c r="C598" t="s">
        <v>7270</v>
      </c>
      <c r="F598">
        <v>1</v>
      </c>
      <c r="G598" s="1" t="s">
        <v>714</v>
      </c>
      <c r="I598" s="1" t="s">
        <v>11473</v>
      </c>
      <c r="O598" t="s">
        <v>22</v>
      </c>
    </row>
    <row r="599" spans="1:15">
      <c r="A599" t="s">
        <v>8734</v>
      </c>
      <c r="B599" t="s">
        <v>8734</v>
      </c>
      <c r="C599" t="s">
        <v>7270</v>
      </c>
      <c r="F599">
        <v>1</v>
      </c>
      <c r="G599" s="1" t="s">
        <v>715</v>
      </c>
      <c r="I599" s="1" t="s">
        <v>11473</v>
      </c>
      <c r="O599" t="s">
        <v>22</v>
      </c>
    </row>
    <row r="600" spans="1:15">
      <c r="A600" t="s">
        <v>8808</v>
      </c>
      <c r="B600" t="s">
        <v>8808</v>
      </c>
      <c r="C600" t="s">
        <v>7270</v>
      </c>
      <c r="F600">
        <v>1</v>
      </c>
      <c r="G600" s="1" t="s">
        <v>716</v>
      </c>
      <c r="I600" s="1" t="s">
        <v>11473</v>
      </c>
      <c r="O600" t="s">
        <v>22</v>
      </c>
    </row>
    <row r="601" spans="1:15">
      <c r="A601" t="s">
        <v>9068</v>
      </c>
      <c r="B601" t="s">
        <v>9068</v>
      </c>
      <c r="C601" t="s">
        <v>4848</v>
      </c>
      <c r="F601">
        <v>1</v>
      </c>
      <c r="G601" s="1" t="s">
        <v>717</v>
      </c>
      <c r="I601" s="1" t="s">
        <v>11473</v>
      </c>
      <c r="O601" t="s">
        <v>22</v>
      </c>
    </row>
    <row r="602" spans="1:15">
      <c r="A602" t="s">
        <v>5789</v>
      </c>
      <c r="B602" t="s">
        <v>5789</v>
      </c>
      <c r="C602" t="s">
        <v>5790</v>
      </c>
      <c r="F602">
        <v>1</v>
      </c>
      <c r="G602" s="1" t="s">
        <v>718</v>
      </c>
      <c r="I602" s="1" t="s">
        <v>11473</v>
      </c>
      <c r="O602" t="s">
        <v>22</v>
      </c>
    </row>
    <row r="603" spans="1:15">
      <c r="A603" t="s">
        <v>11067</v>
      </c>
      <c r="B603" t="s">
        <v>11067</v>
      </c>
      <c r="C603" t="s">
        <v>11068</v>
      </c>
      <c r="F603">
        <v>1</v>
      </c>
      <c r="G603" s="1" t="s">
        <v>719</v>
      </c>
      <c r="I603" s="1" t="s">
        <v>11473</v>
      </c>
      <c r="O603" t="s">
        <v>22</v>
      </c>
    </row>
    <row r="604" spans="1:15">
      <c r="A604" t="s">
        <v>7832</v>
      </c>
      <c r="B604" t="s">
        <v>7832</v>
      </c>
      <c r="C604" t="s">
        <v>7833</v>
      </c>
      <c r="F604">
        <v>1</v>
      </c>
      <c r="G604" s="1" t="s">
        <v>720</v>
      </c>
      <c r="I604" s="1" t="s">
        <v>11473</v>
      </c>
      <c r="O604" t="s">
        <v>22</v>
      </c>
    </row>
    <row r="605" spans="1:15">
      <c r="A605" t="s">
        <v>5496</v>
      </c>
      <c r="B605" t="s">
        <v>5496</v>
      </c>
      <c r="C605" t="s">
        <v>8987</v>
      </c>
      <c r="F605">
        <v>1</v>
      </c>
      <c r="G605" s="1" t="s">
        <v>721</v>
      </c>
      <c r="I605" s="1" t="s">
        <v>11473</v>
      </c>
      <c r="O605" t="s">
        <v>22</v>
      </c>
    </row>
    <row r="606" spans="1:15">
      <c r="A606" t="s">
        <v>7982</v>
      </c>
      <c r="B606" t="s">
        <v>7982</v>
      </c>
      <c r="C606" t="s">
        <v>7983</v>
      </c>
      <c r="F606">
        <v>1</v>
      </c>
      <c r="G606" s="1" t="s">
        <v>722</v>
      </c>
      <c r="I606" s="1" t="s">
        <v>11473</v>
      </c>
      <c r="O606" t="s">
        <v>22</v>
      </c>
    </row>
    <row r="607" spans="1:15">
      <c r="A607" t="s">
        <v>9709</v>
      </c>
      <c r="B607" t="s">
        <v>9709</v>
      </c>
      <c r="C607" t="s">
        <v>7983</v>
      </c>
      <c r="F607">
        <v>1</v>
      </c>
      <c r="G607" s="1" t="s">
        <v>723</v>
      </c>
      <c r="I607" s="1" t="s">
        <v>11473</v>
      </c>
      <c r="O607" t="s">
        <v>22</v>
      </c>
    </row>
    <row r="608" spans="1:15">
      <c r="A608" t="s">
        <v>8825</v>
      </c>
      <c r="B608" t="s">
        <v>8825</v>
      </c>
      <c r="C608" t="s">
        <v>8826</v>
      </c>
      <c r="F608">
        <v>1</v>
      </c>
      <c r="G608" s="1" t="s">
        <v>724</v>
      </c>
      <c r="I608" s="1" t="s">
        <v>11473</v>
      </c>
      <c r="O608" t="s">
        <v>22</v>
      </c>
    </row>
    <row r="609" spans="1:15">
      <c r="A609" t="s">
        <v>9033</v>
      </c>
      <c r="B609" t="s">
        <v>9033</v>
      </c>
      <c r="C609" t="s">
        <v>8826</v>
      </c>
      <c r="F609">
        <v>1</v>
      </c>
      <c r="G609" s="1" t="s">
        <v>725</v>
      </c>
      <c r="I609" s="1" t="s">
        <v>11473</v>
      </c>
      <c r="O609" t="s">
        <v>22</v>
      </c>
    </row>
    <row r="610" spans="1:15">
      <c r="A610" t="s">
        <v>6680</v>
      </c>
      <c r="B610" t="s">
        <v>6680</v>
      </c>
      <c r="C610" t="s">
        <v>10084</v>
      </c>
      <c r="F610">
        <v>1</v>
      </c>
      <c r="G610" s="1" t="s">
        <v>726</v>
      </c>
      <c r="I610" s="1" t="s">
        <v>11473</v>
      </c>
      <c r="O610" t="s">
        <v>22</v>
      </c>
    </row>
    <row r="611" spans="1:15">
      <c r="A611" t="s">
        <v>6012</v>
      </c>
      <c r="B611" t="s">
        <v>6012</v>
      </c>
      <c r="C611" t="s">
        <v>6013</v>
      </c>
      <c r="F611">
        <v>1</v>
      </c>
      <c r="G611" s="1" t="s">
        <v>727</v>
      </c>
      <c r="I611" s="1" t="s">
        <v>11473</v>
      </c>
      <c r="O611" t="s">
        <v>22</v>
      </c>
    </row>
    <row r="612" spans="1:15">
      <c r="A612" t="s">
        <v>5866</v>
      </c>
      <c r="B612" t="s">
        <v>5866</v>
      </c>
      <c r="C612" t="s">
        <v>5867</v>
      </c>
      <c r="F612">
        <v>1</v>
      </c>
      <c r="G612" s="1" t="s">
        <v>728</v>
      </c>
      <c r="I612" s="1" t="s">
        <v>11473</v>
      </c>
      <c r="O612" t="s">
        <v>22</v>
      </c>
    </row>
    <row r="613" spans="1:15">
      <c r="A613" t="s">
        <v>10541</v>
      </c>
      <c r="B613" t="s">
        <v>10541</v>
      </c>
      <c r="C613" t="s">
        <v>5317</v>
      </c>
      <c r="F613">
        <v>1</v>
      </c>
      <c r="G613" s="1" t="s">
        <v>729</v>
      </c>
      <c r="I613" s="1" t="s">
        <v>11473</v>
      </c>
      <c r="O613" t="s">
        <v>22</v>
      </c>
    </row>
    <row r="614" spans="1:15">
      <c r="A614" t="s">
        <v>8827</v>
      </c>
      <c r="B614" t="s">
        <v>8827</v>
      </c>
      <c r="C614" t="s">
        <v>4989</v>
      </c>
      <c r="F614">
        <v>1</v>
      </c>
      <c r="G614" s="1" t="s">
        <v>730</v>
      </c>
      <c r="I614" s="1" t="s">
        <v>11473</v>
      </c>
      <c r="O614" t="s">
        <v>22</v>
      </c>
    </row>
    <row r="615" spans="1:15">
      <c r="A615" t="s">
        <v>6831</v>
      </c>
      <c r="B615" t="s">
        <v>6831</v>
      </c>
      <c r="C615" t="s">
        <v>4554</v>
      </c>
      <c r="F615">
        <v>1</v>
      </c>
      <c r="G615" s="1" t="s">
        <v>731</v>
      </c>
      <c r="I615" s="1" t="s">
        <v>11473</v>
      </c>
      <c r="O615" t="s">
        <v>22</v>
      </c>
    </row>
    <row r="616" spans="1:15">
      <c r="A616" t="s">
        <v>9096</v>
      </c>
      <c r="B616" t="s">
        <v>9096</v>
      </c>
      <c r="C616" t="s">
        <v>4141</v>
      </c>
      <c r="F616">
        <v>1</v>
      </c>
      <c r="G616" s="1" t="s">
        <v>732</v>
      </c>
      <c r="I616" s="1" t="s">
        <v>11473</v>
      </c>
      <c r="O616" t="s">
        <v>22</v>
      </c>
    </row>
    <row r="617" spans="1:15">
      <c r="A617" t="s">
        <v>9633</v>
      </c>
      <c r="B617" t="s">
        <v>9633</v>
      </c>
      <c r="C617" t="s">
        <v>4141</v>
      </c>
      <c r="F617">
        <v>1</v>
      </c>
      <c r="G617" s="1" t="s">
        <v>733</v>
      </c>
      <c r="I617" s="1" t="s">
        <v>11473</v>
      </c>
      <c r="O617" t="s">
        <v>22</v>
      </c>
    </row>
    <row r="618" spans="1:15">
      <c r="A618" t="s">
        <v>9773</v>
      </c>
      <c r="B618" t="s">
        <v>9773</v>
      </c>
      <c r="C618" t="s">
        <v>4141</v>
      </c>
      <c r="F618">
        <v>1</v>
      </c>
      <c r="G618" s="1" t="s">
        <v>734</v>
      </c>
      <c r="I618" s="1" t="s">
        <v>11473</v>
      </c>
      <c r="O618" t="s">
        <v>22</v>
      </c>
    </row>
    <row r="619" spans="1:15">
      <c r="A619" t="s">
        <v>9508</v>
      </c>
      <c r="B619" t="s">
        <v>9508</v>
      </c>
      <c r="C619" t="s">
        <v>9509</v>
      </c>
      <c r="F619">
        <v>1</v>
      </c>
      <c r="G619" s="1" t="s">
        <v>735</v>
      </c>
      <c r="I619" s="1" t="s">
        <v>11473</v>
      </c>
      <c r="O619" t="s">
        <v>22</v>
      </c>
    </row>
    <row r="620" spans="1:15">
      <c r="A620" t="s">
        <v>5811</v>
      </c>
      <c r="B620" t="s">
        <v>5811</v>
      </c>
      <c r="C620" t="s">
        <v>5812</v>
      </c>
      <c r="F620">
        <v>1</v>
      </c>
      <c r="G620" s="1" t="s">
        <v>736</v>
      </c>
      <c r="I620" s="1" t="s">
        <v>11473</v>
      </c>
      <c r="O620" t="s">
        <v>22</v>
      </c>
    </row>
    <row r="621" spans="1:15">
      <c r="A621" t="s">
        <v>6716</v>
      </c>
      <c r="B621" t="s">
        <v>6716</v>
      </c>
      <c r="C621" t="s">
        <v>5812</v>
      </c>
      <c r="F621">
        <v>1</v>
      </c>
      <c r="G621" s="1" t="s">
        <v>737</v>
      </c>
      <c r="I621" s="1" t="s">
        <v>11473</v>
      </c>
      <c r="O621" t="s">
        <v>22</v>
      </c>
    </row>
    <row r="622" spans="1:15">
      <c r="A622" t="s">
        <v>4800</v>
      </c>
      <c r="B622" t="s">
        <v>4800</v>
      </c>
      <c r="C622" t="s">
        <v>5812</v>
      </c>
      <c r="F622">
        <v>1</v>
      </c>
      <c r="G622" s="1" t="s">
        <v>738</v>
      </c>
      <c r="I622" s="1" t="s">
        <v>11473</v>
      </c>
      <c r="O622" t="s">
        <v>22</v>
      </c>
    </row>
    <row r="623" spans="1:15">
      <c r="A623" t="s">
        <v>10365</v>
      </c>
      <c r="B623" t="s">
        <v>10365</v>
      </c>
      <c r="C623" t="s">
        <v>5812</v>
      </c>
      <c r="F623">
        <v>1</v>
      </c>
      <c r="G623" s="1" t="s">
        <v>739</v>
      </c>
      <c r="I623" s="1" t="s">
        <v>11473</v>
      </c>
      <c r="O623" t="s">
        <v>22</v>
      </c>
    </row>
    <row r="624" spans="1:15">
      <c r="A624" t="s">
        <v>7887</v>
      </c>
      <c r="B624" t="s">
        <v>7887</v>
      </c>
      <c r="C624" t="s">
        <v>4441</v>
      </c>
      <c r="F624">
        <v>1</v>
      </c>
      <c r="G624" s="1" t="s">
        <v>740</v>
      </c>
      <c r="I624" s="1" t="s">
        <v>11473</v>
      </c>
      <c r="O624" t="s">
        <v>22</v>
      </c>
    </row>
    <row r="625" spans="1:15">
      <c r="A625" t="s">
        <v>8049</v>
      </c>
      <c r="B625" t="s">
        <v>8049</v>
      </c>
      <c r="C625" t="s">
        <v>4441</v>
      </c>
      <c r="F625">
        <v>1</v>
      </c>
      <c r="G625" s="1" t="s">
        <v>741</v>
      </c>
      <c r="I625" s="1" t="s">
        <v>11473</v>
      </c>
      <c r="O625" t="s">
        <v>22</v>
      </c>
    </row>
    <row r="626" spans="1:15">
      <c r="A626" t="s">
        <v>8840</v>
      </c>
      <c r="B626" t="s">
        <v>8840</v>
      </c>
      <c r="C626" t="s">
        <v>4441</v>
      </c>
      <c r="F626">
        <v>1</v>
      </c>
      <c r="G626" s="1" t="s">
        <v>742</v>
      </c>
      <c r="I626" s="1" t="s">
        <v>11473</v>
      </c>
      <c r="O626" t="s">
        <v>22</v>
      </c>
    </row>
    <row r="627" spans="1:15">
      <c r="A627" t="s">
        <v>9028</v>
      </c>
      <c r="B627" t="s">
        <v>9028</v>
      </c>
      <c r="C627" t="s">
        <v>4441</v>
      </c>
      <c r="F627">
        <v>1</v>
      </c>
      <c r="G627" s="1" t="s">
        <v>743</v>
      </c>
      <c r="I627" s="1" t="s">
        <v>11473</v>
      </c>
      <c r="O627" t="s">
        <v>22</v>
      </c>
    </row>
    <row r="628" spans="1:15">
      <c r="A628" t="s">
        <v>10890</v>
      </c>
      <c r="B628" t="s">
        <v>10890</v>
      </c>
      <c r="C628" t="s">
        <v>4441</v>
      </c>
      <c r="F628">
        <v>1</v>
      </c>
      <c r="G628" s="1" t="s">
        <v>744</v>
      </c>
      <c r="I628" s="1" t="s">
        <v>11473</v>
      </c>
      <c r="O628" t="s">
        <v>22</v>
      </c>
    </row>
    <row r="629" spans="1:15">
      <c r="A629" t="s">
        <v>6454</v>
      </c>
      <c r="B629" t="s">
        <v>6454</v>
      </c>
      <c r="C629" t="s">
        <v>4085</v>
      </c>
      <c r="F629">
        <v>1</v>
      </c>
      <c r="G629" s="1" t="s">
        <v>745</v>
      </c>
      <c r="I629" s="1" t="s">
        <v>11473</v>
      </c>
      <c r="O629" t="s">
        <v>22</v>
      </c>
    </row>
    <row r="630" spans="1:15">
      <c r="A630" t="s">
        <v>7874</v>
      </c>
      <c r="B630" t="s">
        <v>7874</v>
      </c>
      <c r="C630" t="s">
        <v>4085</v>
      </c>
      <c r="F630">
        <v>1</v>
      </c>
      <c r="G630" s="1" t="s">
        <v>746</v>
      </c>
      <c r="I630" s="1" t="s">
        <v>11473</v>
      </c>
      <c r="O630" t="s">
        <v>22</v>
      </c>
    </row>
    <row r="631" spans="1:15">
      <c r="A631" t="s">
        <v>10544</v>
      </c>
      <c r="B631" t="s">
        <v>10544</v>
      </c>
      <c r="C631" t="s">
        <v>5315</v>
      </c>
      <c r="F631">
        <v>1</v>
      </c>
      <c r="G631" s="1" t="s">
        <v>747</v>
      </c>
      <c r="I631" s="1" t="s">
        <v>11473</v>
      </c>
      <c r="O631" t="s">
        <v>22</v>
      </c>
    </row>
    <row r="632" spans="1:15">
      <c r="A632" t="s">
        <v>8975</v>
      </c>
      <c r="B632" t="s">
        <v>8975</v>
      </c>
      <c r="C632" t="s">
        <v>8976</v>
      </c>
      <c r="F632">
        <v>1</v>
      </c>
      <c r="G632" s="1" t="s">
        <v>748</v>
      </c>
      <c r="I632" s="1" t="s">
        <v>11473</v>
      </c>
      <c r="O632" t="s">
        <v>22</v>
      </c>
    </row>
    <row r="633" spans="1:15">
      <c r="A633" t="s">
        <v>9009</v>
      </c>
      <c r="B633" t="s">
        <v>9009</v>
      </c>
      <c r="C633" t="s">
        <v>9010</v>
      </c>
      <c r="F633">
        <v>1</v>
      </c>
      <c r="G633" s="1" t="s">
        <v>749</v>
      </c>
      <c r="I633" s="1" t="s">
        <v>11473</v>
      </c>
      <c r="O633" t="s">
        <v>22</v>
      </c>
    </row>
    <row r="634" spans="1:15">
      <c r="A634" t="s">
        <v>11161</v>
      </c>
      <c r="B634" t="s">
        <v>11161</v>
      </c>
      <c r="C634" t="s">
        <v>11162</v>
      </c>
      <c r="F634">
        <v>1</v>
      </c>
      <c r="G634" s="1" t="s">
        <v>750</v>
      </c>
      <c r="I634" s="1" t="s">
        <v>11473</v>
      </c>
      <c r="O634" t="s">
        <v>22</v>
      </c>
    </row>
    <row r="635" spans="1:15">
      <c r="A635" t="s">
        <v>7988</v>
      </c>
      <c r="B635" t="s">
        <v>7988</v>
      </c>
      <c r="C635" t="s">
        <v>4504</v>
      </c>
      <c r="F635">
        <v>1</v>
      </c>
      <c r="G635" s="1" t="s">
        <v>751</v>
      </c>
      <c r="I635" s="1" t="s">
        <v>11473</v>
      </c>
      <c r="O635" t="s">
        <v>22</v>
      </c>
    </row>
    <row r="636" spans="1:15">
      <c r="A636" t="s">
        <v>6395</v>
      </c>
      <c r="B636" t="s">
        <v>6395</v>
      </c>
      <c r="C636" t="s">
        <v>6396</v>
      </c>
      <c r="F636">
        <v>1</v>
      </c>
      <c r="G636" s="1" t="s">
        <v>752</v>
      </c>
      <c r="I636" s="1" t="s">
        <v>11473</v>
      </c>
      <c r="O636" t="s">
        <v>22</v>
      </c>
    </row>
    <row r="637" spans="1:15">
      <c r="A637" t="s">
        <v>6669</v>
      </c>
      <c r="B637" t="s">
        <v>6669</v>
      </c>
      <c r="C637" t="s">
        <v>4508</v>
      </c>
      <c r="F637">
        <v>1</v>
      </c>
      <c r="G637" s="1" t="s">
        <v>753</v>
      </c>
      <c r="I637" s="1" t="s">
        <v>11473</v>
      </c>
      <c r="O637" t="s">
        <v>22</v>
      </c>
    </row>
    <row r="638" spans="1:15">
      <c r="A638" t="s">
        <v>5798</v>
      </c>
      <c r="B638" t="s">
        <v>5798</v>
      </c>
      <c r="C638" t="s">
        <v>5799</v>
      </c>
      <c r="F638">
        <v>1</v>
      </c>
      <c r="G638" s="1" t="s">
        <v>754</v>
      </c>
      <c r="I638" s="1" t="s">
        <v>11473</v>
      </c>
      <c r="O638" t="s">
        <v>22</v>
      </c>
    </row>
    <row r="639" spans="1:15">
      <c r="A639" t="s">
        <v>7728</v>
      </c>
      <c r="B639" t="s">
        <v>7728</v>
      </c>
      <c r="C639" t="s">
        <v>5799</v>
      </c>
      <c r="F639">
        <v>1</v>
      </c>
      <c r="G639" s="1" t="s">
        <v>755</v>
      </c>
      <c r="I639" s="1" t="s">
        <v>11473</v>
      </c>
      <c r="O639" t="s">
        <v>22</v>
      </c>
    </row>
    <row r="640" spans="1:15">
      <c r="A640" t="s">
        <v>10243</v>
      </c>
      <c r="B640" t="s">
        <v>10243</v>
      </c>
      <c r="C640" t="s">
        <v>4619</v>
      </c>
      <c r="F640">
        <v>1</v>
      </c>
      <c r="G640" s="1" t="s">
        <v>756</v>
      </c>
      <c r="I640" s="1" t="s">
        <v>11473</v>
      </c>
      <c r="O640" t="s">
        <v>22</v>
      </c>
    </row>
    <row r="641" spans="1:15">
      <c r="A641" t="s">
        <v>7875</v>
      </c>
      <c r="B641" t="s">
        <v>7875</v>
      </c>
      <c r="C641" t="s">
        <v>7876</v>
      </c>
      <c r="F641">
        <v>1</v>
      </c>
      <c r="G641" s="1" t="s">
        <v>757</v>
      </c>
      <c r="I641" s="1" t="s">
        <v>11473</v>
      </c>
      <c r="O641" t="s">
        <v>22</v>
      </c>
    </row>
    <row r="642" spans="1:15">
      <c r="A642" t="s">
        <v>9019</v>
      </c>
      <c r="B642" t="s">
        <v>9019</v>
      </c>
      <c r="C642" t="s">
        <v>5318</v>
      </c>
      <c r="F642">
        <v>1</v>
      </c>
      <c r="G642" s="1" t="s">
        <v>758</v>
      </c>
      <c r="I642" s="1" t="s">
        <v>11473</v>
      </c>
      <c r="O642" t="s">
        <v>22</v>
      </c>
    </row>
    <row r="643" spans="1:15">
      <c r="A643" t="s">
        <v>8948</v>
      </c>
      <c r="B643" t="s">
        <v>8948</v>
      </c>
      <c r="C643" t="s">
        <v>8949</v>
      </c>
      <c r="F643">
        <v>1</v>
      </c>
      <c r="G643" s="1" t="s">
        <v>759</v>
      </c>
      <c r="I643" s="1" t="s">
        <v>11473</v>
      </c>
      <c r="O643" t="s">
        <v>22</v>
      </c>
    </row>
    <row r="644" spans="1:15">
      <c r="A644" t="s">
        <v>8439</v>
      </c>
      <c r="B644" t="s">
        <v>8439</v>
      </c>
      <c r="C644" t="s">
        <v>8440</v>
      </c>
      <c r="F644">
        <v>1</v>
      </c>
      <c r="G644" s="1" t="s">
        <v>760</v>
      </c>
      <c r="I644" s="1" t="s">
        <v>11473</v>
      </c>
      <c r="O644" t="s">
        <v>22</v>
      </c>
    </row>
    <row r="645" spans="1:15">
      <c r="A645" t="s">
        <v>8117</v>
      </c>
      <c r="B645" t="s">
        <v>8117</v>
      </c>
      <c r="C645" t="s">
        <v>5155</v>
      </c>
      <c r="F645">
        <v>1</v>
      </c>
      <c r="G645" s="1" t="s">
        <v>761</v>
      </c>
      <c r="I645" s="1" t="s">
        <v>11473</v>
      </c>
      <c r="O645" t="s">
        <v>22</v>
      </c>
    </row>
    <row r="646" spans="1:15">
      <c r="A646" t="s">
        <v>10506</v>
      </c>
      <c r="B646" t="s">
        <v>10506</v>
      </c>
      <c r="C646" t="s">
        <v>5155</v>
      </c>
      <c r="F646">
        <v>1</v>
      </c>
      <c r="G646" s="1" t="s">
        <v>762</v>
      </c>
      <c r="I646" s="1" t="s">
        <v>11473</v>
      </c>
      <c r="O646" t="s">
        <v>22</v>
      </c>
    </row>
    <row r="647" spans="1:15">
      <c r="A647" t="s">
        <v>9394</v>
      </c>
      <c r="B647" t="s">
        <v>9394</v>
      </c>
      <c r="C647" t="s">
        <v>9395</v>
      </c>
      <c r="F647">
        <v>1</v>
      </c>
      <c r="G647" s="1" t="s">
        <v>763</v>
      </c>
      <c r="I647" s="1" t="s">
        <v>11473</v>
      </c>
      <c r="O647" t="s">
        <v>22</v>
      </c>
    </row>
    <row r="648" spans="1:15">
      <c r="A648" t="s">
        <v>9879</v>
      </c>
      <c r="B648" t="s">
        <v>9879</v>
      </c>
      <c r="C648" t="s">
        <v>9395</v>
      </c>
      <c r="F648">
        <v>1</v>
      </c>
      <c r="G648" s="1" t="s">
        <v>764</v>
      </c>
      <c r="I648" s="1" t="s">
        <v>11473</v>
      </c>
      <c r="O648" t="s">
        <v>22</v>
      </c>
    </row>
    <row r="649" spans="1:15">
      <c r="A649" t="s">
        <v>6133</v>
      </c>
      <c r="B649" t="s">
        <v>6133</v>
      </c>
      <c r="C649" t="s">
        <v>4536</v>
      </c>
      <c r="F649">
        <v>1</v>
      </c>
      <c r="G649" s="1" t="s">
        <v>765</v>
      </c>
      <c r="I649" s="1" t="s">
        <v>11473</v>
      </c>
      <c r="O649" t="s">
        <v>22</v>
      </c>
    </row>
    <row r="650" spans="1:15">
      <c r="A650" t="s">
        <v>8099</v>
      </c>
      <c r="B650" t="s">
        <v>8099</v>
      </c>
      <c r="C650" t="s">
        <v>4490</v>
      </c>
      <c r="F650">
        <v>1</v>
      </c>
      <c r="G650" s="1" t="s">
        <v>766</v>
      </c>
      <c r="I650" s="1" t="s">
        <v>11473</v>
      </c>
      <c r="O650" t="s">
        <v>22</v>
      </c>
    </row>
    <row r="651" spans="1:15">
      <c r="A651" t="s">
        <v>10150</v>
      </c>
      <c r="B651" t="s">
        <v>10150</v>
      </c>
      <c r="C651" t="s">
        <v>4232</v>
      </c>
      <c r="F651">
        <v>1</v>
      </c>
      <c r="G651" s="1" t="s">
        <v>767</v>
      </c>
      <c r="I651" s="1" t="s">
        <v>11473</v>
      </c>
      <c r="O651" t="s">
        <v>22</v>
      </c>
    </row>
    <row r="652" spans="1:15">
      <c r="A652" t="s">
        <v>11315</v>
      </c>
      <c r="B652" t="s">
        <v>11315</v>
      </c>
      <c r="C652" t="s">
        <v>11316</v>
      </c>
      <c r="F652">
        <v>1</v>
      </c>
      <c r="G652" s="1" t="s">
        <v>768</v>
      </c>
      <c r="I652" s="1" t="s">
        <v>11473</v>
      </c>
      <c r="O652" t="s">
        <v>22</v>
      </c>
    </row>
    <row r="653" spans="1:15">
      <c r="A653" t="s">
        <v>7864</v>
      </c>
      <c r="B653" t="s">
        <v>7864</v>
      </c>
      <c r="C653" t="s">
        <v>7865</v>
      </c>
      <c r="F653">
        <v>1</v>
      </c>
      <c r="G653" s="1" t="s">
        <v>769</v>
      </c>
      <c r="I653" s="1" t="s">
        <v>11473</v>
      </c>
      <c r="O653" t="s">
        <v>22</v>
      </c>
    </row>
    <row r="654" spans="1:15">
      <c r="A654" t="s">
        <v>4676</v>
      </c>
      <c r="B654" t="s">
        <v>4676</v>
      </c>
      <c r="C654" t="s">
        <v>7865</v>
      </c>
      <c r="F654">
        <v>1</v>
      </c>
      <c r="G654" s="1" t="s">
        <v>770</v>
      </c>
      <c r="I654" s="1" t="s">
        <v>11473</v>
      </c>
      <c r="O654" t="s">
        <v>22</v>
      </c>
    </row>
    <row r="655" spans="1:15">
      <c r="A655" t="s">
        <v>6879</v>
      </c>
      <c r="B655" t="s">
        <v>6879</v>
      </c>
      <c r="C655" t="s">
        <v>6880</v>
      </c>
      <c r="F655">
        <v>1</v>
      </c>
      <c r="G655" s="1" t="s">
        <v>771</v>
      </c>
      <c r="I655" s="1" t="s">
        <v>11473</v>
      </c>
      <c r="O655" t="s">
        <v>22</v>
      </c>
    </row>
    <row r="656" spans="1:15">
      <c r="A656" t="s">
        <v>8022</v>
      </c>
      <c r="B656" t="s">
        <v>8022</v>
      </c>
      <c r="C656" t="s">
        <v>4086</v>
      </c>
      <c r="F656">
        <v>1</v>
      </c>
      <c r="G656" s="1" t="s">
        <v>772</v>
      </c>
      <c r="I656" s="1" t="s">
        <v>11473</v>
      </c>
      <c r="O656" t="s">
        <v>22</v>
      </c>
    </row>
    <row r="657" spans="1:15">
      <c r="A657" t="s">
        <v>5639</v>
      </c>
      <c r="B657" t="s">
        <v>5639</v>
      </c>
      <c r="C657" t="s">
        <v>4584</v>
      </c>
      <c r="F657">
        <v>1</v>
      </c>
      <c r="G657" s="1" t="s">
        <v>773</v>
      </c>
      <c r="I657" s="1" t="s">
        <v>11473</v>
      </c>
      <c r="O657" t="s">
        <v>22</v>
      </c>
    </row>
    <row r="658" spans="1:15">
      <c r="A658" t="s">
        <v>8966</v>
      </c>
      <c r="B658" t="s">
        <v>8966</v>
      </c>
      <c r="C658" t="s">
        <v>4584</v>
      </c>
      <c r="F658">
        <v>1</v>
      </c>
      <c r="G658" s="1" t="s">
        <v>774</v>
      </c>
      <c r="I658" s="1" t="s">
        <v>11473</v>
      </c>
      <c r="O658" t="s">
        <v>22</v>
      </c>
    </row>
    <row r="659" spans="1:15">
      <c r="A659" t="s">
        <v>10822</v>
      </c>
      <c r="B659" t="s">
        <v>10822</v>
      </c>
      <c r="C659" t="s">
        <v>4584</v>
      </c>
      <c r="F659">
        <v>1</v>
      </c>
      <c r="G659" s="1" t="s">
        <v>775</v>
      </c>
      <c r="I659" s="1" t="s">
        <v>11473</v>
      </c>
      <c r="O659" t="s">
        <v>22</v>
      </c>
    </row>
    <row r="660" spans="1:15">
      <c r="A660" t="s">
        <v>5530</v>
      </c>
      <c r="B660" t="s">
        <v>5530</v>
      </c>
      <c r="C660" t="s">
        <v>4624</v>
      </c>
      <c r="F660">
        <v>1</v>
      </c>
      <c r="G660" s="1" t="s">
        <v>776</v>
      </c>
      <c r="I660" s="1" t="s">
        <v>11473</v>
      </c>
      <c r="O660" t="s">
        <v>22</v>
      </c>
    </row>
    <row r="661" spans="1:15">
      <c r="A661" t="s">
        <v>5788</v>
      </c>
      <c r="B661" t="s">
        <v>5788</v>
      </c>
      <c r="C661" t="s">
        <v>4624</v>
      </c>
      <c r="F661">
        <v>1</v>
      </c>
      <c r="G661" s="1" t="s">
        <v>777</v>
      </c>
      <c r="I661" s="1" t="s">
        <v>11473</v>
      </c>
      <c r="O661" t="s">
        <v>22</v>
      </c>
    </row>
    <row r="662" spans="1:15">
      <c r="A662" t="s">
        <v>9089</v>
      </c>
      <c r="B662" t="s">
        <v>9089</v>
      </c>
      <c r="C662" t="s">
        <v>9090</v>
      </c>
      <c r="F662">
        <v>1</v>
      </c>
      <c r="G662" s="1" t="s">
        <v>778</v>
      </c>
      <c r="I662" s="1" t="s">
        <v>11473</v>
      </c>
      <c r="O662" t="s">
        <v>22</v>
      </c>
    </row>
    <row r="663" spans="1:15">
      <c r="A663" t="s">
        <v>8848</v>
      </c>
      <c r="B663" t="s">
        <v>8848</v>
      </c>
      <c r="C663" t="s">
        <v>4499</v>
      </c>
      <c r="F663">
        <v>1</v>
      </c>
      <c r="G663" s="1" t="s">
        <v>779</v>
      </c>
      <c r="I663" s="1" t="s">
        <v>11473</v>
      </c>
      <c r="O663" t="s">
        <v>22</v>
      </c>
    </row>
    <row r="664" spans="1:15">
      <c r="A664" t="s">
        <v>5929</v>
      </c>
      <c r="B664" t="s">
        <v>5929</v>
      </c>
      <c r="C664" t="s">
        <v>4615</v>
      </c>
      <c r="F664">
        <v>1</v>
      </c>
      <c r="G664" s="1" t="s">
        <v>780</v>
      </c>
      <c r="I664" s="1" t="s">
        <v>11473</v>
      </c>
      <c r="O664" t="s">
        <v>22</v>
      </c>
    </row>
    <row r="665" spans="1:15">
      <c r="A665" t="s">
        <v>5644</v>
      </c>
      <c r="B665" t="s">
        <v>5644</v>
      </c>
      <c r="C665" t="s">
        <v>5645</v>
      </c>
      <c r="F665">
        <v>1</v>
      </c>
      <c r="G665" s="1" t="s">
        <v>781</v>
      </c>
      <c r="I665" s="1" t="s">
        <v>11473</v>
      </c>
      <c r="O665" t="s">
        <v>22</v>
      </c>
    </row>
    <row r="666" spans="1:15">
      <c r="A666" t="s">
        <v>6714</v>
      </c>
      <c r="B666" t="s">
        <v>6714</v>
      </c>
      <c r="C666" t="s">
        <v>5298</v>
      </c>
      <c r="F666">
        <v>1</v>
      </c>
      <c r="G666" s="1" t="s">
        <v>782</v>
      </c>
      <c r="I666" s="1" t="s">
        <v>11473</v>
      </c>
      <c r="O666" t="s">
        <v>22</v>
      </c>
    </row>
    <row r="667" spans="1:15">
      <c r="A667" t="s">
        <v>8693</v>
      </c>
      <c r="B667" t="s">
        <v>8693</v>
      </c>
      <c r="C667" t="s">
        <v>8694</v>
      </c>
      <c r="F667">
        <v>1</v>
      </c>
      <c r="G667" s="1" t="s">
        <v>783</v>
      </c>
      <c r="I667" s="1" t="s">
        <v>11473</v>
      </c>
      <c r="O667" t="s">
        <v>22</v>
      </c>
    </row>
    <row r="668" spans="1:15">
      <c r="A668" t="s">
        <v>9320</v>
      </c>
      <c r="B668" t="s">
        <v>9320</v>
      </c>
      <c r="C668" t="s">
        <v>8694</v>
      </c>
      <c r="F668">
        <v>1</v>
      </c>
      <c r="G668" s="1" t="s">
        <v>784</v>
      </c>
      <c r="I668" s="1" t="s">
        <v>11473</v>
      </c>
      <c r="O668" t="s">
        <v>22</v>
      </c>
    </row>
    <row r="669" spans="1:15">
      <c r="A669" t="s">
        <v>6808</v>
      </c>
      <c r="B669" t="s">
        <v>6808</v>
      </c>
      <c r="C669" t="s">
        <v>6809</v>
      </c>
      <c r="F669">
        <v>1</v>
      </c>
      <c r="G669" s="1" t="s">
        <v>785</v>
      </c>
      <c r="I669" s="1" t="s">
        <v>11473</v>
      </c>
      <c r="O669" t="s">
        <v>22</v>
      </c>
    </row>
    <row r="670" spans="1:15">
      <c r="A670" t="s">
        <v>6063</v>
      </c>
      <c r="B670" t="s">
        <v>6063</v>
      </c>
      <c r="C670" t="s">
        <v>6064</v>
      </c>
      <c r="F670">
        <v>1</v>
      </c>
      <c r="G670" s="1" t="s">
        <v>786</v>
      </c>
      <c r="I670" s="1" t="s">
        <v>11473</v>
      </c>
      <c r="O670" t="s">
        <v>22</v>
      </c>
    </row>
    <row r="671" spans="1:15">
      <c r="A671" t="s">
        <v>7787</v>
      </c>
      <c r="B671" t="s">
        <v>7787</v>
      </c>
      <c r="C671" t="s">
        <v>7788</v>
      </c>
      <c r="F671">
        <v>1</v>
      </c>
      <c r="G671" s="1" t="s">
        <v>787</v>
      </c>
      <c r="I671" s="1" t="s">
        <v>11473</v>
      </c>
      <c r="O671" t="s">
        <v>22</v>
      </c>
    </row>
    <row r="672" spans="1:15">
      <c r="A672" t="s">
        <v>11261</v>
      </c>
      <c r="B672" t="s">
        <v>11261</v>
      </c>
      <c r="C672" t="s">
        <v>11262</v>
      </c>
      <c r="F672">
        <v>1</v>
      </c>
      <c r="G672" s="1" t="s">
        <v>788</v>
      </c>
      <c r="I672" s="1" t="s">
        <v>11473</v>
      </c>
      <c r="O672" t="s">
        <v>22</v>
      </c>
    </row>
    <row r="673" spans="1:15">
      <c r="A673" t="s">
        <v>7490</v>
      </c>
      <c r="B673" t="s">
        <v>7490</v>
      </c>
      <c r="C673" t="s">
        <v>5292</v>
      </c>
      <c r="F673">
        <v>1</v>
      </c>
      <c r="G673" s="1" t="s">
        <v>789</v>
      </c>
      <c r="I673" s="1" t="s">
        <v>11473</v>
      </c>
      <c r="O673" t="s">
        <v>22</v>
      </c>
    </row>
    <row r="674" spans="1:15">
      <c r="A674" t="s">
        <v>7991</v>
      </c>
      <c r="B674" t="s">
        <v>7991</v>
      </c>
      <c r="C674" t="s">
        <v>4573</v>
      </c>
      <c r="F674">
        <v>1</v>
      </c>
      <c r="G674" s="1" t="s">
        <v>790</v>
      </c>
      <c r="I674" s="1" t="s">
        <v>11473</v>
      </c>
      <c r="O674" t="s">
        <v>22</v>
      </c>
    </row>
    <row r="675" spans="1:15">
      <c r="A675" t="s">
        <v>10500</v>
      </c>
      <c r="B675" t="s">
        <v>10500</v>
      </c>
      <c r="C675" t="s">
        <v>4573</v>
      </c>
      <c r="F675">
        <v>1</v>
      </c>
      <c r="G675" s="1" t="s">
        <v>791</v>
      </c>
      <c r="I675" s="1" t="s">
        <v>11473</v>
      </c>
      <c r="O675" t="s">
        <v>22</v>
      </c>
    </row>
    <row r="676" spans="1:15">
      <c r="A676" t="s">
        <v>10340</v>
      </c>
      <c r="B676" t="s">
        <v>10340</v>
      </c>
      <c r="C676" t="s">
        <v>10378</v>
      </c>
      <c r="F676">
        <v>1</v>
      </c>
      <c r="G676" s="1" t="s">
        <v>792</v>
      </c>
      <c r="I676" s="1" t="s">
        <v>11473</v>
      </c>
      <c r="O676" t="s">
        <v>22</v>
      </c>
    </row>
    <row r="677" spans="1:15">
      <c r="A677" t="s">
        <v>7828</v>
      </c>
      <c r="B677" t="s">
        <v>7828</v>
      </c>
      <c r="C677" t="s">
        <v>7829</v>
      </c>
      <c r="F677">
        <v>1</v>
      </c>
      <c r="G677" s="1" t="s">
        <v>793</v>
      </c>
      <c r="I677" s="1" t="s">
        <v>11473</v>
      </c>
      <c r="O677" t="s">
        <v>22</v>
      </c>
    </row>
    <row r="678" spans="1:15">
      <c r="A678" t="s">
        <v>7840</v>
      </c>
      <c r="B678" t="s">
        <v>7840</v>
      </c>
      <c r="C678" t="s">
        <v>7829</v>
      </c>
      <c r="F678">
        <v>1</v>
      </c>
      <c r="G678" s="1" t="s">
        <v>794</v>
      </c>
      <c r="I678" s="1" t="s">
        <v>11473</v>
      </c>
      <c r="O678" t="s">
        <v>22</v>
      </c>
    </row>
    <row r="679" spans="1:15">
      <c r="A679" t="s">
        <v>10407</v>
      </c>
      <c r="B679" t="s">
        <v>10407</v>
      </c>
      <c r="C679" t="s">
        <v>10408</v>
      </c>
      <c r="F679">
        <v>1</v>
      </c>
      <c r="G679" s="1" t="s">
        <v>795</v>
      </c>
      <c r="I679" s="1" t="s">
        <v>11473</v>
      </c>
      <c r="O679" t="s">
        <v>22</v>
      </c>
    </row>
    <row r="680" spans="1:15">
      <c r="A680" t="s">
        <v>10780</v>
      </c>
      <c r="B680" t="s">
        <v>10780</v>
      </c>
      <c r="C680" t="s">
        <v>10781</v>
      </c>
      <c r="F680">
        <v>1</v>
      </c>
      <c r="G680" s="1" t="s">
        <v>796</v>
      </c>
      <c r="I680" s="1" t="s">
        <v>11473</v>
      </c>
      <c r="O680" t="s">
        <v>22</v>
      </c>
    </row>
    <row r="681" spans="1:15">
      <c r="A681" t="s">
        <v>5624</v>
      </c>
      <c r="B681" t="s">
        <v>5624</v>
      </c>
      <c r="C681" t="s">
        <v>5625</v>
      </c>
      <c r="F681">
        <v>1</v>
      </c>
      <c r="G681" s="1" t="s">
        <v>797</v>
      </c>
      <c r="I681" s="1" t="s">
        <v>11473</v>
      </c>
      <c r="O681" t="s">
        <v>22</v>
      </c>
    </row>
    <row r="682" spans="1:15">
      <c r="A682" t="s">
        <v>8653</v>
      </c>
      <c r="B682" t="s">
        <v>8653</v>
      </c>
      <c r="C682" t="s">
        <v>8654</v>
      </c>
      <c r="F682">
        <v>1</v>
      </c>
      <c r="G682" s="1" t="s">
        <v>798</v>
      </c>
      <c r="I682" s="1" t="s">
        <v>11473</v>
      </c>
      <c r="O682" t="s">
        <v>22</v>
      </c>
    </row>
    <row r="683" spans="1:15">
      <c r="A683" t="s">
        <v>10580</v>
      </c>
      <c r="B683" t="s">
        <v>10580</v>
      </c>
      <c r="C683" t="s">
        <v>10581</v>
      </c>
      <c r="F683">
        <v>1</v>
      </c>
      <c r="G683" s="1" t="s">
        <v>799</v>
      </c>
      <c r="I683" s="1" t="s">
        <v>11473</v>
      </c>
      <c r="O683" t="s">
        <v>22</v>
      </c>
    </row>
    <row r="684" spans="1:15">
      <c r="A684" t="s">
        <v>6379</v>
      </c>
      <c r="B684" t="s">
        <v>6379</v>
      </c>
      <c r="C684" t="s">
        <v>4894</v>
      </c>
      <c r="F684">
        <v>1</v>
      </c>
      <c r="G684" s="1" t="s">
        <v>800</v>
      </c>
      <c r="I684" s="1" t="s">
        <v>11473</v>
      </c>
      <c r="O684" t="s">
        <v>22</v>
      </c>
    </row>
    <row r="685" spans="1:15">
      <c r="A685" t="s">
        <v>5378</v>
      </c>
      <c r="B685" t="s">
        <v>5378</v>
      </c>
      <c r="C685" t="s">
        <v>10231</v>
      </c>
      <c r="F685">
        <v>1</v>
      </c>
      <c r="G685" s="1" t="s">
        <v>801</v>
      </c>
      <c r="I685" s="1" t="s">
        <v>11473</v>
      </c>
      <c r="O685" t="s">
        <v>22</v>
      </c>
    </row>
    <row r="686" spans="1:15">
      <c r="A686" t="s">
        <v>6286</v>
      </c>
      <c r="B686" t="s">
        <v>6286</v>
      </c>
      <c r="C686" t="s">
        <v>4124</v>
      </c>
      <c r="F686">
        <v>1</v>
      </c>
      <c r="G686" s="1" t="s">
        <v>802</v>
      </c>
      <c r="I686" s="1" t="s">
        <v>11473</v>
      </c>
      <c r="O686" t="s">
        <v>22</v>
      </c>
    </row>
    <row r="687" spans="1:15">
      <c r="A687" t="s">
        <v>10628</v>
      </c>
      <c r="B687" t="s">
        <v>10628</v>
      </c>
      <c r="C687" t="s">
        <v>4124</v>
      </c>
      <c r="F687">
        <v>1</v>
      </c>
      <c r="G687" s="1" t="s">
        <v>803</v>
      </c>
      <c r="I687" s="1" t="s">
        <v>11473</v>
      </c>
      <c r="O687" t="s">
        <v>22</v>
      </c>
    </row>
    <row r="688" spans="1:15">
      <c r="A688" t="s">
        <v>10743</v>
      </c>
      <c r="B688" t="s">
        <v>10743</v>
      </c>
      <c r="C688" t="s">
        <v>4544</v>
      </c>
      <c r="F688">
        <v>1</v>
      </c>
      <c r="G688" s="1" t="s">
        <v>804</v>
      </c>
      <c r="I688" s="1" t="s">
        <v>11473</v>
      </c>
      <c r="O688" t="s">
        <v>22</v>
      </c>
    </row>
    <row r="689" spans="1:15">
      <c r="A689" t="s">
        <v>11024</v>
      </c>
      <c r="B689" t="s">
        <v>11024</v>
      </c>
      <c r="C689" t="s">
        <v>4535</v>
      </c>
      <c r="F689">
        <v>1</v>
      </c>
      <c r="G689" s="1" t="s">
        <v>805</v>
      </c>
      <c r="I689" s="1" t="s">
        <v>11473</v>
      </c>
      <c r="O689" t="s">
        <v>22</v>
      </c>
    </row>
    <row r="690" spans="1:15">
      <c r="A690" t="s">
        <v>8969</v>
      </c>
      <c r="B690" t="s">
        <v>8969</v>
      </c>
      <c r="C690" t="s">
        <v>4500</v>
      </c>
      <c r="F690">
        <v>1</v>
      </c>
      <c r="G690" s="1" t="s">
        <v>806</v>
      </c>
      <c r="I690" s="1" t="s">
        <v>11473</v>
      </c>
      <c r="O690" t="s">
        <v>22</v>
      </c>
    </row>
    <row r="691" spans="1:15">
      <c r="A691" t="s">
        <v>7872</v>
      </c>
      <c r="B691" t="s">
        <v>7872</v>
      </c>
      <c r="C691" t="s">
        <v>7873</v>
      </c>
      <c r="F691">
        <v>1</v>
      </c>
      <c r="G691" s="1" t="s">
        <v>807</v>
      </c>
      <c r="I691" s="1" t="s">
        <v>11473</v>
      </c>
      <c r="O691" t="s">
        <v>22</v>
      </c>
    </row>
    <row r="692" spans="1:15">
      <c r="A692" t="s">
        <v>7272</v>
      </c>
      <c r="B692" t="s">
        <v>7272</v>
      </c>
      <c r="C692" t="s">
        <v>7273</v>
      </c>
      <c r="F692">
        <v>1</v>
      </c>
      <c r="G692" s="1" t="s">
        <v>808</v>
      </c>
      <c r="I692" s="1" t="s">
        <v>11473</v>
      </c>
      <c r="O692" t="s">
        <v>22</v>
      </c>
    </row>
    <row r="693" spans="1:15">
      <c r="A693" t="s">
        <v>10897</v>
      </c>
      <c r="B693" t="s">
        <v>10897</v>
      </c>
      <c r="C693" t="s">
        <v>7273</v>
      </c>
      <c r="F693">
        <v>1</v>
      </c>
      <c r="G693" s="1" t="s">
        <v>809</v>
      </c>
      <c r="I693" s="1" t="s">
        <v>11473</v>
      </c>
      <c r="O693" t="s">
        <v>22</v>
      </c>
    </row>
    <row r="694" spans="1:15">
      <c r="A694" t="s">
        <v>11166</v>
      </c>
      <c r="B694" t="s">
        <v>11166</v>
      </c>
      <c r="C694" t="s">
        <v>11167</v>
      </c>
      <c r="F694">
        <v>1</v>
      </c>
      <c r="G694" s="1" t="s">
        <v>810</v>
      </c>
      <c r="I694" s="1" t="s">
        <v>11473</v>
      </c>
      <c r="O694" t="s">
        <v>22</v>
      </c>
    </row>
    <row r="695" spans="1:15">
      <c r="A695" t="s">
        <v>9798</v>
      </c>
      <c r="B695" t="s">
        <v>9798</v>
      </c>
      <c r="C695" t="s">
        <v>9799</v>
      </c>
      <c r="F695">
        <v>1</v>
      </c>
      <c r="G695" s="1" t="s">
        <v>811</v>
      </c>
      <c r="I695" s="1" t="s">
        <v>11473</v>
      </c>
      <c r="O695" t="s">
        <v>22</v>
      </c>
    </row>
    <row r="696" spans="1:15">
      <c r="A696" t="s">
        <v>11391</v>
      </c>
      <c r="B696" t="s">
        <v>11391</v>
      </c>
      <c r="C696" t="s">
        <v>11392</v>
      </c>
      <c r="F696">
        <v>1</v>
      </c>
      <c r="G696" s="1" t="s">
        <v>812</v>
      </c>
      <c r="I696" s="1" t="s">
        <v>11473</v>
      </c>
      <c r="O696" t="s">
        <v>22</v>
      </c>
    </row>
    <row r="697" spans="1:15">
      <c r="A697" t="s">
        <v>7331</v>
      </c>
      <c r="B697" t="s">
        <v>7331</v>
      </c>
      <c r="C697" t="s">
        <v>7332</v>
      </c>
      <c r="F697">
        <v>1</v>
      </c>
      <c r="G697" s="1" t="s">
        <v>813</v>
      </c>
      <c r="I697" s="1" t="s">
        <v>11473</v>
      </c>
      <c r="O697" t="s">
        <v>22</v>
      </c>
    </row>
    <row r="698" spans="1:15">
      <c r="A698" t="s">
        <v>5614</v>
      </c>
      <c r="B698" t="s">
        <v>5614</v>
      </c>
      <c r="C698" t="s">
        <v>5615</v>
      </c>
      <c r="F698">
        <v>1</v>
      </c>
      <c r="G698" s="1" t="s">
        <v>814</v>
      </c>
      <c r="I698" s="1" t="s">
        <v>11473</v>
      </c>
      <c r="O698" t="s">
        <v>22</v>
      </c>
    </row>
    <row r="699" spans="1:15">
      <c r="A699" t="s">
        <v>8282</v>
      </c>
      <c r="B699" t="s">
        <v>8282</v>
      </c>
      <c r="C699" t="s">
        <v>5615</v>
      </c>
      <c r="F699">
        <v>1</v>
      </c>
      <c r="G699" s="1" t="s">
        <v>815</v>
      </c>
      <c r="I699" s="1" t="s">
        <v>11473</v>
      </c>
      <c r="O699" t="s">
        <v>22</v>
      </c>
    </row>
    <row r="700" spans="1:15">
      <c r="A700" t="s">
        <v>9480</v>
      </c>
      <c r="B700" t="s">
        <v>9480</v>
      </c>
      <c r="C700" t="s">
        <v>9481</v>
      </c>
      <c r="F700">
        <v>1</v>
      </c>
      <c r="G700" s="1" t="s">
        <v>816</v>
      </c>
      <c r="I700" s="1" t="s">
        <v>11473</v>
      </c>
      <c r="O700" t="s">
        <v>22</v>
      </c>
    </row>
    <row r="701" spans="1:15">
      <c r="A701" t="s">
        <v>11208</v>
      </c>
      <c r="B701" t="s">
        <v>11208</v>
      </c>
      <c r="C701" t="s">
        <v>11209</v>
      </c>
      <c r="F701">
        <v>1</v>
      </c>
      <c r="G701" s="1" t="s">
        <v>817</v>
      </c>
      <c r="I701" s="1" t="s">
        <v>11473</v>
      </c>
      <c r="O701" t="s">
        <v>22</v>
      </c>
    </row>
    <row r="702" spans="1:15">
      <c r="A702" t="s">
        <v>4987</v>
      </c>
      <c r="B702" t="s">
        <v>4987</v>
      </c>
      <c r="C702" t="s">
        <v>8060</v>
      </c>
      <c r="F702">
        <v>1</v>
      </c>
      <c r="G702" s="1" t="s">
        <v>818</v>
      </c>
      <c r="I702" s="1" t="s">
        <v>11473</v>
      </c>
      <c r="O702" t="s">
        <v>22</v>
      </c>
    </row>
    <row r="703" spans="1:15">
      <c r="A703" t="s">
        <v>8054</v>
      </c>
      <c r="B703" t="s">
        <v>8054</v>
      </c>
      <c r="C703" t="s">
        <v>8055</v>
      </c>
      <c r="F703">
        <v>1</v>
      </c>
      <c r="G703" s="1" t="s">
        <v>819</v>
      </c>
      <c r="I703" s="1" t="s">
        <v>11473</v>
      </c>
      <c r="O703" t="s">
        <v>22</v>
      </c>
    </row>
    <row r="704" spans="1:15">
      <c r="A704" t="s">
        <v>9971</v>
      </c>
      <c r="B704" t="s">
        <v>9971</v>
      </c>
      <c r="C704" t="s">
        <v>4530</v>
      </c>
      <c r="F704">
        <v>1</v>
      </c>
      <c r="G704" s="1" t="s">
        <v>820</v>
      </c>
      <c r="I704" s="1" t="s">
        <v>11473</v>
      </c>
      <c r="O704" t="s">
        <v>22</v>
      </c>
    </row>
    <row r="705" spans="1:15">
      <c r="A705" t="s">
        <v>6996</v>
      </c>
      <c r="B705" t="s">
        <v>6996</v>
      </c>
      <c r="C705" t="s">
        <v>6997</v>
      </c>
      <c r="F705">
        <v>1</v>
      </c>
      <c r="G705" s="1" t="s">
        <v>821</v>
      </c>
      <c r="I705" s="1" t="s">
        <v>11473</v>
      </c>
      <c r="O705" t="s">
        <v>22</v>
      </c>
    </row>
    <row r="706" spans="1:15">
      <c r="A706" t="s">
        <v>8691</v>
      </c>
      <c r="B706" t="s">
        <v>8691</v>
      </c>
      <c r="C706" t="s">
        <v>6997</v>
      </c>
      <c r="F706">
        <v>1</v>
      </c>
      <c r="G706" s="1" t="s">
        <v>822</v>
      </c>
      <c r="I706" s="1" t="s">
        <v>11473</v>
      </c>
      <c r="O706" t="s">
        <v>22</v>
      </c>
    </row>
    <row r="707" spans="1:15">
      <c r="A707" t="s">
        <v>7859</v>
      </c>
      <c r="B707" t="s">
        <v>7859</v>
      </c>
      <c r="C707" t="s">
        <v>7860</v>
      </c>
      <c r="F707">
        <v>1</v>
      </c>
      <c r="G707" s="1" t="s">
        <v>823</v>
      </c>
      <c r="I707" s="1" t="s">
        <v>11473</v>
      </c>
      <c r="O707" t="s">
        <v>22</v>
      </c>
    </row>
    <row r="708" spans="1:15">
      <c r="A708" t="s">
        <v>8959</v>
      </c>
      <c r="B708" t="s">
        <v>8959</v>
      </c>
      <c r="C708" t="s">
        <v>7860</v>
      </c>
      <c r="F708">
        <v>1</v>
      </c>
      <c r="G708" s="1" t="s">
        <v>824</v>
      </c>
      <c r="I708" s="1" t="s">
        <v>11473</v>
      </c>
      <c r="O708" t="s">
        <v>22</v>
      </c>
    </row>
    <row r="709" spans="1:15">
      <c r="A709" t="s">
        <v>8946</v>
      </c>
      <c r="B709" t="s">
        <v>8946</v>
      </c>
      <c r="C709" t="s">
        <v>4581</v>
      </c>
      <c r="F709">
        <v>1</v>
      </c>
      <c r="G709" s="1" t="s">
        <v>825</v>
      </c>
      <c r="I709" s="1" t="s">
        <v>11473</v>
      </c>
      <c r="O709" t="s">
        <v>22</v>
      </c>
    </row>
    <row r="710" spans="1:15">
      <c r="A710" t="s">
        <v>10744</v>
      </c>
      <c r="B710" t="s">
        <v>10744</v>
      </c>
      <c r="C710" t="s">
        <v>4816</v>
      </c>
      <c r="F710">
        <v>1</v>
      </c>
      <c r="G710" s="1" t="s">
        <v>826</v>
      </c>
      <c r="I710" s="1" t="s">
        <v>11473</v>
      </c>
      <c r="O710" t="s">
        <v>22</v>
      </c>
    </row>
    <row r="711" spans="1:15">
      <c r="A711" t="s">
        <v>6405</v>
      </c>
      <c r="B711" t="s">
        <v>6405</v>
      </c>
      <c r="C711" t="s">
        <v>6406</v>
      </c>
      <c r="F711">
        <v>1</v>
      </c>
      <c r="G711" s="1" t="s">
        <v>827</v>
      </c>
      <c r="I711" s="1" t="s">
        <v>11473</v>
      </c>
      <c r="O711" t="s">
        <v>22</v>
      </c>
    </row>
    <row r="712" spans="1:15">
      <c r="A712" t="s">
        <v>9544</v>
      </c>
      <c r="B712" t="s">
        <v>9544</v>
      </c>
      <c r="C712" t="s">
        <v>6406</v>
      </c>
      <c r="F712">
        <v>1</v>
      </c>
      <c r="G712" s="1" t="s">
        <v>828</v>
      </c>
      <c r="I712" s="1" t="s">
        <v>11473</v>
      </c>
      <c r="O712" t="s">
        <v>22</v>
      </c>
    </row>
    <row r="713" spans="1:15">
      <c r="A713" t="s">
        <v>9562</v>
      </c>
      <c r="B713" t="s">
        <v>9562</v>
      </c>
      <c r="C713" t="s">
        <v>6406</v>
      </c>
      <c r="F713">
        <v>1</v>
      </c>
      <c r="G713" s="1" t="s">
        <v>829</v>
      </c>
      <c r="I713" s="1" t="s">
        <v>11473</v>
      </c>
      <c r="O713" t="s">
        <v>22</v>
      </c>
    </row>
    <row r="714" spans="1:15">
      <c r="A714" t="s">
        <v>10786</v>
      </c>
      <c r="B714" t="s">
        <v>10786</v>
      </c>
      <c r="C714" t="s">
        <v>10787</v>
      </c>
      <c r="F714">
        <v>1</v>
      </c>
      <c r="G714" s="1" t="s">
        <v>830</v>
      </c>
      <c r="I714" s="1" t="s">
        <v>11473</v>
      </c>
      <c r="O714" t="s">
        <v>22</v>
      </c>
    </row>
    <row r="715" spans="1:15">
      <c r="A715" t="s">
        <v>5659</v>
      </c>
      <c r="B715" t="s">
        <v>5659</v>
      </c>
      <c r="C715" t="s">
        <v>5660</v>
      </c>
      <c r="F715">
        <v>1</v>
      </c>
      <c r="G715" s="1" t="s">
        <v>831</v>
      </c>
      <c r="I715" s="1" t="s">
        <v>11473</v>
      </c>
      <c r="O715" t="s">
        <v>22</v>
      </c>
    </row>
    <row r="716" spans="1:15">
      <c r="A716" t="s">
        <v>9344</v>
      </c>
      <c r="B716" t="s">
        <v>9344</v>
      </c>
      <c r="C716" t="s">
        <v>5660</v>
      </c>
      <c r="F716">
        <v>1</v>
      </c>
      <c r="G716" s="1" t="s">
        <v>832</v>
      </c>
      <c r="I716" s="1" t="s">
        <v>11473</v>
      </c>
      <c r="O716" t="s">
        <v>22</v>
      </c>
    </row>
    <row r="717" spans="1:15">
      <c r="A717" t="s">
        <v>5730</v>
      </c>
      <c r="B717" t="s">
        <v>5730</v>
      </c>
      <c r="C717" t="s">
        <v>4497</v>
      </c>
      <c r="F717">
        <v>1</v>
      </c>
      <c r="G717" s="1" t="s">
        <v>833</v>
      </c>
      <c r="I717" s="1" t="s">
        <v>11473</v>
      </c>
      <c r="O717" t="s">
        <v>22</v>
      </c>
    </row>
    <row r="718" spans="1:15">
      <c r="A718" t="s">
        <v>7924</v>
      </c>
      <c r="B718" t="s">
        <v>7924</v>
      </c>
      <c r="C718" t="s">
        <v>4497</v>
      </c>
      <c r="F718">
        <v>1</v>
      </c>
      <c r="G718" s="1" t="s">
        <v>834</v>
      </c>
      <c r="I718" s="1" t="s">
        <v>11473</v>
      </c>
      <c r="O718" t="s">
        <v>22</v>
      </c>
    </row>
    <row r="719" spans="1:15">
      <c r="A719" t="s">
        <v>6414</v>
      </c>
      <c r="B719" t="s">
        <v>6414</v>
      </c>
      <c r="C719" t="s">
        <v>4492</v>
      </c>
      <c r="F719">
        <v>1</v>
      </c>
      <c r="G719" s="1" t="s">
        <v>835</v>
      </c>
      <c r="I719" s="1" t="s">
        <v>11473</v>
      </c>
      <c r="O719" t="s">
        <v>22</v>
      </c>
    </row>
    <row r="720" spans="1:15">
      <c r="A720" t="s">
        <v>11036</v>
      </c>
      <c r="B720" t="s">
        <v>11036</v>
      </c>
      <c r="C720" t="s">
        <v>4492</v>
      </c>
      <c r="F720">
        <v>1</v>
      </c>
      <c r="G720" s="1" t="s">
        <v>836</v>
      </c>
      <c r="I720" s="1" t="s">
        <v>11473</v>
      </c>
      <c r="O720" t="s">
        <v>22</v>
      </c>
    </row>
    <row r="721" spans="1:15">
      <c r="A721" t="s">
        <v>6737</v>
      </c>
      <c r="B721" t="s">
        <v>6737</v>
      </c>
      <c r="C721" t="s">
        <v>4496</v>
      </c>
      <c r="F721">
        <v>1</v>
      </c>
      <c r="G721" s="1" t="s">
        <v>837</v>
      </c>
      <c r="I721" s="1" t="s">
        <v>11473</v>
      </c>
      <c r="O721" t="s">
        <v>22</v>
      </c>
    </row>
    <row r="722" spans="1:15">
      <c r="A722" t="s">
        <v>10181</v>
      </c>
      <c r="B722" t="s">
        <v>10181</v>
      </c>
      <c r="C722" t="s">
        <v>4539</v>
      </c>
      <c r="F722">
        <v>1</v>
      </c>
      <c r="G722" s="1" t="s">
        <v>838</v>
      </c>
      <c r="I722" s="1" t="s">
        <v>11473</v>
      </c>
      <c r="O722" t="s">
        <v>22</v>
      </c>
    </row>
    <row r="723" spans="1:15">
      <c r="A723" t="s">
        <v>10835</v>
      </c>
      <c r="B723" t="s">
        <v>10835</v>
      </c>
      <c r="C723" t="s">
        <v>10836</v>
      </c>
      <c r="F723">
        <v>1</v>
      </c>
      <c r="G723" s="1" t="s">
        <v>839</v>
      </c>
      <c r="I723" s="1" t="s">
        <v>11473</v>
      </c>
      <c r="O723" t="s">
        <v>22</v>
      </c>
    </row>
    <row r="724" spans="1:15">
      <c r="A724" t="s">
        <v>11065</v>
      </c>
      <c r="B724" t="s">
        <v>11065</v>
      </c>
      <c r="C724" t="s">
        <v>10836</v>
      </c>
      <c r="F724">
        <v>1</v>
      </c>
      <c r="G724" s="1" t="s">
        <v>840</v>
      </c>
      <c r="I724" s="1" t="s">
        <v>11473</v>
      </c>
      <c r="O724" t="s">
        <v>22</v>
      </c>
    </row>
    <row r="725" spans="1:15">
      <c r="A725" t="s">
        <v>10393</v>
      </c>
      <c r="B725" t="s">
        <v>10393</v>
      </c>
      <c r="C725" t="s">
        <v>10394</v>
      </c>
      <c r="F725">
        <v>1</v>
      </c>
      <c r="G725" s="1" t="s">
        <v>841</v>
      </c>
      <c r="I725" s="1" t="s">
        <v>11473</v>
      </c>
      <c r="O725" t="s">
        <v>22</v>
      </c>
    </row>
    <row r="726" spans="1:15">
      <c r="A726" t="s">
        <v>9694</v>
      </c>
      <c r="B726" t="s">
        <v>9694</v>
      </c>
      <c r="C726" t="s">
        <v>4095</v>
      </c>
      <c r="F726">
        <v>1</v>
      </c>
      <c r="G726" s="1" t="s">
        <v>842</v>
      </c>
      <c r="I726" s="1" t="s">
        <v>11473</v>
      </c>
      <c r="O726" t="s">
        <v>22</v>
      </c>
    </row>
    <row r="727" spans="1:15">
      <c r="A727" t="s">
        <v>6018</v>
      </c>
      <c r="B727" t="s">
        <v>6018</v>
      </c>
      <c r="C727" t="s">
        <v>6019</v>
      </c>
      <c r="F727">
        <v>1</v>
      </c>
      <c r="G727" s="1" t="s">
        <v>843</v>
      </c>
      <c r="I727" s="1" t="s">
        <v>11473</v>
      </c>
      <c r="O727" t="s">
        <v>22</v>
      </c>
    </row>
    <row r="728" spans="1:15">
      <c r="A728" t="s">
        <v>8937</v>
      </c>
      <c r="B728" t="s">
        <v>8937</v>
      </c>
      <c r="C728" t="s">
        <v>6019</v>
      </c>
      <c r="F728">
        <v>1</v>
      </c>
      <c r="G728" s="1" t="s">
        <v>844</v>
      </c>
      <c r="I728" s="1" t="s">
        <v>11473</v>
      </c>
      <c r="O728" t="s">
        <v>22</v>
      </c>
    </row>
    <row r="729" spans="1:15">
      <c r="A729" t="s">
        <v>10564</v>
      </c>
      <c r="B729" t="s">
        <v>10564</v>
      </c>
      <c r="C729" t="s">
        <v>6019</v>
      </c>
      <c r="F729">
        <v>1</v>
      </c>
      <c r="G729" s="1" t="s">
        <v>845</v>
      </c>
      <c r="I729" s="1" t="s">
        <v>11473</v>
      </c>
      <c r="O729" t="s">
        <v>22</v>
      </c>
    </row>
    <row r="730" spans="1:15">
      <c r="A730" t="s">
        <v>11213</v>
      </c>
      <c r="B730" t="s">
        <v>11213</v>
      </c>
      <c r="C730" t="s">
        <v>6019</v>
      </c>
      <c r="F730">
        <v>1</v>
      </c>
      <c r="G730" s="1" t="s">
        <v>846</v>
      </c>
      <c r="I730" s="1" t="s">
        <v>11473</v>
      </c>
      <c r="O730" t="s">
        <v>22</v>
      </c>
    </row>
    <row r="731" spans="1:15">
      <c r="A731" t="s">
        <v>8009</v>
      </c>
      <c r="B731" t="s">
        <v>8009</v>
      </c>
      <c r="C731" t="s">
        <v>8010</v>
      </c>
      <c r="F731">
        <v>1</v>
      </c>
      <c r="G731" s="1" t="s">
        <v>847</v>
      </c>
      <c r="I731" s="1" t="s">
        <v>11473</v>
      </c>
      <c r="O731" t="s">
        <v>22</v>
      </c>
    </row>
    <row r="732" spans="1:15">
      <c r="A732" t="s">
        <v>7760</v>
      </c>
      <c r="B732" t="s">
        <v>7760</v>
      </c>
      <c r="C732" t="s">
        <v>4491</v>
      </c>
      <c r="F732">
        <v>1</v>
      </c>
      <c r="G732" s="1" t="s">
        <v>848</v>
      </c>
      <c r="I732" s="1" t="s">
        <v>11473</v>
      </c>
      <c r="O732" t="s">
        <v>22</v>
      </c>
    </row>
    <row r="733" spans="1:15">
      <c r="A733" t="s">
        <v>11455</v>
      </c>
      <c r="B733" t="s">
        <v>11455</v>
      </c>
      <c r="C733" t="s">
        <v>4491</v>
      </c>
      <c r="F733">
        <v>1</v>
      </c>
      <c r="G733" s="1" t="s">
        <v>849</v>
      </c>
      <c r="I733" s="1" t="s">
        <v>11473</v>
      </c>
      <c r="O733" t="s">
        <v>22</v>
      </c>
    </row>
    <row r="734" spans="1:15">
      <c r="A734" t="s">
        <v>11398</v>
      </c>
      <c r="B734" t="s">
        <v>11398</v>
      </c>
      <c r="C734" t="s">
        <v>11399</v>
      </c>
      <c r="F734">
        <v>1</v>
      </c>
      <c r="G734" s="1" t="s">
        <v>850</v>
      </c>
      <c r="I734" s="1" t="s">
        <v>11473</v>
      </c>
      <c r="O734" t="s">
        <v>22</v>
      </c>
    </row>
    <row r="735" spans="1:15">
      <c r="A735" t="s">
        <v>7904</v>
      </c>
      <c r="B735" t="s">
        <v>7904</v>
      </c>
      <c r="C735" t="s">
        <v>5198</v>
      </c>
      <c r="F735">
        <v>1</v>
      </c>
      <c r="G735" s="1" t="s">
        <v>851</v>
      </c>
      <c r="I735" s="1" t="s">
        <v>11473</v>
      </c>
      <c r="O735" t="s">
        <v>22</v>
      </c>
    </row>
    <row r="736" spans="1:15">
      <c r="A736" t="s">
        <v>10364</v>
      </c>
      <c r="B736" t="s">
        <v>10364</v>
      </c>
      <c r="C736" t="s">
        <v>4097</v>
      </c>
      <c r="F736">
        <v>1</v>
      </c>
      <c r="G736" s="1" t="s">
        <v>852</v>
      </c>
      <c r="I736" s="1" t="s">
        <v>11473</v>
      </c>
      <c r="O736" t="s">
        <v>22</v>
      </c>
    </row>
    <row r="737" spans="1:15">
      <c r="A737" t="s">
        <v>10106</v>
      </c>
      <c r="B737" t="s">
        <v>10106</v>
      </c>
      <c r="C737" t="s">
        <v>4503</v>
      </c>
      <c r="F737">
        <v>1</v>
      </c>
      <c r="G737" s="1" t="s">
        <v>853</v>
      </c>
      <c r="I737" s="1" t="s">
        <v>11473</v>
      </c>
      <c r="O737" t="s">
        <v>22</v>
      </c>
    </row>
    <row r="738" spans="1:15">
      <c r="A738" t="s">
        <v>7411</v>
      </c>
      <c r="B738" t="s">
        <v>7411</v>
      </c>
      <c r="C738" t="s">
        <v>7412</v>
      </c>
      <c r="F738">
        <v>1</v>
      </c>
      <c r="G738" s="1" t="s">
        <v>854</v>
      </c>
      <c r="I738" s="1" t="s">
        <v>11473</v>
      </c>
      <c r="O738" t="s">
        <v>22</v>
      </c>
    </row>
    <row r="739" spans="1:15">
      <c r="A739" t="s">
        <v>11051</v>
      </c>
      <c r="B739" t="s">
        <v>11051</v>
      </c>
      <c r="C739" t="s">
        <v>11052</v>
      </c>
      <c r="F739">
        <v>1</v>
      </c>
      <c r="G739" s="1" t="s">
        <v>855</v>
      </c>
      <c r="I739" s="1" t="s">
        <v>11473</v>
      </c>
      <c r="O739" t="s">
        <v>22</v>
      </c>
    </row>
    <row r="740" spans="1:15">
      <c r="A740" t="s">
        <v>11371</v>
      </c>
      <c r="B740" t="s">
        <v>11371</v>
      </c>
      <c r="C740" t="s">
        <v>4135</v>
      </c>
      <c r="F740">
        <v>1</v>
      </c>
      <c r="G740" s="1" t="s">
        <v>856</v>
      </c>
      <c r="I740" s="1" t="s">
        <v>11473</v>
      </c>
      <c r="O740" t="s">
        <v>22</v>
      </c>
    </row>
    <row r="741" spans="1:15">
      <c r="A741" t="s">
        <v>7999</v>
      </c>
      <c r="B741" t="s">
        <v>7999</v>
      </c>
      <c r="C741" t="s">
        <v>8000</v>
      </c>
      <c r="F741">
        <v>1</v>
      </c>
      <c r="G741" s="1" t="s">
        <v>857</v>
      </c>
      <c r="I741" s="1" t="s">
        <v>11473</v>
      </c>
      <c r="O741" t="s">
        <v>22</v>
      </c>
    </row>
    <row r="742" spans="1:15">
      <c r="A742" t="s">
        <v>8985</v>
      </c>
      <c r="B742" t="s">
        <v>8985</v>
      </c>
      <c r="C742" t="s">
        <v>8986</v>
      </c>
      <c r="F742">
        <v>1</v>
      </c>
      <c r="G742" s="1" t="s">
        <v>858</v>
      </c>
      <c r="I742" s="1" t="s">
        <v>11473</v>
      </c>
      <c r="O742" t="s">
        <v>22</v>
      </c>
    </row>
    <row r="743" spans="1:15">
      <c r="A743" t="s">
        <v>8779</v>
      </c>
      <c r="B743" t="s">
        <v>8779</v>
      </c>
      <c r="C743" t="s">
        <v>8780</v>
      </c>
      <c r="F743">
        <v>1</v>
      </c>
      <c r="G743" s="1" t="s">
        <v>859</v>
      </c>
      <c r="I743" s="1" t="s">
        <v>11473</v>
      </c>
      <c r="O743" t="s">
        <v>22</v>
      </c>
    </row>
    <row r="744" spans="1:15">
      <c r="A744" t="s">
        <v>7025</v>
      </c>
      <c r="B744" t="s">
        <v>7025</v>
      </c>
      <c r="C744" t="s">
        <v>4551</v>
      </c>
      <c r="F744">
        <v>1</v>
      </c>
      <c r="G744" s="1" t="s">
        <v>860</v>
      </c>
      <c r="I744" s="1" t="s">
        <v>11473</v>
      </c>
      <c r="O744" t="s">
        <v>22</v>
      </c>
    </row>
    <row r="745" spans="1:15">
      <c r="A745" t="s">
        <v>6266</v>
      </c>
      <c r="B745" t="s">
        <v>6266</v>
      </c>
      <c r="C745" t="s">
        <v>5177</v>
      </c>
      <c r="F745">
        <v>1</v>
      </c>
      <c r="G745" s="1" t="s">
        <v>861</v>
      </c>
      <c r="I745" s="1" t="s">
        <v>11473</v>
      </c>
      <c r="O745" t="s">
        <v>22</v>
      </c>
    </row>
    <row r="746" spans="1:15">
      <c r="A746" t="s">
        <v>6693</v>
      </c>
      <c r="B746" t="s">
        <v>6693</v>
      </c>
      <c r="C746" t="s">
        <v>5177</v>
      </c>
      <c r="F746">
        <v>1</v>
      </c>
      <c r="G746" s="1" t="s">
        <v>862</v>
      </c>
      <c r="I746" s="1" t="s">
        <v>11473</v>
      </c>
      <c r="O746" t="s">
        <v>22</v>
      </c>
    </row>
    <row r="747" spans="1:15">
      <c r="A747" t="s">
        <v>8844</v>
      </c>
      <c r="B747" t="s">
        <v>8844</v>
      </c>
      <c r="C747" t="s">
        <v>8845</v>
      </c>
      <c r="F747">
        <v>1</v>
      </c>
      <c r="G747" s="1" t="s">
        <v>863</v>
      </c>
      <c r="I747" s="1" t="s">
        <v>11473</v>
      </c>
      <c r="O747" t="s">
        <v>22</v>
      </c>
    </row>
    <row r="748" spans="1:15">
      <c r="A748" t="s">
        <v>11147</v>
      </c>
      <c r="B748" t="s">
        <v>11147</v>
      </c>
      <c r="C748" t="s">
        <v>11148</v>
      </c>
      <c r="F748">
        <v>1</v>
      </c>
      <c r="G748" s="1" t="s">
        <v>864</v>
      </c>
      <c r="I748" s="1" t="s">
        <v>11473</v>
      </c>
      <c r="O748" t="s">
        <v>22</v>
      </c>
    </row>
    <row r="749" spans="1:15">
      <c r="A749" t="s">
        <v>7981</v>
      </c>
      <c r="B749" t="s">
        <v>7981</v>
      </c>
      <c r="C749" t="s">
        <v>5098</v>
      </c>
      <c r="F749">
        <v>1</v>
      </c>
      <c r="G749" s="1" t="s">
        <v>865</v>
      </c>
      <c r="I749" s="1" t="s">
        <v>11473</v>
      </c>
      <c r="O749" t="s">
        <v>22</v>
      </c>
    </row>
    <row r="750" spans="1:15">
      <c r="A750" t="s">
        <v>8783</v>
      </c>
      <c r="B750" t="s">
        <v>8783</v>
      </c>
      <c r="C750" t="s">
        <v>8784</v>
      </c>
      <c r="F750">
        <v>1</v>
      </c>
      <c r="G750" s="1" t="s">
        <v>866</v>
      </c>
      <c r="I750" s="1" t="s">
        <v>11473</v>
      </c>
      <c r="O750" t="s">
        <v>22</v>
      </c>
    </row>
    <row r="751" spans="1:15">
      <c r="A751" t="s">
        <v>8855</v>
      </c>
      <c r="B751" t="s">
        <v>8855</v>
      </c>
      <c r="C751" t="s">
        <v>8784</v>
      </c>
      <c r="F751">
        <v>1</v>
      </c>
      <c r="G751" s="1" t="s">
        <v>867</v>
      </c>
      <c r="I751" s="1" t="s">
        <v>11473</v>
      </c>
      <c r="O751" t="s">
        <v>22</v>
      </c>
    </row>
    <row r="752" spans="1:15">
      <c r="A752" t="s">
        <v>8030</v>
      </c>
      <c r="B752" t="s">
        <v>8030</v>
      </c>
      <c r="C752" t="s">
        <v>8031</v>
      </c>
      <c r="F752">
        <v>1</v>
      </c>
      <c r="G752" s="1" t="s">
        <v>868</v>
      </c>
      <c r="I752" s="1" t="s">
        <v>11473</v>
      </c>
      <c r="O752" t="s">
        <v>22</v>
      </c>
    </row>
    <row r="753" spans="1:15">
      <c r="A753" t="s">
        <v>9199</v>
      </c>
      <c r="B753" t="s">
        <v>9199</v>
      </c>
      <c r="C753" t="s">
        <v>9200</v>
      </c>
      <c r="F753">
        <v>1</v>
      </c>
      <c r="G753" s="1" t="s">
        <v>869</v>
      </c>
      <c r="I753" s="1" t="s">
        <v>11473</v>
      </c>
      <c r="O753" t="s">
        <v>22</v>
      </c>
    </row>
    <row r="754" spans="1:15">
      <c r="A754" t="s">
        <v>4179</v>
      </c>
      <c r="B754" t="s">
        <v>4179</v>
      </c>
      <c r="C754" t="s">
        <v>10097</v>
      </c>
      <c r="F754">
        <v>1</v>
      </c>
      <c r="G754" s="1" t="s">
        <v>870</v>
      </c>
      <c r="I754" s="1" t="s">
        <v>11473</v>
      </c>
      <c r="O754" t="s">
        <v>22</v>
      </c>
    </row>
    <row r="755" spans="1:15">
      <c r="A755" t="s">
        <v>11159</v>
      </c>
      <c r="B755" t="s">
        <v>11159</v>
      </c>
      <c r="C755" t="s">
        <v>10097</v>
      </c>
      <c r="F755">
        <v>1</v>
      </c>
      <c r="G755" s="1" t="s">
        <v>871</v>
      </c>
      <c r="I755" s="1" t="s">
        <v>11473</v>
      </c>
      <c r="O755" t="s">
        <v>22</v>
      </c>
    </row>
    <row r="756" spans="1:15">
      <c r="A756" t="s">
        <v>9218</v>
      </c>
      <c r="B756" t="s">
        <v>9218</v>
      </c>
      <c r="C756" t="s">
        <v>9219</v>
      </c>
      <c r="F756">
        <v>1</v>
      </c>
      <c r="G756" s="1" t="s">
        <v>872</v>
      </c>
      <c r="I756" s="1" t="s">
        <v>11473</v>
      </c>
      <c r="O756" t="s">
        <v>22</v>
      </c>
    </row>
    <row r="757" spans="1:15">
      <c r="A757" t="s">
        <v>9904</v>
      </c>
      <c r="B757" t="s">
        <v>9904</v>
      </c>
      <c r="C757" t="s">
        <v>5321</v>
      </c>
      <c r="F757">
        <v>1</v>
      </c>
      <c r="G757" s="1" t="s">
        <v>873</v>
      </c>
      <c r="I757" s="1" t="s">
        <v>11473</v>
      </c>
      <c r="O757" t="s">
        <v>22</v>
      </c>
    </row>
    <row r="758" spans="1:15">
      <c r="A758" t="s">
        <v>10622</v>
      </c>
      <c r="B758" t="s">
        <v>10622</v>
      </c>
      <c r="C758" t="s">
        <v>10623</v>
      </c>
      <c r="F758">
        <v>1</v>
      </c>
      <c r="G758" s="1" t="s">
        <v>874</v>
      </c>
      <c r="I758" s="1" t="s">
        <v>11473</v>
      </c>
      <c r="O758" t="s">
        <v>22</v>
      </c>
    </row>
    <row r="759" spans="1:15">
      <c r="A759" t="s">
        <v>9568</v>
      </c>
      <c r="B759" t="s">
        <v>9568</v>
      </c>
      <c r="C759" t="s">
        <v>9569</v>
      </c>
      <c r="F759">
        <v>1</v>
      </c>
      <c r="G759" s="1" t="s">
        <v>875</v>
      </c>
      <c r="I759" s="1" t="s">
        <v>11473</v>
      </c>
      <c r="O759" t="s">
        <v>22</v>
      </c>
    </row>
    <row r="760" spans="1:15">
      <c r="A760" t="s">
        <v>6409</v>
      </c>
      <c r="B760" t="s">
        <v>6409</v>
      </c>
      <c r="C760" t="s">
        <v>6410</v>
      </c>
      <c r="F760">
        <v>1</v>
      </c>
      <c r="G760" s="1" t="s">
        <v>876</v>
      </c>
      <c r="I760" s="1" t="s">
        <v>11473</v>
      </c>
      <c r="O760" t="s">
        <v>22</v>
      </c>
    </row>
    <row r="761" spans="1:15">
      <c r="A761" t="s">
        <v>4765</v>
      </c>
      <c r="B761" t="s">
        <v>4765</v>
      </c>
      <c r="C761" t="s">
        <v>5225</v>
      </c>
      <c r="F761">
        <v>1</v>
      </c>
      <c r="G761" s="1" t="s">
        <v>877</v>
      </c>
      <c r="I761" s="1" t="s">
        <v>11473</v>
      </c>
      <c r="O761" t="s">
        <v>22</v>
      </c>
    </row>
    <row r="762" spans="1:15">
      <c r="A762" t="s">
        <v>10542</v>
      </c>
      <c r="B762" t="s">
        <v>10542</v>
      </c>
      <c r="C762" t="s">
        <v>5225</v>
      </c>
      <c r="F762">
        <v>1</v>
      </c>
      <c r="G762" s="1" t="s">
        <v>878</v>
      </c>
      <c r="I762" s="1" t="s">
        <v>11473</v>
      </c>
      <c r="O762" t="s">
        <v>22</v>
      </c>
    </row>
    <row r="763" spans="1:15">
      <c r="A763" t="s">
        <v>6984</v>
      </c>
      <c r="B763" t="s">
        <v>6984</v>
      </c>
      <c r="C763" t="s">
        <v>6985</v>
      </c>
      <c r="F763">
        <v>1</v>
      </c>
      <c r="G763" s="1" t="s">
        <v>879</v>
      </c>
      <c r="I763" s="1" t="s">
        <v>11473</v>
      </c>
      <c r="O763" t="s">
        <v>22</v>
      </c>
    </row>
    <row r="764" spans="1:15">
      <c r="A764" t="s">
        <v>10920</v>
      </c>
      <c r="B764" t="s">
        <v>10920</v>
      </c>
      <c r="C764" t="s">
        <v>10921</v>
      </c>
      <c r="F764">
        <v>1</v>
      </c>
      <c r="G764" s="1" t="s">
        <v>880</v>
      </c>
      <c r="I764" s="1" t="s">
        <v>11473</v>
      </c>
      <c r="O764" t="s">
        <v>22</v>
      </c>
    </row>
    <row r="765" spans="1:15">
      <c r="A765" t="s">
        <v>8999</v>
      </c>
      <c r="B765" t="s">
        <v>8999</v>
      </c>
      <c r="C765" t="s">
        <v>9000</v>
      </c>
      <c r="F765">
        <v>1</v>
      </c>
      <c r="G765" s="1" t="s">
        <v>881</v>
      </c>
      <c r="I765" s="1" t="s">
        <v>11473</v>
      </c>
      <c r="O765" t="s">
        <v>22</v>
      </c>
    </row>
    <row r="766" spans="1:15">
      <c r="A766" t="s">
        <v>7794</v>
      </c>
      <c r="B766" t="s">
        <v>7794</v>
      </c>
      <c r="C766" t="s">
        <v>7795</v>
      </c>
      <c r="F766">
        <v>1</v>
      </c>
      <c r="G766" s="1" t="s">
        <v>882</v>
      </c>
      <c r="I766" s="1" t="s">
        <v>11473</v>
      </c>
      <c r="O766" t="s">
        <v>22</v>
      </c>
    </row>
    <row r="767" spans="1:15">
      <c r="A767" t="s">
        <v>11025</v>
      </c>
      <c r="B767" t="s">
        <v>11025</v>
      </c>
      <c r="C767" t="s">
        <v>4550</v>
      </c>
      <c r="F767">
        <v>1</v>
      </c>
      <c r="G767" s="1" t="s">
        <v>883</v>
      </c>
      <c r="I767" s="1" t="s">
        <v>11473</v>
      </c>
      <c r="O767" t="s">
        <v>22</v>
      </c>
    </row>
    <row r="768" spans="1:15">
      <c r="A768" t="s">
        <v>11429</v>
      </c>
      <c r="B768" t="s">
        <v>11429</v>
      </c>
      <c r="C768" t="s">
        <v>4550</v>
      </c>
      <c r="F768">
        <v>1</v>
      </c>
      <c r="G768" s="1" t="s">
        <v>884</v>
      </c>
      <c r="I768" s="1" t="s">
        <v>11473</v>
      </c>
      <c r="O768" t="s">
        <v>22</v>
      </c>
    </row>
    <row r="769" spans="1:15">
      <c r="A769" t="s">
        <v>9365</v>
      </c>
      <c r="B769" t="s">
        <v>9365</v>
      </c>
      <c r="C769" t="s">
        <v>9366</v>
      </c>
      <c r="F769">
        <v>1</v>
      </c>
      <c r="G769" s="1" t="s">
        <v>885</v>
      </c>
      <c r="I769" s="1" t="s">
        <v>11473</v>
      </c>
      <c r="O769" t="s">
        <v>22</v>
      </c>
    </row>
    <row r="770" spans="1:15">
      <c r="A770" t="s">
        <v>10833</v>
      </c>
      <c r="B770" t="s">
        <v>10833</v>
      </c>
      <c r="C770" t="s">
        <v>10834</v>
      </c>
      <c r="F770">
        <v>1</v>
      </c>
      <c r="G770" s="1" t="s">
        <v>886</v>
      </c>
      <c r="I770" s="1" t="s">
        <v>11473</v>
      </c>
      <c r="O770" t="s">
        <v>22</v>
      </c>
    </row>
    <row r="771" spans="1:15">
      <c r="A771" t="s">
        <v>11283</v>
      </c>
      <c r="B771" t="s">
        <v>11283</v>
      </c>
      <c r="C771" t="s">
        <v>10834</v>
      </c>
      <c r="F771">
        <v>1</v>
      </c>
      <c r="G771" s="1" t="s">
        <v>887</v>
      </c>
      <c r="I771" s="1" t="s">
        <v>11473</v>
      </c>
      <c r="O771" t="s">
        <v>22</v>
      </c>
    </row>
    <row r="772" spans="1:15">
      <c r="A772" t="s">
        <v>10247</v>
      </c>
      <c r="B772" t="s">
        <v>10247</v>
      </c>
      <c r="C772" t="s">
        <v>10248</v>
      </c>
      <c r="F772">
        <v>1</v>
      </c>
      <c r="G772" s="1" t="s">
        <v>888</v>
      </c>
      <c r="I772" s="1" t="s">
        <v>11473</v>
      </c>
      <c r="O772" t="s">
        <v>22</v>
      </c>
    </row>
    <row r="773" spans="1:15">
      <c r="A773" t="s">
        <v>8836</v>
      </c>
      <c r="B773" t="s">
        <v>8836</v>
      </c>
      <c r="C773" t="s">
        <v>8837</v>
      </c>
      <c r="F773">
        <v>1</v>
      </c>
      <c r="G773" s="1" t="s">
        <v>889</v>
      </c>
      <c r="I773" s="1" t="s">
        <v>11473</v>
      </c>
      <c r="O773" t="s">
        <v>22</v>
      </c>
    </row>
    <row r="774" spans="1:15">
      <c r="A774" t="s">
        <v>8003</v>
      </c>
      <c r="B774" t="s">
        <v>8003</v>
      </c>
      <c r="C774" t="s">
        <v>8004</v>
      </c>
      <c r="F774">
        <v>1</v>
      </c>
      <c r="G774" s="1" t="s">
        <v>890</v>
      </c>
      <c r="I774" s="1" t="s">
        <v>11473</v>
      </c>
      <c r="O774" t="s">
        <v>22</v>
      </c>
    </row>
    <row r="775" spans="1:15">
      <c r="A775" t="s">
        <v>8065</v>
      </c>
      <c r="B775" t="s">
        <v>8065</v>
      </c>
      <c r="C775" t="s">
        <v>8066</v>
      </c>
      <c r="F775">
        <v>1</v>
      </c>
      <c r="G775" s="1" t="s">
        <v>891</v>
      </c>
      <c r="I775" s="1" t="s">
        <v>11473</v>
      </c>
      <c r="O775" t="s">
        <v>22</v>
      </c>
    </row>
    <row r="776" spans="1:15">
      <c r="A776" t="s">
        <v>9006</v>
      </c>
      <c r="B776" t="s">
        <v>9006</v>
      </c>
      <c r="C776" t="s">
        <v>9007</v>
      </c>
      <c r="F776">
        <v>1</v>
      </c>
      <c r="G776" s="1" t="s">
        <v>892</v>
      </c>
      <c r="I776" s="1" t="s">
        <v>11473</v>
      </c>
      <c r="O776" t="s">
        <v>22</v>
      </c>
    </row>
    <row r="777" spans="1:15">
      <c r="A777" t="s">
        <v>9014</v>
      </c>
      <c r="B777" t="s">
        <v>9014</v>
      </c>
      <c r="C777" t="s">
        <v>9015</v>
      </c>
      <c r="F777">
        <v>1</v>
      </c>
      <c r="G777" s="1" t="s">
        <v>893</v>
      </c>
      <c r="I777" s="1" t="s">
        <v>11473</v>
      </c>
      <c r="O777" t="s">
        <v>22</v>
      </c>
    </row>
    <row r="778" spans="1:15">
      <c r="A778" t="s">
        <v>8044</v>
      </c>
      <c r="B778" t="s">
        <v>8044</v>
      </c>
      <c r="C778" t="s">
        <v>8045</v>
      </c>
      <c r="F778">
        <v>1</v>
      </c>
      <c r="G778" s="1" t="s">
        <v>894</v>
      </c>
      <c r="I778" s="1" t="s">
        <v>11473</v>
      </c>
      <c r="O778" t="s">
        <v>22</v>
      </c>
    </row>
    <row r="779" spans="1:15">
      <c r="A779" t="s">
        <v>10528</v>
      </c>
      <c r="B779" t="s">
        <v>10528</v>
      </c>
      <c r="C779" t="s">
        <v>4545</v>
      </c>
      <c r="F779">
        <v>1</v>
      </c>
      <c r="G779" s="1" t="s">
        <v>895</v>
      </c>
      <c r="I779" s="1" t="s">
        <v>11473</v>
      </c>
      <c r="O779" t="s">
        <v>22</v>
      </c>
    </row>
    <row r="780" spans="1:15">
      <c r="A780" t="s">
        <v>6465</v>
      </c>
      <c r="B780" t="s">
        <v>6465</v>
      </c>
      <c r="C780" t="s">
        <v>6466</v>
      </c>
      <c r="F780">
        <v>1</v>
      </c>
      <c r="G780" s="1" t="s">
        <v>896</v>
      </c>
      <c r="I780" s="1" t="s">
        <v>11473</v>
      </c>
      <c r="O780" t="s">
        <v>22</v>
      </c>
    </row>
    <row r="781" spans="1:15">
      <c r="A781" t="s">
        <v>10428</v>
      </c>
      <c r="B781" t="s">
        <v>10428</v>
      </c>
      <c r="C781" t="s">
        <v>6466</v>
      </c>
      <c r="F781">
        <v>1</v>
      </c>
      <c r="G781" s="1" t="s">
        <v>897</v>
      </c>
      <c r="I781" s="1" t="s">
        <v>11473</v>
      </c>
      <c r="O781" t="s">
        <v>22</v>
      </c>
    </row>
    <row r="782" spans="1:15">
      <c r="A782" t="s">
        <v>10399</v>
      </c>
      <c r="B782" t="s">
        <v>10399</v>
      </c>
      <c r="C782" t="s">
        <v>4620</v>
      </c>
      <c r="F782">
        <v>1</v>
      </c>
      <c r="G782" s="1" t="s">
        <v>898</v>
      </c>
      <c r="I782" s="1" t="s">
        <v>11473</v>
      </c>
      <c r="O782" t="s">
        <v>22</v>
      </c>
    </row>
    <row r="783" spans="1:15">
      <c r="A783" t="s">
        <v>8087</v>
      </c>
      <c r="B783" t="s">
        <v>8087</v>
      </c>
      <c r="C783" t="s">
        <v>5399</v>
      </c>
      <c r="F783">
        <v>1</v>
      </c>
      <c r="G783" s="1" t="s">
        <v>899</v>
      </c>
      <c r="I783" s="1" t="s">
        <v>11473</v>
      </c>
      <c r="O783" t="s">
        <v>22</v>
      </c>
    </row>
    <row r="784" spans="1:15">
      <c r="A784" t="s">
        <v>9685</v>
      </c>
      <c r="B784" t="s">
        <v>9685</v>
      </c>
      <c r="C784" t="s">
        <v>9686</v>
      </c>
      <c r="F784">
        <v>1</v>
      </c>
      <c r="G784" s="1" t="s">
        <v>900</v>
      </c>
      <c r="I784" s="1" t="s">
        <v>11473</v>
      </c>
      <c r="O784" t="s">
        <v>22</v>
      </c>
    </row>
    <row r="785" spans="1:15">
      <c r="A785" t="s">
        <v>7857</v>
      </c>
      <c r="B785" t="s">
        <v>7857</v>
      </c>
      <c r="C785" t="s">
        <v>7858</v>
      </c>
      <c r="F785">
        <v>1</v>
      </c>
      <c r="G785" s="1" t="s">
        <v>901</v>
      </c>
      <c r="I785" s="1" t="s">
        <v>11473</v>
      </c>
      <c r="O785" t="s">
        <v>22</v>
      </c>
    </row>
    <row r="786" spans="1:15">
      <c r="A786" t="s">
        <v>8991</v>
      </c>
      <c r="B786" t="s">
        <v>8991</v>
      </c>
      <c r="C786" t="s">
        <v>8992</v>
      </c>
      <c r="F786">
        <v>1</v>
      </c>
      <c r="G786" s="1" t="s">
        <v>902</v>
      </c>
      <c r="I786" s="1" t="s">
        <v>11473</v>
      </c>
      <c r="O786" t="s">
        <v>22</v>
      </c>
    </row>
    <row r="787" spans="1:15">
      <c r="A787" t="s">
        <v>4616</v>
      </c>
      <c r="B787" t="s">
        <v>4616</v>
      </c>
      <c r="C787" t="s">
        <v>8992</v>
      </c>
      <c r="F787">
        <v>1</v>
      </c>
      <c r="G787" s="1" t="s">
        <v>903</v>
      </c>
      <c r="I787" s="1" t="s">
        <v>11473</v>
      </c>
      <c r="O787" t="s">
        <v>22</v>
      </c>
    </row>
    <row r="788" spans="1:15">
      <c r="A788" t="s">
        <v>8982</v>
      </c>
      <c r="B788" t="s">
        <v>8982</v>
      </c>
      <c r="C788" t="s">
        <v>8983</v>
      </c>
      <c r="F788">
        <v>1</v>
      </c>
      <c r="G788" s="1" t="s">
        <v>904</v>
      </c>
      <c r="I788" s="1" t="s">
        <v>11473</v>
      </c>
      <c r="O788" t="s">
        <v>22</v>
      </c>
    </row>
    <row r="789" spans="1:15">
      <c r="A789" t="s">
        <v>7398</v>
      </c>
      <c r="B789" t="s">
        <v>7398</v>
      </c>
      <c r="C789" t="s">
        <v>7399</v>
      </c>
      <c r="F789">
        <v>1</v>
      </c>
      <c r="G789" s="1" t="s">
        <v>905</v>
      </c>
      <c r="I789" s="1" t="s">
        <v>11473</v>
      </c>
      <c r="O789" t="s">
        <v>22</v>
      </c>
    </row>
    <row r="790" spans="1:15">
      <c r="A790" t="s">
        <v>9648</v>
      </c>
      <c r="B790" t="s">
        <v>9648</v>
      </c>
      <c r="C790" t="s">
        <v>9649</v>
      </c>
      <c r="F790">
        <v>1</v>
      </c>
      <c r="G790" s="1" t="s">
        <v>906</v>
      </c>
      <c r="I790" s="1" t="s">
        <v>11473</v>
      </c>
      <c r="O790" t="s">
        <v>22</v>
      </c>
    </row>
    <row r="791" spans="1:15">
      <c r="A791" t="s">
        <v>10849</v>
      </c>
      <c r="B791" t="s">
        <v>10849</v>
      </c>
      <c r="C791" t="s">
        <v>9649</v>
      </c>
      <c r="F791">
        <v>1</v>
      </c>
      <c r="G791" s="1" t="s">
        <v>907</v>
      </c>
      <c r="I791" s="1" t="s">
        <v>11473</v>
      </c>
      <c r="O791" t="s">
        <v>22</v>
      </c>
    </row>
    <row r="792" spans="1:15">
      <c r="A792" t="s">
        <v>7879</v>
      </c>
      <c r="B792" t="s">
        <v>7879</v>
      </c>
      <c r="C792" t="s">
        <v>4618</v>
      </c>
      <c r="F792">
        <v>1</v>
      </c>
      <c r="G792" s="1" t="s">
        <v>908</v>
      </c>
      <c r="I792" s="1" t="s">
        <v>11473</v>
      </c>
      <c r="O792" t="s">
        <v>22</v>
      </c>
    </row>
    <row r="793" spans="1:15">
      <c r="A793" t="s">
        <v>8923</v>
      </c>
      <c r="B793" t="s">
        <v>8923</v>
      </c>
      <c r="C793" t="s">
        <v>8924</v>
      </c>
      <c r="F793">
        <v>1</v>
      </c>
      <c r="G793" s="1" t="s">
        <v>909</v>
      </c>
      <c r="I793" s="1" t="s">
        <v>11473</v>
      </c>
      <c r="O793" t="s">
        <v>22</v>
      </c>
    </row>
    <row r="794" spans="1:15">
      <c r="A794" t="s">
        <v>8038</v>
      </c>
      <c r="B794" t="s">
        <v>8038</v>
      </c>
      <c r="C794" t="s">
        <v>8039</v>
      </c>
      <c r="F794">
        <v>1</v>
      </c>
      <c r="G794" s="1" t="s">
        <v>910</v>
      </c>
      <c r="I794" s="1" t="s">
        <v>11473</v>
      </c>
      <c r="O794" t="s">
        <v>22</v>
      </c>
    </row>
    <row r="795" spans="1:15">
      <c r="A795" t="s">
        <v>10976</v>
      </c>
      <c r="B795" t="s">
        <v>10976</v>
      </c>
      <c r="C795" t="s">
        <v>10977</v>
      </c>
      <c r="F795">
        <v>1</v>
      </c>
      <c r="G795" s="1" t="s">
        <v>911</v>
      </c>
      <c r="I795" s="1" t="s">
        <v>11473</v>
      </c>
      <c r="O795" t="s">
        <v>22</v>
      </c>
    </row>
    <row r="796" spans="1:15">
      <c r="A796" t="s">
        <v>9657</v>
      </c>
      <c r="B796" t="s">
        <v>9657</v>
      </c>
      <c r="C796" t="s">
        <v>4585</v>
      </c>
      <c r="F796">
        <v>1</v>
      </c>
      <c r="G796" s="1" t="s">
        <v>912</v>
      </c>
      <c r="I796" s="1" t="s">
        <v>11473</v>
      </c>
      <c r="O796" t="s">
        <v>22</v>
      </c>
    </row>
    <row r="797" spans="1:15">
      <c r="A797" t="s">
        <v>11005</v>
      </c>
      <c r="B797" t="s">
        <v>11005</v>
      </c>
      <c r="C797" t="s">
        <v>4585</v>
      </c>
      <c r="F797">
        <v>1</v>
      </c>
      <c r="G797" s="1" t="s">
        <v>913</v>
      </c>
      <c r="I797" s="1" t="s">
        <v>11473</v>
      </c>
      <c r="O797" t="s">
        <v>22</v>
      </c>
    </row>
    <row r="798" spans="1:15">
      <c r="A798" t="s">
        <v>10071</v>
      </c>
      <c r="B798" t="s">
        <v>10071</v>
      </c>
      <c r="C798" t="s">
        <v>5337</v>
      </c>
      <c r="F798">
        <v>1</v>
      </c>
      <c r="G798" s="1" t="s">
        <v>914</v>
      </c>
      <c r="I798" s="1" t="s">
        <v>11473</v>
      </c>
      <c r="O798" t="s">
        <v>22</v>
      </c>
    </row>
    <row r="799" spans="1:15">
      <c r="A799" t="s">
        <v>11461</v>
      </c>
      <c r="B799" t="s">
        <v>11461</v>
      </c>
      <c r="C799" t="s">
        <v>5337</v>
      </c>
      <c r="F799">
        <v>1</v>
      </c>
      <c r="G799" s="1" t="s">
        <v>915</v>
      </c>
      <c r="I799" s="1" t="s">
        <v>11473</v>
      </c>
      <c r="O799" t="s">
        <v>22</v>
      </c>
    </row>
    <row r="800" spans="1:15">
      <c r="A800" t="s">
        <v>6733</v>
      </c>
      <c r="B800" t="s">
        <v>6733</v>
      </c>
      <c r="C800" t="s">
        <v>6734</v>
      </c>
      <c r="F800">
        <v>1</v>
      </c>
      <c r="G800" s="1" t="s">
        <v>916</v>
      </c>
      <c r="I800" s="1" t="s">
        <v>11473</v>
      </c>
      <c r="O800" t="s">
        <v>22</v>
      </c>
    </row>
    <row r="801" spans="1:15">
      <c r="A801" t="s">
        <v>5806</v>
      </c>
      <c r="B801" t="s">
        <v>5806</v>
      </c>
      <c r="C801" t="s">
        <v>4066</v>
      </c>
      <c r="F801">
        <v>1</v>
      </c>
      <c r="G801" s="1" t="s">
        <v>917</v>
      </c>
      <c r="I801" s="1" t="s">
        <v>11473</v>
      </c>
      <c r="O801" t="s">
        <v>22</v>
      </c>
    </row>
    <row r="802" spans="1:15">
      <c r="A802" t="s">
        <v>10366</v>
      </c>
      <c r="B802" t="s">
        <v>10366</v>
      </c>
      <c r="C802" t="s">
        <v>4066</v>
      </c>
      <c r="F802">
        <v>1</v>
      </c>
      <c r="G802" s="1" t="s">
        <v>918</v>
      </c>
      <c r="I802" s="1" t="s">
        <v>11473</v>
      </c>
      <c r="O802" t="s">
        <v>22</v>
      </c>
    </row>
    <row r="803" spans="1:15">
      <c r="A803" t="s">
        <v>5642</v>
      </c>
      <c r="B803" t="s">
        <v>5642</v>
      </c>
      <c r="C803" t="s">
        <v>5643</v>
      </c>
      <c r="F803">
        <v>1</v>
      </c>
      <c r="G803" s="1" t="s">
        <v>919</v>
      </c>
      <c r="I803" s="1" t="s">
        <v>11473</v>
      </c>
      <c r="O803" t="s">
        <v>22</v>
      </c>
    </row>
    <row r="804" spans="1:15">
      <c r="A804" t="s">
        <v>7605</v>
      </c>
      <c r="B804" t="s">
        <v>7605</v>
      </c>
      <c r="C804" t="s">
        <v>5643</v>
      </c>
      <c r="F804">
        <v>1</v>
      </c>
      <c r="G804" s="1" t="s">
        <v>920</v>
      </c>
      <c r="I804" s="1" t="s">
        <v>11473</v>
      </c>
      <c r="O804" t="s">
        <v>22</v>
      </c>
    </row>
    <row r="805" spans="1:15">
      <c r="A805" t="s">
        <v>10295</v>
      </c>
      <c r="B805" t="s">
        <v>10295</v>
      </c>
      <c r="C805" t="s">
        <v>5643</v>
      </c>
      <c r="F805">
        <v>1</v>
      </c>
      <c r="G805" s="1" t="s">
        <v>921</v>
      </c>
      <c r="I805" s="1" t="s">
        <v>11473</v>
      </c>
      <c r="O805" t="s">
        <v>22</v>
      </c>
    </row>
    <row r="806" spans="1:15">
      <c r="A806" t="s">
        <v>11281</v>
      </c>
      <c r="B806" t="s">
        <v>11281</v>
      </c>
      <c r="C806" t="s">
        <v>11282</v>
      </c>
      <c r="F806">
        <v>1</v>
      </c>
      <c r="G806" s="1" t="s">
        <v>922</v>
      </c>
      <c r="I806" s="1" t="s">
        <v>11473</v>
      </c>
      <c r="O806" t="s">
        <v>22</v>
      </c>
    </row>
    <row r="807" spans="1:15">
      <c r="A807" t="s">
        <v>8527</v>
      </c>
      <c r="B807" t="s">
        <v>8527</v>
      </c>
      <c r="C807" t="s">
        <v>4542</v>
      </c>
      <c r="F807">
        <v>1</v>
      </c>
      <c r="G807" s="1" t="s">
        <v>923</v>
      </c>
      <c r="I807" s="1" t="s">
        <v>11473</v>
      </c>
      <c r="O807" t="s">
        <v>22</v>
      </c>
    </row>
    <row r="808" spans="1:15">
      <c r="A808" t="s">
        <v>9902</v>
      </c>
      <c r="B808" t="s">
        <v>9902</v>
      </c>
      <c r="C808" t="s">
        <v>9903</v>
      </c>
      <c r="F808">
        <v>1</v>
      </c>
      <c r="G808" s="1" t="s">
        <v>924</v>
      </c>
      <c r="I808" s="1" t="s">
        <v>11473</v>
      </c>
      <c r="O808" t="s">
        <v>22</v>
      </c>
    </row>
    <row r="809" spans="1:15">
      <c r="A809" t="s">
        <v>9305</v>
      </c>
      <c r="B809" t="s">
        <v>9305</v>
      </c>
      <c r="C809" t="s">
        <v>4688</v>
      </c>
      <c r="F809">
        <v>1</v>
      </c>
      <c r="G809" s="1" t="s">
        <v>925</v>
      </c>
      <c r="I809" s="1" t="s">
        <v>11473</v>
      </c>
      <c r="O809" t="s">
        <v>22</v>
      </c>
    </row>
    <row r="810" spans="1:15">
      <c r="A810" t="s">
        <v>9502</v>
      </c>
      <c r="B810" t="s">
        <v>9502</v>
      </c>
      <c r="C810" t="s">
        <v>4688</v>
      </c>
      <c r="F810">
        <v>1</v>
      </c>
      <c r="G810" s="1" t="s">
        <v>926</v>
      </c>
      <c r="I810" s="1" t="s">
        <v>11473</v>
      </c>
      <c r="O810" t="s">
        <v>22</v>
      </c>
    </row>
    <row r="811" spans="1:15">
      <c r="A811" t="s">
        <v>10250</v>
      </c>
      <c r="B811" t="s">
        <v>10250</v>
      </c>
      <c r="C811" t="s">
        <v>4688</v>
      </c>
      <c r="F811">
        <v>1</v>
      </c>
      <c r="G811" s="1" t="s">
        <v>927</v>
      </c>
      <c r="I811" s="1" t="s">
        <v>11473</v>
      </c>
      <c r="O811" t="s">
        <v>22</v>
      </c>
    </row>
    <row r="812" spans="1:15">
      <c r="A812" t="s">
        <v>5526</v>
      </c>
      <c r="B812" t="s">
        <v>5526</v>
      </c>
      <c r="C812" t="s">
        <v>5527</v>
      </c>
      <c r="F812">
        <v>1</v>
      </c>
      <c r="G812" s="1" t="s">
        <v>928</v>
      </c>
      <c r="I812" s="1" t="s">
        <v>11473</v>
      </c>
      <c r="O812" t="s">
        <v>22</v>
      </c>
    </row>
    <row r="813" spans="1:15">
      <c r="A813" t="s">
        <v>6921</v>
      </c>
      <c r="B813" t="s">
        <v>6921</v>
      </c>
      <c r="C813" t="s">
        <v>6922</v>
      </c>
      <c r="F813">
        <v>1</v>
      </c>
      <c r="G813" s="1" t="s">
        <v>929</v>
      </c>
      <c r="I813" s="1" t="s">
        <v>11473</v>
      </c>
      <c r="O813" t="s">
        <v>22</v>
      </c>
    </row>
    <row r="814" spans="1:15">
      <c r="A814" t="s">
        <v>8778</v>
      </c>
      <c r="B814" t="s">
        <v>8778</v>
      </c>
      <c r="C814" t="s">
        <v>6922</v>
      </c>
      <c r="F814">
        <v>1</v>
      </c>
      <c r="G814" s="1" t="s">
        <v>930</v>
      </c>
      <c r="I814" s="1" t="s">
        <v>11473</v>
      </c>
      <c r="O814" t="s">
        <v>22</v>
      </c>
    </row>
    <row r="815" spans="1:15">
      <c r="A815" t="s">
        <v>10553</v>
      </c>
      <c r="B815" t="s">
        <v>10553</v>
      </c>
      <c r="C815" t="s">
        <v>4069</v>
      </c>
      <c r="F815">
        <v>1</v>
      </c>
      <c r="G815" s="1" t="s">
        <v>931</v>
      </c>
      <c r="I815" s="1" t="s">
        <v>11473</v>
      </c>
      <c r="O815" t="s">
        <v>22</v>
      </c>
    </row>
    <row r="816" spans="1:15">
      <c r="A816" t="s">
        <v>11042</v>
      </c>
      <c r="B816" t="s">
        <v>11042</v>
      </c>
      <c r="C816" t="s">
        <v>11043</v>
      </c>
      <c r="F816">
        <v>1</v>
      </c>
      <c r="G816" s="1" t="s">
        <v>932</v>
      </c>
      <c r="I816" s="1" t="s">
        <v>11473</v>
      </c>
      <c r="O816" t="s">
        <v>22</v>
      </c>
    </row>
    <row r="817" spans="1:15">
      <c r="A817" t="s">
        <v>9788</v>
      </c>
      <c r="B817" t="s">
        <v>9788</v>
      </c>
      <c r="C817" t="s">
        <v>9789</v>
      </c>
      <c r="F817">
        <v>1</v>
      </c>
      <c r="G817" s="1" t="s">
        <v>933</v>
      </c>
      <c r="I817" s="1" t="s">
        <v>11473</v>
      </c>
      <c r="O817" t="s">
        <v>22</v>
      </c>
    </row>
    <row r="818" spans="1:15">
      <c r="A818" t="s">
        <v>9356</v>
      </c>
      <c r="B818" t="s">
        <v>9356</v>
      </c>
      <c r="C818" t="s">
        <v>9357</v>
      </c>
      <c r="F818">
        <v>1</v>
      </c>
      <c r="G818" s="1" t="s">
        <v>934</v>
      </c>
      <c r="I818" s="1" t="s">
        <v>11473</v>
      </c>
      <c r="O818" t="s">
        <v>22</v>
      </c>
    </row>
    <row r="819" spans="1:15">
      <c r="A819" t="s">
        <v>5819</v>
      </c>
      <c r="B819" t="s">
        <v>5819</v>
      </c>
      <c r="C819" t="s">
        <v>4498</v>
      </c>
      <c r="F819">
        <v>1</v>
      </c>
      <c r="G819" s="1" t="s">
        <v>935</v>
      </c>
      <c r="I819" s="1" t="s">
        <v>11473</v>
      </c>
      <c r="O819" t="s">
        <v>22</v>
      </c>
    </row>
    <row r="820" spans="1:15">
      <c r="A820" t="s">
        <v>6397</v>
      </c>
      <c r="B820" t="s">
        <v>6397</v>
      </c>
      <c r="C820" t="s">
        <v>4498</v>
      </c>
      <c r="F820">
        <v>1</v>
      </c>
      <c r="G820" s="1" t="s">
        <v>936</v>
      </c>
      <c r="I820" s="1" t="s">
        <v>11473</v>
      </c>
      <c r="O820" t="s">
        <v>22</v>
      </c>
    </row>
    <row r="821" spans="1:15">
      <c r="A821" t="s">
        <v>9862</v>
      </c>
      <c r="B821" t="s">
        <v>9862</v>
      </c>
      <c r="C821" t="s">
        <v>5238</v>
      </c>
      <c r="F821">
        <v>1</v>
      </c>
      <c r="G821" s="1" t="s">
        <v>937</v>
      </c>
      <c r="I821" s="1" t="s">
        <v>11473</v>
      </c>
      <c r="O821" t="s">
        <v>22</v>
      </c>
    </row>
    <row r="822" spans="1:15">
      <c r="A822" t="s">
        <v>7915</v>
      </c>
      <c r="B822" t="s">
        <v>7915</v>
      </c>
      <c r="C822" t="s">
        <v>5400</v>
      </c>
      <c r="F822">
        <v>1</v>
      </c>
      <c r="G822" s="1" t="s">
        <v>938</v>
      </c>
      <c r="I822" s="1" t="s">
        <v>11473</v>
      </c>
      <c r="O822" t="s">
        <v>22</v>
      </c>
    </row>
    <row r="823" spans="1:15">
      <c r="A823" t="s">
        <v>5578</v>
      </c>
      <c r="B823" t="s">
        <v>5578</v>
      </c>
      <c r="C823" t="s">
        <v>5579</v>
      </c>
      <c r="F823">
        <v>1</v>
      </c>
      <c r="G823" s="1" t="s">
        <v>939</v>
      </c>
      <c r="I823" s="1" t="s">
        <v>11473</v>
      </c>
      <c r="O823" t="s">
        <v>22</v>
      </c>
    </row>
    <row r="824" spans="1:15">
      <c r="A824" t="s">
        <v>6056</v>
      </c>
      <c r="B824" t="s">
        <v>6056</v>
      </c>
      <c r="C824" t="s">
        <v>5334</v>
      </c>
      <c r="F824">
        <v>1</v>
      </c>
      <c r="G824" s="1" t="s">
        <v>940</v>
      </c>
      <c r="I824" s="1" t="s">
        <v>11473</v>
      </c>
      <c r="O824" t="s">
        <v>22</v>
      </c>
    </row>
    <row r="825" spans="1:15">
      <c r="A825" t="s">
        <v>10872</v>
      </c>
      <c r="B825" t="s">
        <v>10872</v>
      </c>
      <c r="C825" t="s">
        <v>5334</v>
      </c>
      <c r="F825">
        <v>1</v>
      </c>
      <c r="G825" s="1" t="s">
        <v>941</v>
      </c>
      <c r="I825" s="1" t="s">
        <v>11473</v>
      </c>
      <c r="O825" t="s">
        <v>22</v>
      </c>
    </row>
    <row r="826" spans="1:15">
      <c r="A826" t="s">
        <v>9851</v>
      </c>
      <c r="B826" t="s">
        <v>9851</v>
      </c>
      <c r="C826" t="s">
        <v>9852</v>
      </c>
      <c r="F826">
        <v>1</v>
      </c>
      <c r="G826" s="1" t="s">
        <v>942</v>
      </c>
      <c r="I826" s="1" t="s">
        <v>11473</v>
      </c>
      <c r="O826" t="s">
        <v>22</v>
      </c>
    </row>
    <row r="827" spans="1:15">
      <c r="A827" t="s">
        <v>9249</v>
      </c>
      <c r="B827" t="s">
        <v>9249</v>
      </c>
      <c r="C827" t="s">
        <v>9250</v>
      </c>
      <c r="F827">
        <v>1</v>
      </c>
      <c r="G827" s="1" t="s">
        <v>943</v>
      </c>
      <c r="I827" s="1" t="s">
        <v>11473</v>
      </c>
      <c r="O827" t="s">
        <v>22</v>
      </c>
    </row>
    <row r="828" spans="1:15">
      <c r="A828" t="s">
        <v>7994</v>
      </c>
      <c r="B828" t="s">
        <v>7994</v>
      </c>
      <c r="C828" t="s">
        <v>4546</v>
      </c>
      <c r="F828">
        <v>1</v>
      </c>
      <c r="G828" s="1" t="s">
        <v>944</v>
      </c>
      <c r="I828" s="1" t="s">
        <v>11473</v>
      </c>
      <c r="O828" t="s">
        <v>22</v>
      </c>
    </row>
    <row r="829" spans="1:15">
      <c r="A829" t="s">
        <v>8962</v>
      </c>
      <c r="B829" t="s">
        <v>8962</v>
      </c>
      <c r="C829" t="s">
        <v>8963</v>
      </c>
      <c r="F829">
        <v>1</v>
      </c>
      <c r="G829" s="1" t="s">
        <v>945</v>
      </c>
      <c r="I829" s="1" t="s">
        <v>11473</v>
      </c>
      <c r="O829" t="s">
        <v>22</v>
      </c>
    </row>
    <row r="830" spans="1:15">
      <c r="A830" t="s">
        <v>4822</v>
      </c>
      <c r="B830" t="s">
        <v>4822</v>
      </c>
      <c r="C830" t="s">
        <v>8067</v>
      </c>
      <c r="F830">
        <v>1</v>
      </c>
      <c r="G830" s="1" t="s">
        <v>946</v>
      </c>
      <c r="I830" s="1" t="s">
        <v>11473</v>
      </c>
      <c r="O830" t="s">
        <v>22</v>
      </c>
    </row>
    <row r="831" spans="1:15">
      <c r="A831" t="s">
        <v>4174</v>
      </c>
      <c r="B831" t="s">
        <v>4174</v>
      </c>
      <c r="C831" t="s">
        <v>8056</v>
      </c>
      <c r="F831">
        <v>1</v>
      </c>
      <c r="G831" s="1" t="s">
        <v>947</v>
      </c>
      <c r="I831" s="1" t="s">
        <v>11473</v>
      </c>
      <c r="O831" t="s">
        <v>22</v>
      </c>
    </row>
    <row r="832" spans="1:15">
      <c r="A832" t="s">
        <v>9601</v>
      </c>
      <c r="B832" t="s">
        <v>9601</v>
      </c>
      <c r="C832" t="s">
        <v>5324</v>
      </c>
      <c r="F832">
        <v>1</v>
      </c>
      <c r="G832" s="1" t="s">
        <v>948</v>
      </c>
      <c r="I832" s="1" t="s">
        <v>11473</v>
      </c>
      <c r="O832" t="s">
        <v>22</v>
      </c>
    </row>
    <row r="833" spans="1:15">
      <c r="A833" t="s">
        <v>11271</v>
      </c>
      <c r="B833" t="s">
        <v>11271</v>
      </c>
      <c r="C833" t="s">
        <v>11272</v>
      </c>
      <c r="F833">
        <v>1</v>
      </c>
      <c r="G833" s="1" t="s">
        <v>949</v>
      </c>
      <c r="I833" s="1" t="s">
        <v>11473</v>
      </c>
      <c r="O833" t="s">
        <v>22</v>
      </c>
    </row>
    <row r="834" spans="1:15">
      <c r="A834" t="s">
        <v>10585</v>
      </c>
      <c r="B834" t="s">
        <v>10585</v>
      </c>
      <c r="C834" t="s">
        <v>10586</v>
      </c>
      <c r="F834">
        <v>1</v>
      </c>
      <c r="G834" s="1" t="s">
        <v>950</v>
      </c>
      <c r="I834" s="1" t="s">
        <v>11473</v>
      </c>
      <c r="O834" t="s">
        <v>22</v>
      </c>
    </row>
    <row r="835" spans="1:15">
      <c r="A835" t="s">
        <v>7997</v>
      </c>
      <c r="B835" t="s">
        <v>7997</v>
      </c>
      <c r="C835" t="s">
        <v>7998</v>
      </c>
      <c r="F835">
        <v>1</v>
      </c>
      <c r="G835" s="1" t="s">
        <v>951</v>
      </c>
      <c r="I835" s="1" t="s">
        <v>11473</v>
      </c>
      <c r="O835" t="s">
        <v>22</v>
      </c>
    </row>
    <row r="836" spans="1:15">
      <c r="A836" t="s">
        <v>5780</v>
      </c>
      <c r="B836" t="s">
        <v>5780</v>
      </c>
      <c r="C836" t="s">
        <v>5781</v>
      </c>
      <c r="F836">
        <v>1</v>
      </c>
      <c r="G836" s="1" t="s">
        <v>952</v>
      </c>
      <c r="I836" s="1" t="s">
        <v>11473</v>
      </c>
      <c r="O836" t="s">
        <v>22</v>
      </c>
    </row>
    <row r="837" spans="1:15">
      <c r="A837" t="s">
        <v>8659</v>
      </c>
      <c r="B837" t="s">
        <v>8659</v>
      </c>
      <c r="C837" t="s">
        <v>5781</v>
      </c>
      <c r="F837">
        <v>1</v>
      </c>
      <c r="G837" s="1" t="s">
        <v>953</v>
      </c>
      <c r="I837" s="1" t="s">
        <v>11473</v>
      </c>
      <c r="O837" t="s">
        <v>22</v>
      </c>
    </row>
    <row r="838" spans="1:15">
      <c r="A838" t="s">
        <v>6281</v>
      </c>
      <c r="B838" t="s">
        <v>6281</v>
      </c>
      <c r="C838" t="s">
        <v>6282</v>
      </c>
      <c r="F838">
        <v>1</v>
      </c>
      <c r="G838" s="1" t="s">
        <v>954</v>
      </c>
      <c r="I838" s="1" t="s">
        <v>11473</v>
      </c>
      <c r="O838" t="s">
        <v>22</v>
      </c>
    </row>
    <row r="839" spans="1:15">
      <c r="A839" t="s">
        <v>10900</v>
      </c>
      <c r="B839" t="s">
        <v>10900</v>
      </c>
      <c r="C839" t="s">
        <v>10901</v>
      </c>
      <c r="F839">
        <v>1</v>
      </c>
      <c r="G839" s="1" t="s">
        <v>955</v>
      </c>
      <c r="I839" s="1" t="s">
        <v>11473</v>
      </c>
      <c r="O839" t="s">
        <v>22</v>
      </c>
    </row>
    <row r="840" spans="1:15">
      <c r="A840" t="s">
        <v>5795</v>
      </c>
      <c r="B840" t="s">
        <v>5795</v>
      </c>
      <c r="C840" t="s">
        <v>4049</v>
      </c>
      <c r="F840">
        <v>1</v>
      </c>
      <c r="G840" s="1" t="s">
        <v>956</v>
      </c>
      <c r="I840" s="1" t="s">
        <v>11473</v>
      </c>
      <c r="O840" t="s">
        <v>22</v>
      </c>
    </row>
    <row r="841" spans="1:15">
      <c r="A841" t="s">
        <v>6276</v>
      </c>
      <c r="B841" t="s">
        <v>6276</v>
      </c>
      <c r="C841" t="s">
        <v>4049</v>
      </c>
      <c r="F841">
        <v>1</v>
      </c>
      <c r="G841" s="1" t="s">
        <v>957</v>
      </c>
      <c r="I841" s="1" t="s">
        <v>11473</v>
      </c>
      <c r="O841" t="s">
        <v>22</v>
      </c>
    </row>
    <row r="842" spans="1:15">
      <c r="A842" t="s">
        <v>10238</v>
      </c>
      <c r="B842" t="s">
        <v>10238</v>
      </c>
      <c r="C842" t="s">
        <v>4049</v>
      </c>
      <c r="F842">
        <v>1</v>
      </c>
      <c r="G842" s="1" t="s">
        <v>958</v>
      </c>
      <c r="I842" s="1" t="s">
        <v>11473</v>
      </c>
      <c r="O842" t="s">
        <v>22</v>
      </c>
    </row>
    <row r="843" spans="1:15">
      <c r="A843" t="s">
        <v>6166</v>
      </c>
      <c r="B843" t="s">
        <v>6166</v>
      </c>
      <c r="C843" t="s">
        <v>6167</v>
      </c>
      <c r="F843">
        <v>1</v>
      </c>
      <c r="G843" s="1" t="s">
        <v>959</v>
      </c>
      <c r="I843" s="1" t="s">
        <v>11473</v>
      </c>
      <c r="O843" t="s">
        <v>22</v>
      </c>
    </row>
    <row r="844" spans="1:15">
      <c r="A844" t="s">
        <v>7339</v>
      </c>
      <c r="B844" t="s">
        <v>7339</v>
      </c>
      <c r="C844" t="s">
        <v>4882</v>
      </c>
      <c r="F844">
        <v>1</v>
      </c>
      <c r="G844" s="1" t="s">
        <v>960</v>
      </c>
      <c r="I844" s="1" t="s">
        <v>11473</v>
      </c>
      <c r="O844" t="s">
        <v>22</v>
      </c>
    </row>
    <row r="845" spans="1:15">
      <c r="A845" t="s">
        <v>8473</v>
      </c>
      <c r="B845" t="s">
        <v>8473</v>
      </c>
      <c r="C845" t="s">
        <v>4882</v>
      </c>
      <c r="F845">
        <v>1</v>
      </c>
      <c r="G845" s="1" t="s">
        <v>961</v>
      </c>
      <c r="I845" s="1" t="s">
        <v>11473</v>
      </c>
      <c r="O845" t="s">
        <v>22</v>
      </c>
    </row>
    <row r="846" spans="1:15">
      <c r="A846" t="s">
        <v>9578</v>
      </c>
      <c r="B846" t="s">
        <v>9578</v>
      </c>
      <c r="C846" t="s">
        <v>4882</v>
      </c>
      <c r="F846">
        <v>1</v>
      </c>
      <c r="G846" s="1" t="s">
        <v>962</v>
      </c>
      <c r="I846" s="1" t="s">
        <v>11473</v>
      </c>
      <c r="O846" t="s">
        <v>22</v>
      </c>
    </row>
    <row r="847" spans="1:15">
      <c r="A847" t="s">
        <v>11418</v>
      </c>
      <c r="B847" t="s">
        <v>11418</v>
      </c>
      <c r="C847" t="s">
        <v>4882</v>
      </c>
      <c r="F847">
        <v>1</v>
      </c>
      <c r="G847" s="1" t="s">
        <v>963</v>
      </c>
      <c r="I847" s="1" t="s">
        <v>11473</v>
      </c>
      <c r="O847" t="s">
        <v>22</v>
      </c>
    </row>
    <row r="848" spans="1:15">
      <c r="A848" t="s">
        <v>7523</v>
      </c>
      <c r="B848" t="s">
        <v>7523</v>
      </c>
      <c r="C848" t="s">
        <v>7524</v>
      </c>
      <c r="F848">
        <v>1</v>
      </c>
      <c r="G848" s="1" t="s">
        <v>964</v>
      </c>
      <c r="I848" s="1" t="s">
        <v>11473</v>
      </c>
      <c r="O848" t="s">
        <v>22</v>
      </c>
    </row>
    <row r="849" spans="1:15">
      <c r="A849" t="s">
        <v>7064</v>
      </c>
      <c r="B849" t="s">
        <v>7064</v>
      </c>
      <c r="C849" t="s">
        <v>7065</v>
      </c>
      <c r="F849">
        <v>1</v>
      </c>
      <c r="G849" s="1" t="s">
        <v>965</v>
      </c>
      <c r="I849" s="1" t="s">
        <v>11473</v>
      </c>
      <c r="O849" t="s">
        <v>22</v>
      </c>
    </row>
    <row r="850" spans="1:15">
      <c r="A850" t="s">
        <v>7843</v>
      </c>
      <c r="B850" t="s">
        <v>7843</v>
      </c>
      <c r="C850" t="s">
        <v>7065</v>
      </c>
      <c r="F850">
        <v>1</v>
      </c>
      <c r="G850" s="1" t="s">
        <v>966</v>
      </c>
      <c r="I850" s="1" t="s">
        <v>11473</v>
      </c>
      <c r="O850" t="s">
        <v>22</v>
      </c>
    </row>
    <row r="851" spans="1:15">
      <c r="A851" t="s">
        <v>5804</v>
      </c>
      <c r="B851" t="s">
        <v>5804</v>
      </c>
      <c r="C851" t="s">
        <v>5805</v>
      </c>
      <c r="F851">
        <v>1</v>
      </c>
      <c r="G851" s="1" t="s">
        <v>967</v>
      </c>
      <c r="I851" s="1" t="s">
        <v>11473</v>
      </c>
      <c r="O851" t="s">
        <v>22</v>
      </c>
    </row>
    <row r="852" spans="1:15">
      <c r="A852" t="s">
        <v>9727</v>
      </c>
      <c r="B852" t="s">
        <v>9727</v>
      </c>
      <c r="C852" t="s">
        <v>5805</v>
      </c>
      <c r="F852">
        <v>1</v>
      </c>
      <c r="G852" s="1" t="s">
        <v>968</v>
      </c>
      <c r="I852" s="1" t="s">
        <v>11473</v>
      </c>
      <c r="O852" t="s">
        <v>22</v>
      </c>
    </row>
    <row r="853" spans="1:15">
      <c r="A853" t="s">
        <v>8960</v>
      </c>
      <c r="B853" t="s">
        <v>8960</v>
      </c>
      <c r="C853" t="s">
        <v>4952</v>
      </c>
      <c r="F853">
        <v>1</v>
      </c>
      <c r="G853" s="1" t="s">
        <v>969</v>
      </c>
      <c r="I853" s="1" t="s">
        <v>11473</v>
      </c>
      <c r="O853" t="s">
        <v>22</v>
      </c>
    </row>
    <row r="854" spans="1:15">
      <c r="A854" t="s">
        <v>10576</v>
      </c>
      <c r="B854" t="s">
        <v>10576</v>
      </c>
      <c r="C854" t="s">
        <v>4886</v>
      </c>
      <c r="F854">
        <v>1</v>
      </c>
      <c r="G854" s="1" t="s">
        <v>970</v>
      </c>
      <c r="I854" s="1" t="s">
        <v>11473</v>
      </c>
      <c r="O854" t="s">
        <v>22</v>
      </c>
    </row>
    <row r="855" spans="1:15">
      <c r="A855" t="s">
        <v>5118</v>
      </c>
      <c r="B855" t="s">
        <v>5118</v>
      </c>
      <c r="C855" t="s">
        <v>4812</v>
      </c>
      <c r="F855">
        <v>1</v>
      </c>
      <c r="G855" s="1" t="s">
        <v>971</v>
      </c>
      <c r="I855" s="1" t="s">
        <v>11473</v>
      </c>
      <c r="O855" t="s">
        <v>22</v>
      </c>
    </row>
    <row r="856" spans="1:15">
      <c r="A856" t="s">
        <v>6179</v>
      </c>
      <c r="B856" t="s">
        <v>6179</v>
      </c>
      <c r="C856" t="s">
        <v>4757</v>
      </c>
      <c r="F856">
        <v>1</v>
      </c>
      <c r="G856" s="1" t="s">
        <v>972</v>
      </c>
      <c r="I856" s="1" t="s">
        <v>11473</v>
      </c>
      <c r="O856" t="s">
        <v>22</v>
      </c>
    </row>
    <row r="857" spans="1:15">
      <c r="A857" t="s">
        <v>6566</v>
      </c>
      <c r="B857" t="s">
        <v>6566</v>
      </c>
      <c r="C857" t="s">
        <v>6567</v>
      </c>
      <c r="F857">
        <v>1</v>
      </c>
      <c r="G857" s="1" t="s">
        <v>973</v>
      </c>
      <c r="I857" s="1" t="s">
        <v>11473</v>
      </c>
      <c r="O857" t="s">
        <v>22</v>
      </c>
    </row>
    <row r="858" spans="1:15">
      <c r="A858" t="s">
        <v>8062</v>
      </c>
      <c r="B858" t="s">
        <v>8062</v>
      </c>
      <c r="C858" t="s">
        <v>8063</v>
      </c>
      <c r="F858">
        <v>1</v>
      </c>
      <c r="G858" s="1" t="s">
        <v>974</v>
      </c>
      <c r="I858" s="1" t="s">
        <v>11473</v>
      </c>
      <c r="O858" t="s">
        <v>22</v>
      </c>
    </row>
    <row r="859" spans="1:15">
      <c r="A859" t="s">
        <v>8052</v>
      </c>
      <c r="B859" t="s">
        <v>8052</v>
      </c>
      <c r="C859" t="s">
        <v>8053</v>
      </c>
      <c r="F859">
        <v>1</v>
      </c>
      <c r="G859" s="1" t="s">
        <v>975</v>
      </c>
      <c r="I859" s="1" t="s">
        <v>11473</v>
      </c>
      <c r="O859" t="s">
        <v>22</v>
      </c>
    </row>
    <row r="860" spans="1:15">
      <c r="A860" t="s">
        <v>7855</v>
      </c>
      <c r="B860" t="s">
        <v>7855</v>
      </c>
      <c r="C860" t="s">
        <v>7856</v>
      </c>
      <c r="F860">
        <v>1</v>
      </c>
      <c r="G860" s="1" t="s">
        <v>976</v>
      </c>
      <c r="I860" s="1" t="s">
        <v>11473</v>
      </c>
      <c r="O860" t="s">
        <v>22</v>
      </c>
    </row>
    <row r="861" spans="1:15">
      <c r="A861" t="s">
        <v>10908</v>
      </c>
      <c r="B861" t="s">
        <v>10908</v>
      </c>
      <c r="C861" t="s">
        <v>4626</v>
      </c>
      <c r="F861">
        <v>1</v>
      </c>
      <c r="G861" s="1" t="s">
        <v>977</v>
      </c>
      <c r="I861" s="1" t="s">
        <v>11473</v>
      </c>
      <c r="O861" t="s">
        <v>22</v>
      </c>
    </row>
    <row r="862" spans="1:15">
      <c r="A862" t="s">
        <v>8907</v>
      </c>
      <c r="B862" t="s">
        <v>8907</v>
      </c>
      <c r="C862" t="s">
        <v>8908</v>
      </c>
      <c r="F862">
        <v>1</v>
      </c>
      <c r="G862" s="1" t="s">
        <v>978</v>
      </c>
      <c r="I862" s="1" t="s">
        <v>11473</v>
      </c>
      <c r="O862" t="s">
        <v>22</v>
      </c>
    </row>
    <row r="863" spans="1:15">
      <c r="A863" t="s">
        <v>8224</v>
      </c>
      <c r="B863" t="s">
        <v>8224</v>
      </c>
      <c r="C863" t="s">
        <v>4065</v>
      </c>
      <c r="F863">
        <v>1</v>
      </c>
      <c r="G863" s="1" t="s">
        <v>979</v>
      </c>
      <c r="I863" s="1" t="s">
        <v>11473</v>
      </c>
      <c r="O863" t="s">
        <v>22</v>
      </c>
    </row>
    <row r="864" spans="1:15">
      <c r="A864" t="s">
        <v>8305</v>
      </c>
      <c r="B864" t="s">
        <v>8305</v>
      </c>
      <c r="C864" t="s">
        <v>4065</v>
      </c>
      <c r="F864">
        <v>1</v>
      </c>
      <c r="G864" s="1" t="s">
        <v>980</v>
      </c>
      <c r="I864" s="1" t="s">
        <v>11473</v>
      </c>
      <c r="O864" t="s">
        <v>22</v>
      </c>
    </row>
    <row r="865" spans="1:15">
      <c r="A865" t="s">
        <v>8042</v>
      </c>
      <c r="B865" t="s">
        <v>8042</v>
      </c>
      <c r="C865" t="s">
        <v>5130</v>
      </c>
      <c r="F865">
        <v>1</v>
      </c>
      <c r="G865" s="1" t="s">
        <v>981</v>
      </c>
      <c r="I865" s="1" t="s">
        <v>11473</v>
      </c>
      <c r="O865" t="s">
        <v>22</v>
      </c>
    </row>
    <row r="866" spans="1:15">
      <c r="A866" t="s">
        <v>9336</v>
      </c>
      <c r="B866" t="s">
        <v>9336</v>
      </c>
      <c r="C866" t="s">
        <v>9337</v>
      </c>
      <c r="F866">
        <v>1</v>
      </c>
      <c r="G866" s="1" t="s">
        <v>982</v>
      </c>
      <c r="I866" s="1" t="s">
        <v>11473</v>
      </c>
      <c r="O866" t="s">
        <v>22</v>
      </c>
    </row>
    <row r="867" spans="1:15">
      <c r="A867" t="s">
        <v>9360</v>
      </c>
      <c r="B867" t="s">
        <v>9360</v>
      </c>
      <c r="C867" t="s">
        <v>9361</v>
      </c>
      <c r="F867">
        <v>1</v>
      </c>
      <c r="G867" s="1" t="s">
        <v>983</v>
      </c>
      <c r="I867" s="1" t="s">
        <v>11473</v>
      </c>
      <c r="O867" t="s">
        <v>22</v>
      </c>
    </row>
    <row r="868" spans="1:15">
      <c r="A868" t="s">
        <v>6939</v>
      </c>
      <c r="B868" t="s">
        <v>6939</v>
      </c>
      <c r="C868" t="s">
        <v>5233</v>
      </c>
      <c r="F868">
        <v>1</v>
      </c>
      <c r="G868" s="1" t="s">
        <v>984</v>
      </c>
      <c r="I868" s="1" t="s">
        <v>11473</v>
      </c>
      <c r="O868" t="s">
        <v>22</v>
      </c>
    </row>
    <row r="869" spans="1:15">
      <c r="A869" t="s">
        <v>8930</v>
      </c>
      <c r="B869" t="s">
        <v>8930</v>
      </c>
      <c r="C869" t="s">
        <v>8931</v>
      </c>
      <c r="F869">
        <v>1</v>
      </c>
      <c r="G869" s="1" t="s">
        <v>985</v>
      </c>
      <c r="I869" s="1" t="s">
        <v>11473</v>
      </c>
      <c r="O869" t="s">
        <v>22</v>
      </c>
    </row>
    <row r="870" spans="1:15">
      <c r="A870" t="s">
        <v>8082</v>
      </c>
      <c r="B870" t="s">
        <v>8082</v>
      </c>
      <c r="C870" t="s">
        <v>4515</v>
      </c>
      <c r="F870">
        <v>1</v>
      </c>
      <c r="G870" s="1" t="s">
        <v>986</v>
      </c>
      <c r="I870" s="1" t="s">
        <v>11473</v>
      </c>
      <c r="O870" t="s">
        <v>22</v>
      </c>
    </row>
    <row r="871" spans="1:15">
      <c r="A871" t="s">
        <v>8323</v>
      </c>
      <c r="B871" t="s">
        <v>8323</v>
      </c>
      <c r="C871" t="s">
        <v>4522</v>
      </c>
      <c r="F871">
        <v>1</v>
      </c>
      <c r="G871" s="1" t="s">
        <v>987</v>
      </c>
      <c r="I871" s="1" t="s">
        <v>11473</v>
      </c>
      <c r="O871" t="s">
        <v>22</v>
      </c>
    </row>
    <row r="872" spans="1:15">
      <c r="A872" t="s">
        <v>10774</v>
      </c>
      <c r="B872" t="s">
        <v>10774</v>
      </c>
      <c r="C872" t="s">
        <v>10775</v>
      </c>
      <c r="F872">
        <v>1</v>
      </c>
      <c r="G872" s="1" t="s">
        <v>988</v>
      </c>
      <c r="I872" s="1" t="s">
        <v>11473</v>
      </c>
      <c r="O872" t="s">
        <v>22</v>
      </c>
    </row>
    <row r="873" spans="1:15">
      <c r="A873" t="s">
        <v>10361</v>
      </c>
      <c r="B873" t="s">
        <v>10361</v>
      </c>
      <c r="C873" t="s">
        <v>10362</v>
      </c>
      <c r="F873">
        <v>1</v>
      </c>
      <c r="G873" s="1" t="s">
        <v>989</v>
      </c>
      <c r="I873" s="1" t="s">
        <v>11473</v>
      </c>
      <c r="O873" t="s">
        <v>22</v>
      </c>
    </row>
    <row r="874" spans="1:15">
      <c r="A874" t="s">
        <v>8510</v>
      </c>
      <c r="B874" t="s">
        <v>8510</v>
      </c>
      <c r="C874" t="s">
        <v>4493</v>
      </c>
      <c r="F874">
        <v>1</v>
      </c>
      <c r="G874" s="1" t="s">
        <v>990</v>
      </c>
      <c r="I874" s="1" t="s">
        <v>11473</v>
      </c>
      <c r="O874" t="s">
        <v>22</v>
      </c>
    </row>
    <row r="875" spans="1:15">
      <c r="A875" t="s">
        <v>9236</v>
      </c>
      <c r="B875" t="s">
        <v>9236</v>
      </c>
      <c r="C875" t="s">
        <v>9237</v>
      </c>
      <c r="F875">
        <v>1</v>
      </c>
      <c r="G875" s="1" t="s">
        <v>991</v>
      </c>
      <c r="I875" s="1" t="s">
        <v>11473</v>
      </c>
      <c r="O875" t="s">
        <v>22</v>
      </c>
    </row>
    <row r="876" spans="1:15">
      <c r="A876" t="s">
        <v>9171</v>
      </c>
      <c r="B876" t="s">
        <v>9171</v>
      </c>
      <c r="C876" t="s">
        <v>4580</v>
      </c>
      <c r="F876">
        <v>1</v>
      </c>
      <c r="G876" s="1" t="s">
        <v>992</v>
      </c>
      <c r="I876" s="1" t="s">
        <v>11473</v>
      </c>
      <c r="O876" t="s">
        <v>22</v>
      </c>
    </row>
    <row r="877" spans="1:15">
      <c r="A877" t="s">
        <v>11307</v>
      </c>
      <c r="B877" t="s">
        <v>11307</v>
      </c>
      <c r="C877" t="s">
        <v>4957</v>
      </c>
      <c r="F877">
        <v>1</v>
      </c>
      <c r="G877" s="1" t="s">
        <v>993</v>
      </c>
      <c r="I877" s="1" t="s">
        <v>11473</v>
      </c>
      <c r="O877" t="s">
        <v>22</v>
      </c>
    </row>
    <row r="878" spans="1:15">
      <c r="A878" t="s">
        <v>9348</v>
      </c>
      <c r="B878" t="s">
        <v>9348</v>
      </c>
      <c r="C878" t="s">
        <v>9349</v>
      </c>
      <c r="F878">
        <v>1</v>
      </c>
      <c r="G878" s="1" t="s">
        <v>994</v>
      </c>
      <c r="I878" s="1" t="s">
        <v>11473</v>
      </c>
      <c r="O878" t="s">
        <v>22</v>
      </c>
    </row>
    <row r="879" spans="1:15">
      <c r="A879" t="s">
        <v>7984</v>
      </c>
      <c r="B879" t="s">
        <v>7984</v>
      </c>
      <c r="C879" t="s">
        <v>7985</v>
      </c>
      <c r="F879">
        <v>1</v>
      </c>
      <c r="G879" s="1" t="s">
        <v>995</v>
      </c>
      <c r="I879" s="1" t="s">
        <v>11473</v>
      </c>
      <c r="O879" t="s">
        <v>22</v>
      </c>
    </row>
    <row r="880" spans="1:15">
      <c r="A880" t="s">
        <v>9070</v>
      </c>
      <c r="B880" t="s">
        <v>9070</v>
      </c>
      <c r="C880" t="s">
        <v>9071</v>
      </c>
      <c r="F880">
        <v>1</v>
      </c>
      <c r="G880" s="1" t="s">
        <v>996</v>
      </c>
      <c r="I880" s="1" t="s">
        <v>11473</v>
      </c>
      <c r="O880" t="s">
        <v>22</v>
      </c>
    </row>
    <row r="881" spans="1:15">
      <c r="A881" t="s">
        <v>9468</v>
      </c>
      <c r="B881" t="s">
        <v>9468</v>
      </c>
      <c r="C881" t="s">
        <v>9469</v>
      </c>
      <c r="F881">
        <v>1</v>
      </c>
      <c r="G881" s="1" t="s">
        <v>997</v>
      </c>
      <c r="I881" s="1" t="s">
        <v>11473</v>
      </c>
      <c r="O881" t="s">
        <v>22</v>
      </c>
    </row>
    <row r="882" spans="1:15">
      <c r="A882" t="s">
        <v>9117</v>
      </c>
      <c r="B882" t="s">
        <v>9117</v>
      </c>
      <c r="C882" t="s">
        <v>9118</v>
      </c>
      <c r="F882">
        <v>1</v>
      </c>
      <c r="G882" s="1" t="s">
        <v>998</v>
      </c>
      <c r="I882" s="1" t="s">
        <v>11473</v>
      </c>
      <c r="O882" t="s">
        <v>22</v>
      </c>
    </row>
    <row r="883" spans="1:15">
      <c r="A883" t="s">
        <v>9846</v>
      </c>
      <c r="B883" t="s">
        <v>9846</v>
      </c>
      <c r="C883" t="s">
        <v>9847</v>
      </c>
      <c r="F883">
        <v>1</v>
      </c>
      <c r="G883" s="1" t="s">
        <v>999</v>
      </c>
      <c r="I883" s="1" t="s">
        <v>11473</v>
      </c>
      <c r="O883" t="s">
        <v>22</v>
      </c>
    </row>
    <row r="884" spans="1:15">
      <c r="A884" t="s">
        <v>11379</v>
      </c>
      <c r="B884" t="s">
        <v>11379</v>
      </c>
      <c r="C884" t="s">
        <v>9847</v>
      </c>
      <c r="F884">
        <v>1</v>
      </c>
      <c r="G884" s="1" t="s">
        <v>1000</v>
      </c>
      <c r="I884" s="1" t="s">
        <v>11473</v>
      </c>
      <c r="O884" t="s">
        <v>22</v>
      </c>
    </row>
    <row r="885" spans="1:15">
      <c r="A885" t="s">
        <v>11410</v>
      </c>
      <c r="B885" t="s">
        <v>11410</v>
      </c>
      <c r="C885" t="s">
        <v>11411</v>
      </c>
      <c r="F885">
        <v>1</v>
      </c>
      <c r="G885" s="1" t="s">
        <v>1001</v>
      </c>
      <c r="I885" s="1" t="s">
        <v>11473</v>
      </c>
      <c r="O885" t="s">
        <v>22</v>
      </c>
    </row>
    <row r="886" spans="1:15">
      <c r="A886" t="s">
        <v>9967</v>
      </c>
      <c r="B886" t="s">
        <v>9967</v>
      </c>
      <c r="C886" t="s">
        <v>9968</v>
      </c>
      <c r="F886">
        <v>1</v>
      </c>
      <c r="G886" s="1" t="s">
        <v>1002</v>
      </c>
      <c r="I886" s="1" t="s">
        <v>11473</v>
      </c>
      <c r="O886" t="s">
        <v>22</v>
      </c>
    </row>
    <row r="887" spans="1:15">
      <c r="A887" t="s">
        <v>9355</v>
      </c>
      <c r="B887" t="s">
        <v>9355</v>
      </c>
      <c r="C887" t="s">
        <v>4087</v>
      </c>
      <c r="F887">
        <v>1</v>
      </c>
      <c r="G887" s="1" t="s">
        <v>1003</v>
      </c>
      <c r="I887" s="1" t="s">
        <v>11473</v>
      </c>
      <c r="O887" t="s">
        <v>22</v>
      </c>
    </row>
    <row r="888" spans="1:15">
      <c r="A888" t="s">
        <v>7900</v>
      </c>
      <c r="B888" t="s">
        <v>7900</v>
      </c>
      <c r="C888" t="s">
        <v>7901</v>
      </c>
      <c r="F888">
        <v>1</v>
      </c>
      <c r="G888" s="1" t="s">
        <v>1004</v>
      </c>
      <c r="I888" s="1" t="s">
        <v>11473</v>
      </c>
      <c r="O888" t="s">
        <v>22</v>
      </c>
    </row>
    <row r="889" spans="1:15">
      <c r="A889" t="s">
        <v>9326</v>
      </c>
      <c r="B889" t="s">
        <v>9326</v>
      </c>
      <c r="C889" t="s">
        <v>7901</v>
      </c>
      <c r="F889">
        <v>1</v>
      </c>
      <c r="G889" s="1" t="s">
        <v>1005</v>
      </c>
      <c r="I889" s="1" t="s">
        <v>11473</v>
      </c>
      <c r="O889" t="s">
        <v>22</v>
      </c>
    </row>
    <row r="890" spans="1:15">
      <c r="A890" t="s">
        <v>6471</v>
      </c>
      <c r="B890" t="s">
        <v>6471</v>
      </c>
      <c r="C890" t="s">
        <v>5320</v>
      </c>
      <c r="F890">
        <v>1</v>
      </c>
      <c r="G890" s="1" t="s">
        <v>1006</v>
      </c>
      <c r="I890" s="1" t="s">
        <v>11473</v>
      </c>
      <c r="O890" t="s">
        <v>22</v>
      </c>
    </row>
    <row r="891" spans="1:15">
      <c r="A891" t="s">
        <v>8110</v>
      </c>
      <c r="B891" t="s">
        <v>8110</v>
      </c>
      <c r="C891" t="s">
        <v>4092</v>
      </c>
      <c r="F891">
        <v>1</v>
      </c>
      <c r="G891" s="1" t="s">
        <v>1007</v>
      </c>
      <c r="I891" s="1" t="s">
        <v>11473</v>
      </c>
      <c r="O891" t="s">
        <v>22</v>
      </c>
    </row>
    <row r="892" spans="1:15">
      <c r="A892" t="s">
        <v>10261</v>
      </c>
      <c r="B892" t="s">
        <v>10261</v>
      </c>
      <c r="C892" t="s">
        <v>4520</v>
      </c>
      <c r="F892">
        <v>1</v>
      </c>
      <c r="G892" s="1" t="s">
        <v>1008</v>
      </c>
      <c r="I892" s="1" t="s">
        <v>11473</v>
      </c>
      <c r="O892" t="s">
        <v>22</v>
      </c>
    </row>
    <row r="893" spans="1:15">
      <c r="A893" t="s">
        <v>10993</v>
      </c>
      <c r="B893" t="s">
        <v>10993</v>
      </c>
      <c r="C893" t="s">
        <v>4520</v>
      </c>
      <c r="F893">
        <v>1</v>
      </c>
      <c r="G893" s="1" t="s">
        <v>1009</v>
      </c>
      <c r="I893" s="1" t="s">
        <v>11473</v>
      </c>
      <c r="O893" t="s">
        <v>22</v>
      </c>
    </row>
    <row r="894" spans="1:15">
      <c r="A894" t="s">
        <v>9282</v>
      </c>
      <c r="B894" t="s">
        <v>9282</v>
      </c>
      <c r="C894" t="s">
        <v>9283</v>
      </c>
      <c r="F894">
        <v>1</v>
      </c>
      <c r="G894" s="1" t="s">
        <v>1010</v>
      </c>
      <c r="I894" s="1" t="s">
        <v>11473</v>
      </c>
      <c r="O894" t="s">
        <v>22</v>
      </c>
    </row>
    <row r="895" spans="1:15">
      <c r="A895" t="s">
        <v>10030</v>
      </c>
      <c r="B895" t="s">
        <v>10030</v>
      </c>
      <c r="C895" t="s">
        <v>9283</v>
      </c>
      <c r="F895">
        <v>1</v>
      </c>
      <c r="G895" s="1" t="s">
        <v>1011</v>
      </c>
      <c r="I895" s="1" t="s">
        <v>11473</v>
      </c>
      <c r="O895" t="s">
        <v>22</v>
      </c>
    </row>
    <row r="896" spans="1:15">
      <c r="A896" t="s">
        <v>5648</v>
      </c>
      <c r="B896" t="s">
        <v>5648</v>
      </c>
      <c r="C896" t="s">
        <v>4543</v>
      </c>
      <c r="F896">
        <v>1</v>
      </c>
      <c r="G896" s="1" t="s">
        <v>1012</v>
      </c>
      <c r="I896" s="1" t="s">
        <v>11473</v>
      </c>
      <c r="O896" t="s">
        <v>22</v>
      </c>
    </row>
    <row r="897" spans="1:15">
      <c r="A897" t="s">
        <v>8598</v>
      </c>
      <c r="B897" t="s">
        <v>8598</v>
      </c>
      <c r="C897" t="s">
        <v>8599</v>
      </c>
      <c r="F897">
        <v>1</v>
      </c>
      <c r="G897" s="1" t="s">
        <v>1013</v>
      </c>
      <c r="I897" s="1" t="s">
        <v>11473</v>
      </c>
      <c r="O897" t="s">
        <v>22</v>
      </c>
    </row>
    <row r="898" spans="1:15">
      <c r="A898" t="s">
        <v>8797</v>
      </c>
      <c r="B898" t="s">
        <v>8797</v>
      </c>
      <c r="C898" t="s">
        <v>8798</v>
      </c>
      <c r="F898">
        <v>1</v>
      </c>
      <c r="G898" s="1" t="s">
        <v>1014</v>
      </c>
      <c r="I898" s="1" t="s">
        <v>11473</v>
      </c>
      <c r="O898" t="s">
        <v>22</v>
      </c>
    </row>
    <row r="899" spans="1:15">
      <c r="A899" t="s">
        <v>8796</v>
      </c>
      <c r="B899" t="s">
        <v>8796</v>
      </c>
      <c r="C899" t="s">
        <v>4538</v>
      </c>
      <c r="F899">
        <v>1</v>
      </c>
      <c r="G899" s="1" t="s">
        <v>1015</v>
      </c>
      <c r="I899" s="1" t="s">
        <v>11473</v>
      </c>
      <c r="O899" t="s">
        <v>22</v>
      </c>
    </row>
    <row r="900" spans="1:15">
      <c r="A900" t="s">
        <v>9377</v>
      </c>
      <c r="B900" t="s">
        <v>9377</v>
      </c>
      <c r="C900" t="s">
        <v>4538</v>
      </c>
      <c r="F900">
        <v>1</v>
      </c>
      <c r="G900" s="1" t="s">
        <v>1016</v>
      </c>
      <c r="I900" s="1" t="s">
        <v>11473</v>
      </c>
      <c r="O900" t="s">
        <v>22</v>
      </c>
    </row>
    <row r="901" spans="1:15">
      <c r="A901" t="s">
        <v>7635</v>
      </c>
      <c r="B901" t="s">
        <v>7635</v>
      </c>
      <c r="C901" t="s">
        <v>4755</v>
      </c>
      <c r="F901">
        <v>1</v>
      </c>
      <c r="G901" s="1" t="s">
        <v>1017</v>
      </c>
      <c r="I901" s="1" t="s">
        <v>11473</v>
      </c>
      <c r="O901" t="s">
        <v>22</v>
      </c>
    </row>
    <row r="902" spans="1:15">
      <c r="A902" t="s">
        <v>9946</v>
      </c>
      <c r="B902" t="s">
        <v>9946</v>
      </c>
      <c r="C902" t="s">
        <v>4755</v>
      </c>
      <c r="F902">
        <v>1</v>
      </c>
      <c r="G902" s="1" t="s">
        <v>1018</v>
      </c>
      <c r="I902" s="1" t="s">
        <v>11473</v>
      </c>
      <c r="O902" t="s">
        <v>22</v>
      </c>
    </row>
    <row r="903" spans="1:15">
      <c r="A903" t="s">
        <v>11057</v>
      </c>
      <c r="B903" t="s">
        <v>11057</v>
      </c>
      <c r="C903" t="s">
        <v>4614</v>
      </c>
      <c r="F903">
        <v>1</v>
      </c>
      <c r="G903" s="1" t="s">
        <v>1019</v>
      </c>
      <c r="I903" s="1" t="s">
        <v>11473</v>
      </c>
      <c r="O903" t="s">
        <v>22</v>
      </c>
    </row>
    <row r="904" spans="1:15">
      <c r="A904" t="s">
        <v>10255</v>
      </c>
      <c r="B904" t="s">
        <v>10255</v>
      </c>
      <c r="C904" t="s">
        <v>4698</v>
      </c>
      <c r="F904">
        <v>1</v>
      </c>
      <c r="G904" s="1" t="s">
        <v>1020</v>
      </c>
      <c r="I904" s="1" t="s">
        <v>11473</v>
      </c>
      <c r="O904" t="s">
        <v>22</v>
      </c>
    </row>
    <row r="905" spans="1:15">
      <c r="A905" t="s">
        <v>9030</v>
      </c>
      <c r="B905" t="s">
        <v>9030</v>
      </c>
      <c r="C905" t="s">
        <v>9031</v>
      </c>
      <c r="F905">
        <v>1</v>
      </c>
      <c r="G905" s="1" t="s">
        <v>1021</v>
      </c>
      <c r="I905" s="1" t="s">
        <v>11473</v>
      </c>
      <c r="O905" t="s">
        <v>22</v>
      </c>
    </row>
    <row r="906" spans="1:15">
      <c r="A906" t="s">
        <v>5618</v>
      </c>
      <c r="B906" t="s">
        <v>5618</v>
      </c>
      <c r="C906" t="s">
        <v>4487</v>
      </c>
      <c r="F906">
        <v>1</v>
      </c>
      <c r="G906" s="1" t="s">
        <v>1022</v>
      </c>
      <c r="I906" s="1" t="s">
        <v>11473</v>
      </c>
      <c r="O906" t="s">
        <v>22</v>
      </c>
    </row>
    <row r="907" spans="1:15">
      <c r="A907" t="s">
        <v>5746</v>
      </c>
      <c r="B907" t="s">
        <v>5746</v>
      </c>
      <c r="C907" t="s">
        <v>4487</v>
      </c>
      <c r="F907">
        <v>1</v>
      </c>
      <c r="G907" s="1" t="s">
        <v>1023</v>
      </c>
      <c r="I907" s="1" t="s">
        <v>11473</v>
      </c>
      <c r="O907" t="s">
        <v>22</v>
      </c>
    </row>
    <row r="908" spans="1:15">
      <c r="A908" t="s">
        <v>11032</v>
      </c>
      <c r="B908" t="s">
        <v>11032</v>
      </c>
      <c r="C908" t="s">
        <v>11033</v>
      </c>
      <c r="F908">
        <v>1</v>
      </c>
      <c r="G908" s="1" t="s">
        <v>1024</v>
      </c>
      <c r="I908" s="1" t="s">
        <v>11473</v>
      </c>
      <c r="O908" t="s">
        <v>22</v>
      </c>
    </row>
    <row r="909" spans="1:15">
      <c r="A909" t="s">
        <v>7263</v>
      </c>
      <c r="B909" t="s">
        <v>7263</v>
      </c>
      <c r="C909" t="s">
        <v>7264</v>
      </c>
      <c r="F909">
        <v>1</v>
      </c>
      <c r="G909" s="1" t="s">
        <v>1025</v>
      </c>
      <c r="I909" s="1" t="s">
        <v>11473</v>
      </c>
      <c r="O909" t="s">
        <v>22</v>
      </c>
    </row>
    <row r="910" spans="1:15">
      <c r="A910" t="s">
        <v>6296</v>
      </c>
      <c r="B910" t="s">
        <v>6296</v>
      </c>
      <c r="C910" t="s">
        <v>6297</v>
      </c>
      <c r="F910">
        <v>1</v>
      </c>
      <c r="G910" s="1" t="s">
        <v>1026</v>
      </c>
      <c r="I910" s="1" t="s">
        <v>11473</v>
      </c>
      <c r="O910" t="s">
        <v>22</v>
      </c>
    </row>
    <row r="911" spans="1:15">
      <c r="A911" t="s">
        <v>8811</v>
      </c>
      <c r="B911" t="s">
        <v>8811</v>
      </c>
      <c r="C911" t="s">
        <v>4654</v>
      </c>
      <c r="F911">
        <v>1</v>
      </c>
      <c r="G911" s="1" t="s">
        <v>1027</v>
      </c>
      <c r="I911" s="1" t="s">
        <v>11473</v>
      </c>
      <c r="O911" t="s">
        <v>22</v>
      </c>
    </row>
    <row r="912" spans="1:15">
      <c r="A912" t="s">
        <v>6269</v>
      </c>
      <c r="B912" t="s">
        <v>6269</v>
      </c>
      <c r="C912" t="s">
        <v>6270</v>
      </c>
      <c r="F912">
        <v>1</v>
      </c>
      <c r="G912" s="1" t="s">
        <v>1028</v>
      </c>
      <c r="I912" s="1" t="s">
        <v>11473</v>
      </c>
      <c r="O912" t="s">
        <v>22</v>
      </c>
    </row>
    <row r="913" spans="1:15">
      <c r="A913" t="s">
        <v>5831</v>
      </c>
      <c r="B913" t="s">
        <v>5831</v>
      </c>
      <c r="C913" t="s">
        <v>5832</v>
      </c>
      <c r="F913">
        <v>1</v>
      </c>
      <c r="G913" s="1" t="s">
        <v>1029</v>
      </c>
      <c r="I913" s="1" t="s">
        <v>11473</v>
      </c>
      <c r="O913" t="s">
        <v>22</v>
      </c>
    </row>
    <row r="914" spans="1:15">
      <c r="A914" t="s">
        <v>5829</v>
      </c>
      <c r="B914" t="s">
        <v>5829</v>
      </c>
      <c r="C914" t="s">
        <v>4653</v>
      </c>
      <c r="F914">
        <v>1</v>
      </c>
      <c r="G914" s="1" t="s">
        <v>1030</v>
      </c>
      <c r="I914" s="1" t="s">
        <v>11473</v>
      </c>
      <c r="O914" t="s">
        <v>22</v>
      </c>
    </row>
    <row r="915" spans="1:15">
      <c r="A915" t="s">
        <v>9894</v>
      </c>
      <c r="B915" t="s">
        <v>9894</v>
      </c>
      <c r="C915" t="s">
        <v>4653</v>
      </c>
      <c r="F915">
        <v>1</v>
      </c>
      <c r="G915" s="1" t="s">
        <v>1031</v>
      </c>
      <c r="I915" s="1" t="s">
        <v>11473</v>
      </c>
      <c r="O915" t="s">
        <v>22</v>
      </c>
    </row>
    <row r="916" spans="1:15">
      <c r="A916" t="s">
        <v>5843</v>
      </c>
      <c r="B916" t="s">
        <v>5843</v>
      </c>
      <c r="C916" t="s">
        <v>5844</v>
      </c>
      <c r="F916">
        <v>1</v>
      </c>
      <c r="G916" s="1" t="s">
        <v>1032</v>
      </c>
      <c r="I916" s="1" t="s">
        <v>11473</v>
      </c>
      <c r="O916" t="s">
        <v>22</v>
      </c>
    </row>
    <row r="917" spans="1:15">
      <c r="A917" t="s">
        <v>7496</v>
      </c>
      <c r="B917" t="s">
        <v>7496</v>
      </c>
      <c r="C917" t="s">
        <v>4216</v>
      </c>
      <c r="F917">
        <v>1</v>
      </c>
      <c r="G917" s="1" t="s">
        <v>1033</v>
      </c>
      <c r="I917" s="1" t="s">
        <v>11473</v>
      </c>
      <c r="O917" t="s">
        <v>22</v>
      </c>
    </row>
    <row r="918" spans="1:15">
      <c r="A918" t="s">
        <v>9891</v>
      </c>
      <c r="B918" t="s">
        <v>9891</v>
      </c>
      <c r="C918" t="s">
        <v>9892</v>
      </c>
      <c r="F918">
        <v>1</v>
      </c>
      <c r="G918" s="1" t="s">
        <v>1034</v>
      </c>
      <c r="I918" s="1" t="s">
        <v>11473</v>
      </c>
      <c r="O918" t="s">
        <v>22</v>
      </c>
    </row>
    <row r="919" spans="1:15">
      <c r="A919" t="s">
        <v>9848</v>
      </c>
      <c r="B919" t="s">
        <v>9848</v>
      </c>
      <c r="C919" t="s">
        <v>4677</v>
      </c>
      <c r="F919">
        <v>1</v>
      </c>
      <c r="G919" s="1" t="s">
        <v>1035</v>
      </c>
      <c r="I919" s="1" t="s">
        <v>11473</v>
      </c>
      <c r="O919" t="s">
        <v>22</v>
      </c>
    </row>
    <row r="920" spans="1:15">
      <c r="A920" t="s">
        <v>9857</v>
      </c>
      <c r="B920" t="s">
        <v>9857</v>
      </c>
      <c r="C920" t="s">
        <v>9858</v>
      </c>
      <c r="F920">
        <v>1</v>
      </c>
      <c r="G920" s="1" t="s">
        <v>1036</v>
      </c>
      <c r="I920" s="1" t="s">
        <v>11473</v>
      </c>
      <c r="O920" t="s">
        <v>22</v>
      </c>
    </row>
    <row r="921" spans="1:15">
      <c r="A921" t="s">
        <v>11050</v>
      </c>
      <c r="B921" t="s">
        <v>11050</v>
      </c>
      <c r="C921" t="s">
        <v>4651</v>
      </c>
      <c r="F921">
        <v>1</v>
      </c>
      <c r="G921" s="1" t="s">
        <v>1037</v>
      </c>
      <c r="I921" s="1" t="s">
        <v>11473</v>
      </c>
      <c r="O921" t="s">
        <v>22</v>
      </c>
    </row>
    <row r="922" spans="1:15">
      <c r="A922" t="s">
        <v>7418</v>
      </c>
      <c r="B922" t="s">
        <v>7418</v>
      </c>
      <c r="C922" t="s">
        <v>7419</v>
      </c>
      <c r="F922">
        <v>1</v>
      </c>
      <c r="G922" s="1" t="s">
        <v>1038</v>
      </c>
      <c r="I922" s="1" t="s">
        <v>11473</v>
      </c>
      <c r="O922" t="s">
        <v>22</v>
      </c>
    </row>
    <row r="923" spans="1:15">
      <c r="A923" t="s">
        <v>7986</v>
      </c>
      <c r="B923" t="s">
        <v>7986</v>
      </c>
      <c r="C923" t="s">
        <v>7987</v>
      </c>
      <c r="F923">
        <v>1</v>
      </c>
      <c r="G923" s="1" t="s">
        <v>1039</v>
      </c>
      <c r="I923" s="1" t="s">
        <v>11473</v>
      </c>
      <c r="O923" t="s">
        <v>22</v>
      </c>
    </row>
    <row r="924" spans="1:15">
      <c r="A924" t="s">
        <v>10999</v>
      </c>
      <c r="B924" t="s">
        <v>10999</v>
      </c>
      <c r="C924" t="s">
        <v>11000</v>
      </c>
      <c r="F924">
        <v>1</v>
      </c>
      <c r="G924" s="1" t="s">
        <v>1040</v>
      </c>
      <c r="I924" s="1" t="s">
        <v>11473</v>
      </c>
      <c r="O924" t="s">
        <v>22</v>
      </c>
    </row>
    <row r="925" spans="1:15">
      <c r="A925" t="s">
        <v>9866</v>
      </c>
      <c r="B925" t="s">
        <v>9866</v>
      </c>
      <c r="C925" t="s">
        <v>9867</v>
      </c>
      <c r="F925">
        <v>1</v>
      </c>
      <c r="G925" s="1" t="s">
        <v>1041</v>
      </c>
      <c r="I925" s="1" t="s">
        <v>11473</v>
      </c>
      <c r="O925" t="s">
        <v>22</v>
      </c>
    </row>
    <row r="926" spans="1:15">
      <c r="A926" t="s">
        <v>10583</v>
      </c>
      <c r="B926" t="s">
        <v>10583</v>
      </c>
      <c r="C926" t="s">
        <v>4675</v>
      </c>
      <c r="F926">
        <v>1</v>
      </c>
      <c r="G926" s="1" t="s">
        <v>1042</v>
      </c>
      <c r="I926" s="1" t="s">
        <v>11473</v>
      </c>
      <c r="O926" t="s">
        <v>22</v>
      </c>
    </row>
    <row r="927" spans="1:15">
      <c r="A927" t="s">
        <v>11053</v>
      </c>
      <c r="B927" t="s">
        <v>11053</v>
      </c>
      <c r="C927" t="s">
        <v>11054</v>
      </c>
      <c r="F927">
        <v>1</v>
      </c>
      <c r="G927" s="1" t="s">
        <v>1043</v>
      </c>
      <c r="I927" s="1" t="s">
        <v>11473</v>
      </c>
      <c r="O927" t="s">
        <v>22</v>
      </c>
    </row>
    <row r="928" spans="1:15">
      <c r="A928" t="s">
        <v>6285</v>
      </c>
      <c r="B928" t="s">
        <v>6285</v>
      </c>
      <c r="C928" t="s">
        <v>4991</v>
      </c>
      <c r="F928">
        <v>1</v>
      </c>
      <c r="G928" s="1" t="s">
        <v>1044</v>
      </c>
      <c r="I928" s="1" t="s">
        <v>11473</v>
      </c>
      <c r="O928" t="s">
        <v>22</v>
      </c>
    </row>
    <row r="929" spans="1:15">
      <c r="A929" t="s">
        <v>6277</v>
      </c>
      <c r="B929" t="s">
        <v>6277</v>
      </c>
      <c r="C929" t="s">
        <v>6278</v>
      </c>
      <c r="F929">
        <v>1</v>
      </c>
      <c r="G929" s="1" t="s">
        <v>1045</v>
      </c>
      <c r="I929" s="1" t="s">
        <v>11473</v>
      </c>
      <c r="O929" t="s">
        <v>22</v>
      </c>
    </row>
    <row r="930" spans="1:15">
      <c r="A930" t="s">
        <v>5837</v>
      </c>
      <c r="B930" t="s">
        <v>5837</v>
      </c>
      <c r="C930" t="s">
        <v>5838</v>
      </c>
      <c r="F930">
        <v>1</v>
      </c>
      <c r="G930" s="1" t="s">
        <v>1046</v>
      </c>
      <c r="I930" s="1" t="s">
        <v>11473</v>
      </c>
      <c r="O930" t="s">
        <v>22</v>
      </c>
    </row>
    <row r="931" spans="1:15">
      <c r="A931" t="s">
        <v>6719</v>
      </c>
      <c r="B931" t="s">
        <v>6719</v>
      </c>
      <c r="C931" t="s">
        <v>5838</v>
      </c>
      <c r="F931">
        <v>1</v>
      </c>
      <c r="G931" s="1" t="s">
        <v>1047</v>
      </c>
      <c r="I931" s="1" t="s">
        <v>11473</v>
      </c>
      <c r="O931" t="s">
        <v>22</v>
      </c>
    </row>
    <row r="932" spans="1:15">
      <c r="A932" t="s">
        <v>11284</v>
      </c>
      <c r="B932" t="s">
        <v>11284</v>
      </c>
      <c r="C932" t="s">
        <v>11285</v>
      </c>
      <c r="F932">
        <v>1</v>
      </c>
      <c r="G932" s="1" t="s">
        <v>1048</v>
      </c>
      <c r="I932" s="1" t="s">
        <v>11473</v>
      </c>
      <c r="O932" t="s">
        <v>22</v>
      </c>
    </row>
    <row r="933" spans="1:15">
      <c r="A933" t="s">
        <v>5840</v>
      </c>
      <c r="B933" t="s">
        <v>5840</v>
      </c>
      <c r="C933" t="s">
        <v>5841</v>
      </c>
      <c r="F933">
        <v>1</v>
      </c>
      <c r="G933" s="1" t="s">
        <v>1049</v>
      </c>
      <c r="I933" s="1" t="s">
        <v>11473</v>
      </c>
      <c r="O933" t="s">
        <v>22</v>
      </c>
    </row>
    <row r="934" spans="1:15">
      <c r="A934" t="s">
        <v>6298</v>
      </c>
      <c r="B934" t="s">
        <v>6298</v>
      </c>
      <c r="C934" t="s">
        <v>4655</v>
      </c>
      <c r="F934">
        <v>1</v>
      </c>
      <c r="G934" s="1" t="s">
        <v>1050</v>
      </c>
      <c r="I934" s="1" t="s">
        <v>11473</v>
      </c>
      <c r="O934" t="s">
        <v>22</v>
      </c>
    </row>
    <row r="935" spans="1:15">
      <c r="A935" t="s">
        <v>10561</v>
      </c>
      <c r="B935" t="s">
        <v>10561</v>
      </c>
      <c r="C935" t="s">
        <v>10562</v>
      </c>
      <c r="F935">
        <v>1</v>
      </c>
      <c r="G935" s="1" t="s">
        <v>1051</v>
      </c>
      <c r="I935" s="1" t="s">
        <v>11473</v>
      </c>
      <c r="O935" t="s">
        <v>22</v>
      </c>
    </row>
    <row r="936" spans="1:15">
      <c r="A936" t="s">
        <v>11470</v>
      </c>
      <c r="B936" t="s">
        <v>11470</v>
      </c>
      <c r="C936" t="s">
        <v>11471</v>
      </c>
      <c r="F936">
        <v>1</v>
      </c>
      <c r="G936" s="1" t="s">
        <v>1052</v>
      </c>
      <c r="I936" s="1" t="s">
        <v>11473</v>
      </c>
      <c r="O936" t="s">
        <v>22</v>
      </c>
    </row>
    <row r="937" spans="1:15">
      <c r="A937" t="s">
        <v>5813</v>
      </c>
      <c r="B937" t="s">
        <v>5813</v>
      </c>
      <c r="C937" t="s">
        <v>5814</v>
      </c>
      <c r="F937">
        <v>1</v>
      </c>
      <c r="G937" s="1" t="s">
        <v>1053</v>
      </c>
      <c r="I937" s="1" t="s">
        <v>11473</v>
      </c>
      <c r="O937" t="s">
        <v>22</v>
      </c>
    </row>
    <row r="938" spans="1:15">
      <c r="A938" t="s">
        <v>5816</v>
      </c>
      <c r="B938" t="s">
        <v>5816</v>
      </c>
      <c r="C938" t="s">
        <v>5817</v>
      </c>
      <c r="F938">
        <v>1</v>
      </c>
      <c r="G938" s="1" t="s">
        <v>1054</v>
      </c>
      <c r="I938" s="1" t="s">
        <v>11473</v>
      </c>
      <c r="O938" t="s">
        <v>22</v>
      </c>
    </row>
    <row r="939" spans="1:15">
      <c r="A939" t="s">
        <v>10105</v>
      </c>
      <c r="B939" t="s">
        <v>10105</v>
      </c>
      <c r="C939" t="s">
        <v>5817</v>
      </c>
      <c r="F939">
        <v>1</v>
      </c>
      <c r="G939" s="1" t="s">
        <v>1055</v>
      </c>
      <c r="I939" s="1" t="s">
        <v>11473</v>
      </c>
      <c r="O939" t="s">
        <v>22</v>
      </c>
    </row>
    <row r="940" spans="1:15">
      <c r="A940" t="s">
        <v>6267</v>
      </c>
      <c r="B940" t="s">
        <v>6267</v>
      </c>
      <c r="C940" t="s">
        <v>6268</v>
      </c>
      <c r="F940">
        <v>1</v>
      </c>
      <c r="G940" s="1" t="s">
        <v>1056</v>
      </c>
      <c r="I940" s="1" t="s">
        <v>11473</v>
      </c>
      <c r="O940" t="s">
        <v>22</v>
      </c>
    </row>
    <row r="941" spans="1:15">
      <c r="A941" t="s">
        <v>11377</v>
      </c>
      <c r="B941" t="s">
        <v>11377</v>
      </c>
      <c r="C941" t="s">
        <v>11378</v>
      </c>
      <c r="F941">
        <v>1</v>
      </c>
      <c r="G941" s="1" t="s">
        <v>1057</v>
      </c>
      <c r="I941" s="1" t="s">
        <v>11473</v>
      </c>
      <c r="O941" t="s">
        <v>22</v>
      </c>
    </row>
    <row r="942" spans="1:15">
      <c r="A942" t="s">
        <v>6287</v>
      </c>
      <c r="B942" t="s">
        <v>6287</v>
      </c>
      <c r="C942" t="s">
        <v>6288</v>
      </c>
      <c r="F942">
        <v>1</v>
      </c>
      <c r="G942" s="1" t="s">
        <v>1058</v>
      </c>
      <c r="I942" s="1" t="s">
        <v>11473</v>
      </c>
      <c r="O942" t="s">
        <v>22</v>
      </c>
    </row>
    <row r="943" spans="1:15">
      <c r="A943" t="s">
        <v>6301</v>
      </c>
      <c r="B943" t="s">
        <v>6301</v>
      </c>
      <c r="C943" t="s">
        <v>4196</v>
      </c>
      <c r="F943">
        <v>1</v>
      </c>
      <c r="G943" s="1" t="s">
        <v>1059</v>
      </c>
      <c r="I943" s="1" t="s">
        <v>11473</v>
      </c>
      <c r="O943" t="s">
        <v>22</v>
      </c>
    </row>
    <row r="944" spans="1:15">
      <c r="A944" t="s">
        <v>10360</v>
      </c>
      <c r="B944" t="s">
        <v>10360</v>
      </c>
      <c r="C944" t="s">
        <v>4656</v>
      </c>
      <c r="F944">
        <v>1</v>
      </c>
      <c r="G944" s="1" t="s">
        <v>1060</v>
      </c>
      <c r="I944" s="1" t="s">
        <v>11473</v>
      </c>
      <c r="O944" t="s">
        <v>22</v>
      </c>
    </row>
    <row r="945" spans="1:15">
      <c r="A945" t="s">
        <v>6299</v>
      </c>
      <c r="B945" t="s">
        <v>6299</v>
      </c>
      <c r="C945" t="s">
        <v>6300</v>
      </c>
      <c r="F945">
        <v>1</v>
      </c>
      <c r="G945" s="1" t="s">
        <v>1061</v>
      </c>
      <c r="I945" s="1" t="s">
        <v>11473</v>
      </c>
      <c r="O945" t="s">
        <v>22</v>
      </c>
    </row>
    <row r="946" spans="1:15">
      <c r="A946" t="s">
        <v>8629</v>
      </c>
      <c r="B946" t="s">
        <v>8629</v>
      </c>
      <c r="C946" t="s">
        <v>8630</v>
      </c>
      <c r="F946">
        <v>1</v>
      </c>
      <c r="G946" s="1" t="s">
        <v>1062</v>
      </c>
      <c r="I946" s="1" t="s">
        <v>11473</v>
      </c>
      <c r="O946" t="s">
        <v>22</v>
      </c>
    </row>
    <row r="947" spans="1:15">
      <c r="A947" t="s">
        <v>11097</v>
      </c>
      <c r="B947" t="s">
        <v>11097</v>
      </c>
      <c r="C947" t="s">
        <v>8630</v>
      </c>
      <c r="F947">
        <v>1</v>
      </c>
      <c r="G947" s="1" t="s">
        <v>1063</v>
      </c>
      <c r="I947" s="1" t="s">
        <v>11473</v>
      </c>
      <c r="O947" t="s">
        <v>22</v>
      </c>
    </row>
    <row r="948" spans="1:15">
      <c r="A948" t="s">
        <v>8943</v>
      </c>
      <c r="B948" t="s">
        <v>8943</v>
      </c>
      <c r="C948" t="s">
        <v>5185</v>
      </c>
      <c r="F948">
        <v>1</v>
      </c>
      <c r="G948" s="1" t="s">
        <v>1064</v>
      </c>
      <c r="I948" s="1" t="s">
        <v>11473</v>
      </c>
      <c r="O948" t="s">
        <v>22</v>
      </c>
    </row>
    <row r="949" spans="1:15">
      <c r="A949" t="s">
        <v>8363</v>
      </c>
      <c r="B949" t="s">
        <v>8363</v>
      </c>
      <c r="C949" t="s">
        <v>8364</v>
      </c>
      <c r="F949">
        <v>1</v>
      </c>
      <c r="G949" s="1" t="s">
        <v>1065</v>
      </c>
      <c r="I949" s="1" t="s">
        <v>11473</v>
      </c>
      <c r="O949" t="s">
        <v>22</v>
      </c>
    </row>
    <row r="950" spans="1:15">
      <c r="A950" t="s">
        <v>10130</v>
      </c>
      <c r="B950" t="s">
        <v>10130</v>
      </c>
      <c r="C950" t="s">
        <v>8364</v>
      </c>
      <c r="F950">
        <v>1</v>
      </c>
      <c r="G950" s="1" t="s">
        <v>1066</v>
      </c>
      <c r="I950" s="1" t="s">
        <v>11473</v>
      </c>
      <c r="O950" t="s">
        <v>22</v>
      </c>
    </row>
    <row r="951" spans="1:15">
      <c r="A951" t="s">
        <v>6657</v>
      </c>
      <c r="B951" t="s">
        <v>6657</v>
      </c>
      <c r="C951" t="s">
        <v>6658</v>
      </c>
      <c r="F951">
        <v>1</v>
      </c>
      <c r="G951" s="1" t="s">
        <v>1067</v>
      </c>
      <c r="I951" s="1" t="s">
        <v>11473</v>
      </c>
      <c r="O951" t="s">
        <v>22</v>
      </c>
    </row>
    <row r="952" spans="1:15">
      <c r="A952" t="s">
        <v>6653</v>
      </c>
      <c r="B952" t="s">
        <v>6653</v>
      </c>
      <c r="C952" t="s">
        <v>6654</v>
      </c>
      <c r="F952">
        <v>1</v>
      </c>
      <c r="G952" s="1" t="s">
        <v>1068</v>
      </c>
      <c r="I952" s="1" t="s">
        <v>11473</v>
      </c>
      <c r="O952" t="s">
        <v>22</v>
      </c>
    </row>
    <row r="953" spans="1:15">
      <c r="A953" t="s">
        <v>6821</v>
      </c>
      <c r="B953" t="s">
        <v>6821</v>
      </c>
      <c r="C953" t="s">
        <v>5223</v>
      </c>
      <c r="F953">
        <v>1</v>
      </c>
      <c r="G953" s="1" t="s">
        <v>1069</v>
      </c>
      <c r="I953" s="1" t="s">
        <v>11473</v>
      </c>
      <c r="O953" t="s">
        <v>22</v>
      </c>
    </row>
    <row r="954" spans="1:15">
      <c r="A954" t="s">
        <v>8284</v>
      </c>
      <c r="B954" t="s">
        <v>8284</v>
      </c>
      <c r="C954" t="s">
        <v>8285</v>
      </c>
      <c r="F954">
        <v>1</v>
      </c>
      <c r="G954" s="1" t="s">
        <v>1070</v>
      </c>
      <c r="I954" s="1" t="s">
        <v>11473</v>
      </c>
      <c r="O954" t="s">
        <v>22</v>
      </c>
    </row>
    <row r="955" spans="1:15">
      <c r="A955" t="s">
        <v>6613</v>
      </c>
      <c r="B955" t="s">
        <v>6613</v>
      </c>
      <c r="C955" t="s">
        <v>6614</v>
      </c>
      <c r="F955">
        <v>1</v>
      </c>
      <c r="G955" s="1" t="s">
        <v>1071</v>
      </c>
      <c r="I955" s="1" t="s">
        <v>11473</v>
      </c>
      <c r="O955" t="s">
        <v>22</v>
      </c>
    </row>
    <row r="956" spans="1:15">
      <c r="A956" t="s">
        <v>9450</v>
      </c>
      <c r="B956" t="s">
        <v>9450</v>
      </c>
      <c r="C956" t="s">
        <v>9451</v>
      </c>
      <c r="F956">
        <v>1</v>
      </c>
      <c r="G956" s="1" t="s">
        <v>1072</v>
      </c>
      <c r="I956" s="1" t="s">
        <v>11473</v>
      </c>
      <c r="O956" t="s">
        <v>22</v>
      </c>
    </row>
    <row r="957" spans="1:15">
      <c r="A957" t="s">
        <v>8631</v>
      </c>
      <c r="B957" t="s">
        <v>8631</v>
      </c>
      <c r="C957" t="s">
        <v>8632</v>
      </c>
      <c r="F957">
        <v>1</v>
      </c>
      <c r="G957" s="1" t="s">
        <v>1073</v>
      </c>
      <c r="I957" s="1" t="s">
        <v>11473</v>
      </c>
      <c r="O957" t="s">
        <v>22</v>
      </c>
    </row>
    <row r="958" spans="1:15">
      <c r="A958" t="s">
        <v>11119</v>
      </c>
      <c r="B958" t="s">
        <v>11119</v>
      </c>
      <c r="C958" t="s">
        <v>11120</v>
      </c>
      <c r="F958">
        <v>1</v>
      </c>
      <c r="G958" s="1" t="s">
        <v>1074</v>
      </c>
      <c r="I958" s="1" t="s">
        <v>11473</v>
      </c>
      <c r="O958" t="s">
        <v>22</v>
      </c>
    </row>
    <row r="959" spans="1:15">
      <c r="A959" t="s">
        <v>9324</v>
      </c>
      <c r="B959" t="s">
        <v>9324</v>
      </c>
      <c r="C959" t="s">
        <v>9325</v>
      </c>
      <c r="F959">
        <v>1</v>
      </c>
      <c r="G959" s="1" t="s">
        <v>1075</v>
      </c>
      <c r="I959" s="1" t="s">
        <v>11473</v>
      </c>
      <c r="O959" t="s">
        <v>22</v>
      </c>
    </row>
    <row r="960" spans="1:15">
      <c r="A960" t="s">
        <v>10107</v>
      </c>
      <c r="B960" t="s">
        <v>10107</v>
      </c>
      <c r="C960" t="s">
        <v>10108</v>
      </c>
      <c r="F960">
        <v>1</v>
      </c>
      <c r="G960" s="1" t="s">
        <v>1076</v>
      </c>
      <c r="I960" s="1" t="s">
        <v>11473</v>
      </c>
      <c r="O960" t="s">
        <v>22</v>
      </c>
    </row>
    <row r="961" spans="1:15">
      <c r="A961" t="s">
        <v>11118</v>
      </c>
      <c r="B961" t="s">
        <v>11118</v>
      </c>
      <c r="C961" t="s">
        <v>4731</v>
      </c>
      <c r="F961">
        <v>1</v>
      </c>
      <c r="G961" s="1" t="s">
        <v>1077</v>
      </c>
      <c r="I961" s="1" t="s">
        <v>11473</v>
      </c>
      <c r="O961" t="s">
        <v>22</v>
      </c>
    </row>
    <row r="962" spans="1:15">
      <c r="A962" t="s">
        <v>7804</v>
      </c>
      <c r="B962" t="s">
        <v>7804</v>
      </c>
      <c r="C962" t="s">
        <v>4512</v>
      </c>
      <c r="F962">
        <v>1</v>
      </c>
      <c r="G962" s="1" t="s">
        <v>1078</v>
      </c>
      <c r="I962" s="1" t="s">
        <v>11473</v>
      </c>
      <c r="O962" t="s">
        <v>22</v>
      </c>
    </row>
    <row r="963" spans="1:15">
      <c r="A963" t="s">
        <v>8435</v>
      </c>
      <c r="B963" t="s">
        <v>8435</v>
      </c>
      <c r="C963" t="s">
        <v>4893</v>
      </c>
      <c r="F963">
        <v>1</v>
      </c>
      <c r="G963" s="1" t="s">
        <v>1079</v>
      </c>
      <c r="I963" s="1" t="s">
        <v>11473</v>
      </c>
      <c r="O963" t="s">
        <v>22</v>
      </c>
    </row>
    <row r="964" spans="1:15">
      <c r="A964" t="s">
        <v>6646</v>
      </c>
      <c r="B964" t="s">
        <v>6646</v>
      </c>
      <c r="C964" t="s">
        <v>6647</v>
      </c>
      <c r="F964">
        <v>1</v>
      </c>
      <c r="G964" s="1" t="s">
        <v>1080</v>
      </c>
      <c r="I964" s="1" t="s">
        <v>11473</v>
      </c>
      <c r="O964" t="s">
        <v>22</v>
      </c>
    </row>
    <row r="965" spans="1:15">
      <c r="A965" t="s">
        <v>5702</v>
      </c>
      <c r="B965" t="s">
        <v>5702</v>
      </c>
      <c r="C965" t="s">
        <v>5703</v>
      </c>
      <c r="F965">
        <v>1</v>
      </c>
      <c r="G965" s="1" t="s">
        <v>1081</v>
      </c>
      <c r="I965" s="1" t="s">
        <v>11473</v>
      </c>
      <c r="O965" t="s">
        <v>22</v>
      </c>
    </row>
    <row r="966" spans="1:15">
      <c r="A966" t="s">
        <v>9551</v>
      </c>
      <c r="B966" t="s">
        <v>9551</v>
      </c>
      <c r="C966" t="s">
        <v>5703</v>
      </c>
      <c r="F966">
        <v>1</v>
      </c>
      <c r="G966" s="1" t="s">
        <v>1082</v>
      </c>
      <c r="I966" s="1" t="s">
        <v>11473</v>
      </c>
      <c r="O966" t="s">
        <v>22</v>
      </c>
    </row>
    <row r="967" spans="1:15">
      <c r="A967" t="s">
        <v>11224</v>
      </c>
      <c r="B967" t="s">
        <v>11224</v>
      </c>
      <c r="C967" t="s">
        <v>5703</v>
      </c>
      <c r="F967">
        <v>1</v>
      </c>
      <c r="G967" s="1" t="s">
        <v>1083</v>
      </c>
      <c r="I967" s="1" t="s">
        <v>11473</v>
      </c>
      <c r="O967" t="s">
        <v>22</v>
      </c>
    </row>
    <row r="968" spans="1:15">
      <c r="A968" t="s">
        <v>9400</v>
      </c>
      <c r="B968" t="s">
        <v>9400</v>
      </c>
      <c r="C968" t="s">
        <v>5212</v>
      </c>
      <c r="F968">
        <v>1</v>
      </c>
      <c r="G968" s="1" t="s">
        <v>1084</v>
      </c>
      <c r="I968" s="1" t="s">
        <v>11473</v>
      </c>
      <c r="O968" t="s">
        <v>22</v>
      </c>
    </row>
    <row r="969" spans="1:15">
      <c r="A969" t="s">
        <v>10926</v>
      </c>
      <c r="B969" t="s">
        <v>10926</v>
      </c>
      <c r="C969" t="s">
        <v>5212</v>
      </c>
      <c r="F969">
        <v>1</v>
      </c>
      <c r="G969" s="1" t="s">
        <v>1085</v>
      </c>
      <c r="I969" s="1" t="s">
        <v>11473</v>
      </c>
      <c r="O969" t="s">
        <v>22</v>
      </c>
    </row>
    <row r="970" spans="1:15">
      <c r="A970" t="s">
        <v>5820</v>
      </c>
      <c r="B970" t="s">
        <v>5820</v>
      </c>
      <c r="C970" t="s">
        <v>4187</v>
      </c>
      <c r="F970">
        <v>1</v>
      </c>
      <c r="G970" s="1" t="s">
        <v>1086</v>
      </c>
      <c r="I970" s="1" t="s">
        <v>11473</v>
      </c>
      <c r="O970" t="s">
        <v>22</v>
      </c>
    </row>
    <row r="971" spans="1:15">
      <c r="A971" t="s">
        <v>9580</v>
      </c>
      <c r="B971" t="s">
        <v>9580</v>
      </c>
      <c r="C971" t="s">
        <v>9581</v>
      </c>
      <c r="F971">
        <v>1</v>
      </c>
      <c r="G971" s="1" t="s">
        <v>1087</v>
      </c>
      <c r="I971" s="1" t="s">
        <v>11473</v>
      </c>
      <c r="O971" t="s">
        <v>22</v>
      </c>
    </row>
    <row r="972" spans="1:15">
      <c r="A972" t="s">
        <v>8856</v>
      </c>
      <c r="B972" t="s">
        <v>8856</v>
      </c>
      <c r="C972" t="s">
        <v>8857</v>
      </c>
      <c r="F972">
        <v>1</v>
      </c>
      <c r="G972" s="1" t="s">
        <v>1088</v>
      </c>
      <c r="I972" s="1" t="s">
        <v>11473</v>
      </c>
      <c r="O972" t="s">
        <v>22</v>
      </c>
    </row>
    <row r="973" spans="1:15">
      <c r="A973" t="s">
        <v>6827</v>
      </c>
      <c r="B973" t="s">
        <v>6827</v>
      </c>
      <c r="C973" t="s">
        <v>6828</v>
      </c>
      <c r="F973">
        <v>1</v>
      </c>
      <c r="G973" s="1" t="s">
        <v>1089</v>
      </c>
      <c r="I973" s="1" t="s">
        <v>11473</v>
      </c>
      <c r="O973" t="s">
        <v>22</v>
      </c>
    </row>
    <row r="974" spans="1:15">
      <c r="A974" t="s">
        <v>7104</v>
      </c>
      <c r="B974" t="s">
        <v>7104</v>
      </c>
      <c r="C974" t="s">
        <v>6828</v>
      </c>
      <c r="F974">
        <v>1</v>
      </c>
      <c r="G974" s="1" t="s">
        <v>1090</v>
      </c>
      <c r="I974" s="1" t="s">
        <v>11473</v>
      </c>
      <c r="O974" t="s">
        <v>22</v>
      </c>
    </row>
    <row r="975" spans="1:15">
      <c r="A975" t="s">
        <v>10182</v>
      </c>
      <c r="B975" t="s">
        <v>10182</v>
      </c>
      <c r="C975" t="s">
        <v>6828</v>
      </c>
      <c r="F975">
        <v>1</v>
      </c>
      <c r="G975" s="1" t="s">
        <v>1091</v>
      </c>
      <c r="I975" s="1" t="s">
        <v>11473</v>
      </c>
      <c r="O975" t="s">
        <v>22</v>
      </c>
    </row>
    <row r="976" spans="1:15">
      <c r="A976" t="s">
        <v>6630</v>
      </c>
      <c r="B976" t="s">
        <v>6630</v>
      </c>
      <c r="C976" t="s">
        <v>6631</v>
      </c>
      <c r="F976">
        <v>1</v>
      </c>
      <c r="G976" s="1" t="s">
        <v>1092</v>
      </c>
      <c r="I976" s="1" t="s">
        <v>11473</v>
      </c>
      <c r="O976" t="s">
        <v>22</v>
      </c>
    </row>
    <row r="977" spans="1:15">
      <c r="A977" t="s">
        <v>8165</v>
      </c>
      <c r="B977" t="s">
        <v>8165</v>
      </c>
      <c r="C977" t="s">
        <v>6631</v>
      </c>
      <c r="F977">
        <v>1</v>
      </c>
      <c r="G977" s="1" t="s">
        <v>1093</v>
      </c>
      <c r="I977" s="1" t="s">
        <v>11473</v>
      </c>
      <c r="O977" t="s">
        <v>22</v>
      </c>
    </row>
    <row r="978" spans="1:15">
      <c r="A978" t="s">
        <v>9425</v>
      </c>
      <c r="B978" t="s">
        <v>9425</v>
      </c>
      <c r="C978" t="s">
        <v>4417</v>
      </c>
      <c r="F978">
        <v>1</v>
      </c>
      <c r="G978" s="1" t="s">
        <v>1094</v>
      </c>
      <c r="I978" s="1" t="s">
        <v>11473</v>
      </c>
      <c r="O978" t="s">
        <v>22</v>
      </c>
    </row>
    <row r="979" spans="1:15">
      <c r="A979" t="s">
        <v>10789</v>
      </c>
      <c r="B979" t="s">
        <v>10789</v>
      </c>
      <c r="C979" t="s">
        <v>4417</v>
      </c>
      <c r="F979">
        <v>1</v>
      </c>
      <c r="G979" s="1" t="s">
        <v>1095</v>
      </c>
      <c r="I979" s="1" t="s">
        <v>11473</v>
      </c>
      <c r="O979" t="s">
        <v>22</v>
      </c>
    </row>
    <row r="980" spans="1:15">
      <c r="A980" t="s">
        <v>7050</v>
      </c>
      <c r="B980" t="s">
        <v>7050</v>
      </c>
      <c r="C980" t="s">
        <v>7051</v>
      </c>
      <c r="F980">
        <v>1</v>
      </c>
      <c r="G980" s="1" t="s">
        <v>1096</v>
      </c>
      <c r="I980" s="1" t="s">
        <v>11473</v>
      </c>
      <c r="O980" t="s">
        <v>22</v>
      </c>
    </row>
    <row r="981" spans="1:15">
      <c r="A981" t="s">
        <v>10725</v>
      </c>
      <c r="B981" t="s">
        <v>10725</v>
      </c>
      <c r="C981" t="s">
        <v>7051</v>
      </c>
      <c r="F981">
        <v>1</v>
      </c>
      <c r="G981" s="1" t="s">
        <v>1097</v>
      </c>
      <c r="I981" s="1" t="s">
        <v>11473</v>
      </c>
      <c r="O981" t="s">
        <v>22</v>
      </c>
    </row>
    <row r="982" spans="1:15">
      <c r="A982" t="s">
        <v>11122</v>
      </c>
      <c r="B982" t="s">
        <v>11122</v>
      </c>
      <c r="C982" t="s">
        <v>7051</v>
      </c>
      <c r="F982">
        <v>1</v>
      </c>
      <c r="G982" s="1" t="s">
        <v>1098</v>
      </c>
      <c r="I982" s="1" t="s">
        <v>11473</v>
      </c>
      <c r="O982" t="s">
        <v>22</v>
      </c>
    </row>
    <row r="983" spans="1:15">
      <c r="A983" t="s">
        <v>11341</v>
      </c>
      <c r="B983" t="s">
        <v>11341</v>
      </c>
      <c r="C983" t="s">
        <v>4277</v>
      </c>
      <c r="F983">
        <v>1</v>
      </c>
      <c r="G983" s="1" t="s">
        <v>1099</v>
      </c>
      <c r="I983" s="1" t="s">
        <v>11473</v>
      </c>
      <c r="O983" t="s">
        <v>22</v>
      </c>
    </row>
    <row r="984" spans="1:15">
      <c r="A984" t="s">
        <v>8041</v>
      </c>
      <c r="B984" t="s">
        <v>8041</v>
      </c>
      <c r="C984" t="s">
        <v>4636</v>
      </c>
      <c r="F984">
        <v>1</v>
      </c>
      <c r="G984" s="1" t="s">
        <v>1100</v>
      </c>
      <c r="I984" s="1" t="s">
        <v>11473</v>
      </c>
      <c r="O984" t="s">
        <v>22</v>
      </c>
    </row>
    <row r="985" spans="1:15">
      <c r="A985" t="s">
        <v>11255</v>
      </c>
      <c r="B985" t="s">
        <v>11255</v>
      </c>
      <c r="C985" t="s">
        <v>4986</v>
      </c>
      <c r="F985">
        <v>1</v>
      </c>
      <c r="G985" s="1" t="s">
        <v>1101</v>
      </c>
      <c r="I985" s="1" t="s">
        <v>11473</v>
      </c>
      <c r="O985" t="s">
        <v>22</v>
      </c>
    </row>
    <row r="986" spans="1:15">
      <c r="A986" t="s">
        <v>8557</v>
      </c>
      <c r="B986" t="s">
        <v>8557</v>
      </c>
      <c r="C986" t="s">
        <v>8558</v>
      </c>
      <c r="F986">
        <v>1</v>
      </c>
      <c r="G986" s="1" t="s">
        <v>1102</v>
      </c>
      <c r="I986" s="1" t="s">
        <v>11473</v>
      </c>
      <c r="O986" t="s">
        <v>22</v>
      </c>
    </row>
    <row r="987" spans="1:15">
      <c r="A987" t="s">
        <v>9939</v>
      </c>
      <c r="B987" t="s">
        <v>9939</v>
      </c>
      <c r="C987" t="s">
        <v>9940</v>
      </c>
      <c r="F987">
        <v>1</v>
      </c>
      <c r="G987" s="1" t="s">
        <v>1103</v>
      </c>
      <c r="I987" s="1" t="s">
        <v>11473</v>
      </c>
      <c r="O987" t="s">
        <v>22</v>
      </c>
    </row>
    <row r="988" spans="1:15">
      <c r="A988" t="s">
        <v>7781</v>
      </c>
      <c r="B988" t="s">
        <v>7781</v>
      </c>
      <c r="C988" t="s">
        <v>4978</v>
      </c>
      <c r="F988">
        <v>1</v>
      </c>
      <c r="G988" s="1" t="s">
        <v>1104</v>
      </c>
      <c r="I988" s="1" t="s">
        <v>11473</v>
      </c>
      <c r="O988" t="s">
        <v>22</v>
      </c>
    </row>
    <row r="989" spans="1:15">
      <c r="A989" t="s">
        <v>8383</v>
      </c>
      <c r="B989" t="s">
        <v>8383</v>
      </c>
      <c r="C989" t="s">
        <v>4354</v>
      </c>
      <c r="F989">
        <v>1</v>
      </c>
      <c r="G989" s="1" t="s">
        <v>1105</v>
      </c>
      <c r="I989" s="1" t="s">
        <v>11473</v>
      </c>
      <c r="O989" t="s">
        <v>22</v>
      </c>
    </row>
    <row r="990" spans="1:15">
      <c r="A990" t="s">
        <v>9928</v>
      </c>
      <c r="B990" t="s">
        <v>9928</v>
      </c>
      <c r="C990" t="s">
        <v>4354</v>
      </c>
      <c r="F990">
        <v>1</v>
      </c>
      <c r="G990" s="1" t="s">
        <v>1106</v>
      </c>
      <c r="I990" s="1" t="s">
        <v>11473</v>
      </c>
      <c r="O990" t="s">
        <v>22</v>
      </c>
    </row>
    <row r="991" spans="1:15">
      <c r="A991" t="s">
        <v>10851</v>
      </c>
      <c r="B991" t="s">
        <v>10851</v>
      </c>
      <c r="C991" t="s">
        <v>4283</v>
      </c>
      <c r="F991">
        <v>1</v>
      </c>
      <c r="G991" s="1" t="s">
        <v>1107</v>
      </c>
      <c r="I991" s="1" t="s">
        <v>11473</v>
      </c>
      <c r="O991" t="s">
        <v>22</v>
      </c>
    </row>
    <row r="992" spans="1:15">
      <c r="A992" t="s">
        <v>5430</v>
      </c>
      <c r="B992" t="s">
        <v>5430</v>
      </c>
      <c r="C992" t="s">
        <v>5431</v>
      </c>
      <c r="F992">
        <v>1</v>
      </c>
      <c r="G992" s="1" t="s">
        <v>1108</v>
      </c>
      <c r="I992" s="1" t="s">
        <v>11473</v>
      </c>
      <c r="O992" t="s">
        <v>22</v>
      </c>
    </row>
    <row r="993" spans="1:15">
      <c r="A993" t="s">
        <v>9114</v>
      </c>
      <c r="B993" t="s">
        <v>9114</v>
      </c>
      <c r="C993" t="s">
        <v>5431</v>
      </c>
      <c r="F993">
        <v>1</v>
      </c>
      <c r="G993" s="1" t="s">
        <v>1109</v>
      </c>
      <c r="I993" s="1" t="s">
        <v>11473</v>
      </c>
      <c r="O993" t="s">
        <v>22</v>
      </c>
    </row>
    <row r="994" spans="1:15">
      <c r="A994" t="s">
        <v>6655</v>
      </c>
      <c r="B994" t="s">
        <v>6655</v>
      </c>
      <c r="C994" t="s">
        <v>6656</v>
      </c>
      <c r="F994">
        <v>1</v>
      </c>
      <c r="G994" s="1" t="s">
        <v>1110</v>
      </c>
      <c r="I994" s="1" t="s">
        <v>11473</v>
      </c>
      <c r="O994" t="s">
        <v>22</v>
      </c>
    </row>
    <row r="995" spans="1:15">
      <c r="A995" t="s">
        <v>9291</v>
      </c>
      <c r="B995" t="s">
        <v>9291</v>
      </c>
      <c r="C995" t="s">
        <v>6656</v>
      </c>
      <c r="F995">
        <v>1</v>
      </c>
      <c r="G995" s="1" t="s">
        <v>1111</v>
      </c>
      <c r="I995" s="1" t="s">
        <v>11473</v>
      </c>
      <c r="O995" t="s">
        <v>22</v>
      </c>
    </row>
    <row r="996" spans="1:15">
      <c r="A996" t="s">
        <v>10259</v>
      </c>
      <c r="B996" t="s">
        <v>10259</v>
      </c>
      <c r="C996" t="s">
        <v>10260</v>
      </c>
      <c r="F996">
        <v>1</v>
      </c>
      <c r="G996" s="1" t="s">
        <v>1112</v>
      </c>
      <c r="I996" s="1" t="s">
        <v>11473</v>
      </c>
      <c r="O996" t="s">
        <v>22</v>
      </c>
    </row>
    <row r="997" spans="1:15">
      <c r="A997" t="s">
        <v>9187</v>
      </c>
      <c r="B997" t="s">
        <v>9187</v>
      </c>
      <c r="C997" t="s">
        <v>4996</v>
      </c>
      <c r="F997">
        <v>1</v>
      </c>
      <c r="G997" s="1" t="s">
        <v>1113</v>
      </c>
      <c r="I997" s="1" t="s">
        <v>11473</v>
      </c>
      <c r="O997" t="s">
        <v>22</v>
      </c>
    </row>
    <row r="998" spans="1:15">
      <c r="A998" t="s">
        <v>6644</v>
      </c>
      <c r="B998" t="s">
        <v>6644</v>
      </c>
      <c r="C998" t="s">
        <v>4784</v>
      </c>
      <c r="F998">
        <v>1</v>
      </c>
      <c r="G998" s="1" t="s">
        <v>1114</v>
      </c>
      <c r="I998" s="1" t="s">
        <v>11473</v>
      </c>
      <c r="O998" t="s">
        <v>22</v>
      </c>
    </row>
    <row r="999" spans="1:15">
      <c r="A999" t="s">
        <v>6624</v>
      </c>
      <c r="B999" t="s">
        <v>6624</v>
      </c>
      <c r="C999" t="s">
        <v>6625</v>
      </c>
      <c r="F999">
        <v>1</v>
      </c>
      <c r="G999" s="1" t="s">
        <v>1115</v>
      </c>
      <c r="I999" s="1" t="s">
        <v>11473</v>
      </c>
      <c r="O999" t="s">
        <v>22</v>
      </c>
    </row>
    <row r="1000" spans="1:15">
      <c r="A1000" t="s">
        <v>9609</v>
      </c>
      <c r="B1000" t="s">
        <v>9609</v>
      </c>
      <c r="C1000" t="s">
        <v>9610</v>
      </c>
      <c r="F1000">
        <v>1</v>
      </c>
      <c r="G1000" s="1" t="s">
        <v>1116</v>
      </c>
      <c r="I1000" s="1" t="s">
        <v>11473</v>
      </c>
      <c r="O1000" t="s">
        <v>22</v>
      </c>
    </row>
    <row r="1001" spans="1:15">
      <c r="A1001" t="s">
        <v>5651</v>
      </c>
      <c r="B1001" t="s">
        <v>5651</v>
      </c>
      <c r="C1001" t="s">
        <v>4881</v>
      </c>
      <c r="F1001">
        <v>1</v>
      </c>
      <c r="G1001" s="1" t="s">
        <v>1117</v>
      </c>
      <c r="I1001" s="1" t="s">
        <v>11473</v>
      </c>
      <c r="O1001" t="s">
        <v>22</v>
      </c>
    </row>
    <row r="1002" spans="1:15">
      <c r="A1002" t="s">
        <v>6767</v>
      </c>
      <c r="B1002" t="s">
        <v>6767</v>
      </c>
      <c r="C1002" t="s">
        <v>4881</v>
      </c>
      <c r="F1002">
        <v>1</v>
      </c>
      <c r="G1002" s="1" t="s">
        <v>1118</v>
      </c>
      <c r="I1002" s="1" t="s">
        <v>11473</v>
      </c>
      <c r="O1002" t="s">
        <v>22</v>
      </c>
    </row>
    <row r="1003" spans="1:15">
      <c r="A1003" t="s">
        <v>8635</v>
      </c>
      <c r="B1003" t="s">
        <v>8635</v>
      </c>
      <c r="C1003" t="s">
        <v>8636</v>
      </c>
      <c r="F1003">
        <v>1</v>
      </c>
      <c r="G1003" s="1" t="s">
        <v>1119</v>
      </c>
      <c r="I1003" s="1" t="s">
        <v>11473</v>
      </c>
      <c r="O1003" t="s">
        <v>22</v>
      </c>
    </row>
    <row r="1004" spans="1:15">
      <c r="A1004" t="s">
        <v>8901</v>
      </c>
      <c r="B1004" t="s">
        <v>8901</v>
      </c>
      <c r="C1004" t="s">
        <v>4347</v>
      </c>
      <c r="F1004">
        <v>1</v>
      </c>
      <c r="G1004" s="1" t="s">
        <v>1120</v>
      </c>
      <c r="I1004" s="1" t="s">
        <v>11473</v>
      </c>
      <c r="O1004" t="s">
        <v>22</v>
      </c>
    </row>
    <row r="1005" spans="1:15">
      <c r="A1005" t="s">
        <v>11441</v>
      </c>
      <c r="B1005" t="s">
        <v>11441</v>
      </c>
      <c r="C1005" t="s">
        <v>4298</v>
      </c>
      <c r="F1005">
        <v>1</v>
      </c>
      <c r="G1005" s="1" t="s">
        <v>1121</v>
      </c>
      <c r="I1005" s="1" t="s">
        <v>11473</v>
      </c>
      <c r="O1005" t="s">
        <v>22</v>
      </c>
    </row>
    <row r="1006" spans="1:15">
      <c r="A1006" t="s">
        <v>8634</v>
      </c>
      <c r="B1006" t="s">
        <v>8634</v>
      </c>
      <c r="C1006" t="s">
        <v>4954</v>
      </c>
      <c r="F1006">
        <v>1</v>
      </c>
      <c r="G1006" s="1" t="s">
        <v>1122</v>
      </c>
      <c r="I1006" s="1" t="s">
        <v>11473</v>
      </c>
      <c r="O1006" t="s">
        <v>22</v>
      </c>
    </row>
    <row r="1007" spans="1:15">
      <c r="A1007" t="s">
        <v>9671</v>
      </c>
      <c r="B1007" t="s">
        <v>9671</v>
      </c>
      <c r="C1007" t="s">
        <v>4954</v>
      </c>
      <c r="F1007">
        <v>1</v>
      </c>
      <c r="G1007" s="1" t="s">
        <v>1123</v>
      </c>
      <c r="I1007" s="1" t="s">
        <v>11473</v>
      </c>
      <c r="O1007" t="s">
        <v>22</v>
      </c>
    </row>
    <row r="1008" spans="1:15">
      <c r="A1008" t="s">
        <v>10092</v>
      </c>
      <c r="B1008" t="s">
        <v>10092</v>
      </c>
      <c r="C1008" t="s">
        <v>10093</v>
      </c>
      <c r="F1008">
        <v>1</v>
      </c>
      <c r="G1008" s="1" t="s">
        <v>1124</v>
      </c>
      <c r="I1008" s="1" t="s">
        <v>11473</v>
      </c>
      <c r="O1008" t="s">
        <v>22</v>
      </c>
    </row>
    <row r="1009" spans="1:15">
      <c r="A1009" t="s">
        <v>10968</v>
      </c>
      <c r="B1009" t="s">
        <v>10968</v>
      </c>
      <c r="C1009" t="s">
        <v>10969</v>
      </c>
      <c r="F1009">
        <v>1</v>
      </c>
      <c r="G1009" s="1" t="s">
        <v>1125</v>
      </c>
      <c r="I1009" s="1" t="s">
        <v>11473</v>
      </c>
      <c r="O1009" t="s">
        <v>22</v>
      </c>
    </row>
    <row r="1010" spans="1:15">
      <c r="A1010" t="s">
        <v>6376</v>
      </c>
      <c r="B1010" t="s">
        <v>6376</v>
      </c>
      <c r="C1010" t="s">
        <v>4564</v>
      </c>
      <c r="F1010">
        <v>1</v>
      </c>
      <c r="G1010" s="1" t="s">
        <v>1126</v>
      </c>
      <c r="I1010" s="1" t="s">
        <v>11473</v>
      </c>
      <c r="O1010" t="s">
        <v>22</v>
      </c>
    </row>
    <row r="1011" spans="1:15">
      <c r="A1011" t="s">
        <v>6835</v>
      </c>
      <c r="B1011" t="s">
        <v>6835</v>
      </c>
      <c r="C1011" t="s">
        <v>4564</v>
      </c>
      <c r="F1011">
        <v>1</v>
      </c>
      <c r="G1011" s="1" t="s">
        <v>1127</v>
      </c>
      <c r="I1011" s="1" t="s">
        <v>11473</v>
      </c>
      <c r="O1011" t="s">
        <v>22</v>
      </c>
    </row>
    <row r="1012" spans="1:15">
      <c r="A1012" t="s">
        <v>8290</v>
      </c>
      <c r="B1012" t="s">
        <v>8290</v>
      </c>
      <c r="C1012" t="s">
        <v>4564</v>
      </c>
      <c r="F1012">
        <v>1</v>
      </c>
      <c r="G1012" s="1" t="s">
        <v>1128</v>
      </c>
      <c r="I1012" s="1" t="s">
        <v>11473</v>
      </c>
      <c r="O1012" t="s">
        <v>22</v>
      </c>
    </row>
    <row r="1013" spans="1:15">
      <c r="A1013" t="s">
        <v>6626</v>
      </c>
      <c r="B1013" t="s">
        <v>6626</v>
      </c>
      <c r="C1013" t="s">
        <v>4633</v>
      </c>
      <c r="F1013">
        <v>1</v>
      </c>
      <c r="G1013" s="1" t="s">
        <v>1129</v>
      </c>
      <c r="I1013" s="1" t="s">
        <v>11473</v>
      </c>
      <c r="O1013" t="s">
        <v>22</v>
      </c>
    </row>
    <row r="1014" spans="1:15">
      <c r="A1014" t="s">
        <v>10131</v>
      </c>
      <c r="B1014" t="s">
        <v>10131</v>
      </c>
      <c r="C1014" t="s">
        <v>4633</v>
      </c>
      <c r="F1014">
        <v>1</v>
      </c>
      <c r="G1014" s="1" t="s">
        <v>1130</v>
      </c>
      <c r="I1014" s="1" t="s">
        <v>11473</v>
      </c>
      <c r="O1014" t="s">
        <v>22</v>
      </c>
    </row>
    <row r="1015" spans="1:15">
      <c r="A1015" t="s">
        <v>8637</v>
      </c>
      <c r="B1015" t="s">
        <v>8637</v>
      </c>
      <c r="C1015" t="s">
        <v>5209</v>
      </c>
      <c r="F1015">
        <v>1</v>
      </c>
      <c r="G1015" s="1" t="s">
        <v>1131</v>
      </c>
      <c r="I1015" s="1" t="s">
        <v>11473</v>
      </c>
      <c r="O1015" t="s">
        <v>22</v>
      </c>
    </row>
    <row r="1016" spans="1:15">
      <c r="A1016" t="s">
        <v>10135</v>
      </c>
      <c r="B1016" t="s">
        <v>10135</v>
      </c>
      <c r="C1016" t="s">
        <v>5209</v>
      </c>
      <c r="F1016">
        <v>1</v>
      </c>
      <c r="G1016" s="1" t="s">
        <v>1132</v>
      </c>
      <c r="I1016" s="1" t="s">
        <v>11473</v>
      </c>
      <c r="O1016" t="s">
        <v>22</v>
      </c>
    </row>
    <row r="1017" spans="1:15">
      <c r="A1017" t="s">
        <v>8236</v>
      </c>
      <c r="B1017" t="s">
        <v>8236</v>
      </c>
      <c r="C1017" t="s">
        <v>4074</v>
      </c>
      <c r="F1017">
        <v>1</v>
      </c>
      <c r="G1017" s="1" t="s">
        <v>1133</v>
      </c>
      <c r="I1017" s="1" t="s">
        <v>11473</v>
      </c>
      <c r="O1017" t="s">
        <v>22</v>
      </c>
    </row>
    <row r="1018" spans="1:15">
      <c r="A1018" t="s">
        <v>10379</v>
      </c>
      <c r="B1018" t="s">
        <v>10379</v>
      </c>
      <c r="C1018" t="s">
        <v>4074</v>
      </c>
      <c r="F1018">
        <v>1</v>
      </c>
      <c r="G1018" s="1" t="s">
        <v>1134</v>
      </c>
      <c r="I1018" s="1" t="s">
        <v>11473</v>
      </c>
      <c r="O1018" t="s">
        <v>22</v>
      </c>
    </row>
    <row r="1019" spans="1:15">
      <c r="A1019" t="s">
        <v>6639</v>
      </c>
      <c r="B1019" t="s">
        <v>6639</v>
      </c>
      <c r="C1019" t="s">
        <v>6640</v>
      </c>
      <c r="F1019">
        <v>1</v>
      </c>
      <c r="G1019" s="1" t="s">
        <v>1135</v>
      </c>
      <c r="I1019" s="1" t="s">
        <v>11473</v>
      </c>
      <c r="O1019" t="s">
        <v>22</v>
      </c>
    </row>
    <row r="1020" spans="1:15">
      <c r="A1020" t="s">
        <v>6832</v>
      </c>
      <c r="B1020" t="s">
        <v>6832</v>
      </c>
      <c r="C1020" t="s">
        <v>4423</v>
      </c>
      <c r="F1020">
        <v>1</v>
      </c>
      <c r="G1020" s="1" t="s">
        <v>1136</v>
      </c>
      <c r="I1020" s="1" t="s">
        <v>11473</v>
      </c>
      <c r="O1020" t="s">
        <v>22</v>
      </c>
    </row>
    <row r="1021" spans="1:15">
      <c r="A1021" t="s">
        <v>10734</v>
      </c>
      <c r="B1021" t="s">
        <v>10734</v>
      </c>
      <c r="C1021" t="s">
        <v>10735</v>
      </c>
      <c r="F1021">
        <v>1</v>
      </c>
      <c r="G1021" s="1" t="s">
        <v>1137</v>
      </c>
      <c r="I1021" s="1" t="s">
        <v>11473</v>
      </c>
      <c r="O1021" t="s">
        <v>22</v>
      </c>
    </row>
    <row r="1022" spans="1:15">
      <c r="A1022" t="s">
        <v>9929</v>
      </c>
      <c r="B1022" t="s">
        <v>9929</v>
      </c>
      <c r="C1022" t="s">
        <v>4075</v>
      </c>
      <c r="F1022">
        <v>1</v>
      </c>
      <c r="G1022" s="1" t="s">
        <v>1138</v>
      </c>
      <c r="I1022" s="1" t="s">
        <v>11473</v>
      </c>
      <c r="O1022" t="s">
        <v>22</v>
      </c>
    </row>
    <row r="1023" spans="1:15">
      <c r="A1023" t="s">
        <v>10771</v>
      </c>
      <c r="B1023" t="s">
        <v>10771</v>
      </c>
      <c r="C1023" t="s">
        <v>10772</v>
      </c>
      <c r="F1023">
        <v>1</v>
      </c>
      <c r="G1023" s="1" t="s">
        <v>1139</v>
      </c>
      <c r="I1023" s="1" t="s">
        <v>11473</v>
      </c>
      <c r="O1023" t="s">
        <v>22</v>
      </c>
    </row>
    <row r="1024" spans="1:15">
      <c r="A1024" t="s">
        <v>9242</v>
      </c>
      <c r="B1024" t="s">
        <v>9242</v>
      </c>
      <c r="C1024" t="s">
        <v>9243</v>
      </c>
      <c r="F1024">
        <v>1</v>
      </c>
      <c r="G1024" s="1" t="s">
        <v>1140</v>
      </c>
      <c r="I1024" s="1" t="s">
        <v>11473</v>
      </c>
      <c r="O1024" t="s">
        <v>22</v>
      </c>
    </row>
    <row r="1025" spans="1:15">
      <c r="A1025" t="s">
        <v>11182</v>
      </c>
      <c r="B1025" t="s">
        <v>11182</v>
      </c>
      <c r="C1025" t="s">
        <v>9243</v>
      </c>
      <c r="F1025">
        <v>1</v>
      </c>
      <c r="G1025" s="1" t="s">
        <v>1141</v>
      </c>
      <c r="I1025" s="1" t="s">
        <v>11473</v>
      </c>
      <c r="O1025" t="s">
        <v>22</v>
      </c>
    </row>
    <row r="1026" spans="1:15">
      <c r="A1026" t="s">
        <v>6833</v>
      </c>
      <c r="B1026" t="s">
        <v>6833</v>
      </c>
      <c r="C1026" t="s">
        <v>6834</v>
      </c>
      <c r="F1026">
        <v>1</v>
      </c>
      <c r="G1026" s="1" t="s">
        <v>1142</v>
      </c>
      <c r="I1026" s="1" t="s">
        <v>11473</v>
      </c>
      <c r="O1026" t="s">
        <v>22</v>
      </c>
    </row>
    <row r="1027" spans="1:15">
      <c r="A1027" t="s">
        <v>9391</v>
      </c>
      <c r="B1027" t="s">
        <v>9391</v>
      </c>
      <c r="C1027" t="s">
        <v>6834</v>
      </c>
      <c r="F1027">
        <v>1</v>
      </c>
      <c r="G1027" s="1" t="s">
        <v>1143</v>
      </c>
      <c r="I1027" s="1" t="s">
        <v>11473</v>
      </c>
      <c r="O1027" t="s">
        <v>22</v>
      </c>
    </row>
    <row r="1028" spans="1:15">
      <c r="A1028" t="s">
        <v>5885</v>
      </c>
      <c r="B1028" t="s">
        <v>5885</v>
      </c>
      <c r="C1028" t="s">
        <v>5886</v>
      </c>
      <c r="F1028">
        <v>1</v>
      </c>
      <c r="G1028" s="1" t="s">
        <v>1144</v>
      </c>
      <c r="I1028" s="1" t="s">
        <v>11473</v>
      </c>
      <c r="O1028" t="s">
        <v>22</v>
      </c>
    </row>
    <row r="1029" spans="1:15">
      <c r="A1029" t="s">
        <v>10809</v>
      </c>
      <c r="B1029" t="s">
        <v>10809</v>
      </c>
      <c r="C1029" t="s">
        <v>5886</v>
      </c>
      <c r="F1029">
        <v>1</v>
      </c>
      <c r="G1029" s="1" t="s">
        <v>1145</v>
      </c>
      <c r="I1029" s="1" t="s">
        <v>11473</v>
      </c>
      <c r="O1029" t="s">
        <v>22</v>
      </c>
    </row>
    <row r="1030" spans="1:15">
      <c r="A1030" t="s">
        <v>10136</v>
      </c>
      <c r="B1030" t="s">
        <v>10136</v>
      </c>
      <c r="C1030" t="s">
        <v>10137</v>
      </c>
      <c r="F1030">
        <v>1</v>
      </c>
      <c r="G1030" s="1" t="s">
        <v>1146</v>
      </c>
      <c r="I1030" s="1" t="s">
        <v>11473</v>
      </c>
      <c r="O1030" t="s">
        <v>22</v>
      </c>
    </row>
    <row r="1031" spans="1:15">
      <c r="A1031" t="s">
        <v>6161</v>
      </c>
      <c r="B1031" t="s">
        <v>6161</v>
      </c>
      <c r="C1031" t="s">
        <v>4381</v>
      </c>
      <c r="F1031">
        <v>1</v>
      </c>
      <c r="G1031" s="1" t="s">
        <v>1147</v>
      </c>
      <c r="I1031" s="1" t="s">
        <v>11473</v>
      </c>
      <c r="O1031" t="s">
        <v>22</v>
      </c>
    </row>
    <row r="1032" spans="1:15">
      <c r="A1032" t="s">
        <v>6556</v>
      </c>
      <c r="B1032" t="s">
        <v>6556</v>
      </c>
      <c r="C1032" t="s">
        <v>4381</v>
      </c>
      <c r="F1032">
        <v>1</v>
      </c>
      <c r="G1032" s="1" t="s">
        <v>1148</v>
      </c>
      <c r="I1032" s="1" t="s">
        <v>11473</v>
      </c>
      <c r="O1032" t="s">
        <v>22</v>
      </c>
    </row>
    <row r="1033" spans="1:15">
      <c r="A1033" t="s">
        <v>8108</v>
      </c>
      <c r="B1033" t="s">
        <v>8108</v>
      </c>
      <c r="C1033" t="s">
        <v>4381</v>
      </c>
      <c r="F1033">
        <v>1</v>
      </c>
      <c r="G1033" s="1" t="s">
        <v>1149</v>
      </c>
      <c r="I1033" s="1" t="s">
        <v>11473</v>
      </c>
      <c r="O1033" t="s">
        <v>22</v>
      </c>
    </row>
    <row r="1034" spans="1:15">
      <c r="A1034" t="s">
        <v>7931</v>
      </c>
      <c r="B1034" t="s">
        <v>7931</v>
      </c>
      <c r="C1034" t="s">
        <v>7932</v>
      </c>
      <c r="F1034">
        <v>1</v>
      </c>
      <c r="G1034" s="1" t="s">
        <v>1150</v>
      </c>
      <c r="I1034" s="1" t="s">
        <v>11473</v>
      </c>
      <c r="O1034" t="s">
        <v>22</v>
      </c>
    </row>
    <row r="1035" spans="1:15">
      <c r="A1035" t="s">
        <v>10669</v>
      </c>
      <c r="B1035" t="s">
        <v>10669</v>
      </c>
      <c r="C1035" t="s">
        <v>5140</v>
      </c>
      <c r="F1035">
        <v>1</v>
      </c>
      <c r="G1035" s="1" t="s">
        <v>1151</v>
      </c>
      <c r="I1035" s="1" t="s">
        <v>11473</v>
      </c>
      <c r="O1035" t="s">
        <v>22</v>
      </c>
    </row>
    <row r="1036" spans="1:15">
      <c r="A1036" t="s">
        <v>6512</v>
      </c>
      <c r="B1036" t="s">
        <v>6512</v>
      </c>
      <c r="C1036" t="s">
        <v>4627</v>
      </c>
      <c r="F1036">
        <v>1</v>
      </c>
      <c r="G1036" s="1" t="s">
        <v>1152</v>
      </c>
      <c r="I1036" s="1" t="s">
        <v>11473</v>
      </c>
      <c r="O1036" t="s">
        <v>22</v>
      </c>
    </row>
    <row r="1037" spans="1:15">
      <c r="A1037" t="s">
        <v>6612</v>
      </c>
      <c r="B1037" t="s">
        <v>6612</v>
      </c>
      <c r="C1037" t="s">
        <v>4627</v>
      </c>
      <c r="F1037">
        <v>1</v>
      </c>
      <c r="G1037" s="1" t="s">
        <v>1153</v>
      </c>
      <c r="I1037" s="1" t="s">
        <v>11473</v>
      </c>
      <c r="O1037" t="s">
        <v>22</v>
      </c>
    </row>
    <row r="1038" spans="1:15">
      <c r="A1038" t="s">
        <v>8888</v>
      </c>
      <c r="B1038" t="s">
        <v>8888</v>
      </c>
      <c r="C1038" t="s">
        <v>4627</v>
      </c>
      <c r="F1038">
        <v>1</v>
      </c>
      <c r="G1038" s="1" t="s">
        <v>1154</v>
      </c>
      <c r="I1038" s="1" t="s">
        <v>11473</v>
      </c>
      <c r="O1038" t="s">
        <v>22</v>
      </c>
    </row>
    <row r="1039" spans="1:15">
      <c r="A1039" t="s">
        <v>7813</v>
      </c>
      <c r="B1039" t="s">
        <v>7813</v>
      </c>
      <c r="C1039" t="s">
        <v>4548</v>
      </c>
      <c r="F1039">
        <v>1</v>
      </c>
      <c r="G1039" s="1" t="s">
        <v>1155</v>
      </c>
      <c r="I1039" s="1" t="s">
        <v>11473</v>
      </c>
      <c r="O1039" t="s">
        <v>22</v>
      </c>
    </row>
    <row r="1040" spans="1:15">
      <c r="A1040" t="s">
        <v>9086</v>
      </c>
      <c r="B1040" t="s">
        <v>9086</v>
      </c>
      <c r="C1040" t="s">
        <v>4548</v>
      </c>
      <c r="F1040">
        <v>1</v>
      </c>
      <c r="G1040" s="1" t="s">
        <v>1156</v>
      </c>
      <c r="I1040" s="1" t="s">
        <v>11473</v>
      </c>
      <c r="O1040" t="s">
        <v>22</v>
      </c>
    </row>
    <row r="1041" spans="1:15">
      <c r="A1041" t="s">
        <v>7129</v>
      </c>
      <c r="B1041" t="s">
        <v>7129</v>
      </c>
      <c r="C1041" t="s">
        <v>4418</v>
      </c>
      <c r="F1041">
        <v>1</v>
      </c>
      <c r="G1041" s="1" t="s">
        <v>1157</v>
      </c>
      <c r="I1041" s="1" t="s">
        <v>11473</v>
      </c>
      <c r="O1041" t="s">
        <v>22</v>
      </c>
    </row>
    <row r="1042" spans="1:15">
      <c r="A1042" t="s">
        <v>9632</v>
      </c>
      <c r="B1042" t="s">
        <v>9632</v>
      </c>
      <c r="C1042" t="s">
        <v>4418</v>
      </c>
      <c r="F1042">
        <v>1</v>
      </c>
      <c r="G1042" s="1" t="s">
        <v>1158</v>
      </c>
      <c r="I1042" s="1" t="s">
        <v>11473</v>
      </c>
      <c r="O1042" t="s">
        <v>22</v>
      </c>
    </row>
    <row r="1043" spans="1:15">
      <c r="A1043" t="s">
        <v>7357</v>
      </c>
      <c r="B1043" t="s">
        <v>7357</v>
      </c>
      <c r="C1043" t="s">
        <v>4170</v>
      </c>
      <c r="F1043">
        <v>1</v>
      </c>
      <c r="G1043" s="1" t="s">
        <v>1159</v>
      </c>
      <c r="I1043" s="1" t="s">
        <v>11473</v>
      </c>
      <c r="O1043" t="s">
        <v>22</v>
      </c>
    </row>
    <row r="1044" spans="1:15">
      <c r="A1044" t="s">
        <v>10524</v>
      </c>
      <c r="B1044" t="s">
        <v>10524</v>
      </c>
      <c r="C1044" t="s">
        <v>4170</v>
      </c>
      <c r="F1044">
        <v>1</v>
      </c>
      <c r="G1044" s="1" t="s">
        <v>1160</v>
      </c>
      <c r="I1044" s="1" t="s">
        <v>11473</v>
      </c>
      <c r="O1044" t="s">
        <v>22</v>
      </c>
    </row>
    <row r="1045" spans="1:15">
      <c r="A1045" t="s">
        <v>9373</v>
      </c>
      <c r="B1045" t="s">
        <v>9373</v>
      </c>
      <c r="C1045" t="s">
        <v>9374</v>
      </c>
      <c r="F1045">
        <v>1</v>
      </c>
      <c r="G1045" s="1" t="s">
        <v>1161</v>
      </c>
      <c r="I1045" s="1" t="s">
        <v>11473</v>
      </c>
      <c r="O1045" t="s">
        <v>22</v>
      </c>
    </row>
    <row r="1046" spans="1:15">
      <c r="A1046" t="s">
        <v>10931</v>
      </c>
      <c r="B1046" t="s">
        <v>10931</v>
      </c>
      <c r="C1046" t="s">
        <v>4728</v>
      </c>
      <c r="F1046">
        <v>1</v>
      </c>
      <c r="G1046" s="1" t="s">
        <v>1162</v>
      </c>
      <c r="I1046" s="1" t="s">
        <v>11473</v>
      </c>
      <c r="O1046" t="s">
        <v>22</v>
      </c>
    </row>
    <row r="1047" spans="1:15">
      <c r="A1047" t="s">
        <v>6648</v>
      </c>
      <c r="B1047" t="s">
        <v>6648</v>
      </c>
      <c r="C1047" t="s">
        <v>6649</v>
      </c>
      <c r="F1047">
        <v>1</v>
      </c>
      <c r="G1047" s="1" t="s">
        <v>1163</v>
      </c>
      <c r="I1047" s="1" t="s">
        <v>11473</v>
      </c>
      <c r="O1047" t="s">
        <v>22</v>
      </c>
    </row>
    <row r="1048" spans="1:15">
      <c r="A1048" t="s">
        <v>9915</v>
      </c>
      <c r="B1048" t="s">
        <v>9915</v>
      </c>
      <c r="C1048" t="s">
        <v>9916</v>
      </c>
      <c r="F1048">
        <v>1</v>
      </c>
      <c r="G1048" s="1" t="s">
        <v>1164</v>
      </c>
      <c r="I1048" s="1" t="s">
        <v>11473</v>
      </c>
      <c r="O1048" t="s">
        <v>22</v>
      </c>
    </row>
    <row r="1049" spans="1:15">
      <c r="A1049" t="s">
        <v>11121</v>
      </c>
      <c r="B1049" t="s">
        <v>11121</v>
      </c>
      <c r="C1049" t="s">
        <v>9916</v>
      </c>
      <c r="F1049">
        <v>1</v>
      </c>
      <c r="G1049" s="1" t="s">
        <v>1165</v>
      </c>
      <c r="I1049" s="1" t="s">
        <v>11473</v>
      </c>
      <c r="O1049" t="s">
        <v>22</v>
      </c>
    </row>
    <row r="1050" spans="1:15">
      <c r="A1050" t="s">
        <v>7452</v>
      </c>
      <c r="B1050" t="s">
        <v>7452</v>
      </c>
      <c r="C1050" t="s">
        <v>7453</v>
      </c>
      <c r="F1050">
        <v>1</v>
      </c>
      <c r="G1050" s="1" t="s">
        <v>1166</v>
      </c>
      <c r="I1050" s="1" t="s">
        <v>11473</v>
      </c>
      <c r="O1050" t="s">
        <v>22</v>
      </c>
    </row>
    <row r="1051" spans="1:15">
      <c r="A1051" t="s">
        <v>6641</v>
      </c>
      <c r="B1051" t="s">
        <v>6641</v>
      </c>
      <c r="C1051" t="s">
        <v>6642</v>
      </c>
      <c r="F1051">
        <v>1</v>
      </c>
      <c r="G1051" s="1" t="s">
        <v>1167</v>
      </c>
      <c r="I1051" s="1" t="s">
        <v>11473</v>
      </c>
      <c r="O1051" t="s">
        <v>22</v>
      </c>
    </row>
    <row r="1052" spans="1:15">
      <c r="A1052" t="s">
        <v>10730</v>
      </c>
      <c r="B1052" t="s">
        <v>10730</v>
      </c>
      <c r="C1052" t="s">
        <v>6642</v>
      </c>
      <c r="F1052">
        <v>1</v>
      </c>
      <c r="G1052" s="1" t="s">
        <v>1168</v>
      </c>
      <c r="I1052" s="1" t="s">
        <v>11473</v>
      </c>
      <c r="O1052" t="s">
        <v>22</v>
      </c>
    </row>
    <row r="1053" spans="1:15">
      <c r="A1053" t="s">
        <v>10753</v>
      </c>
      <c r="B1053" t="s">
        <v>10753</v>
      </c>
      <c r="C1053" t="s">
        <v>4643</v>
      </c>
      <c r="F1053">
        <v>1</v>
      </c>
      <c r="G1053" s="1" t="s">
        <v>1169</v>
      </c>
      <c r="I1053" s="1" t="s">
        <v>11473</v>
      </c>
      <c r="O1053" t="s">
        <v>22</v>
      </c>
    </row>
    <row r="1054" spans="1:15">
      <c r="A1054" t="s">
        <v>8456</v>
      </c>
      <c r="B1054" t="s">
        <v>8456</v>
      </c>
      <c r="C1054" t="s">
        <v>16</v>
      </c>
      <c r="F1054">
        <v>1</v>
      </c>
      <c r="G1054" s="1" t="s">
        <v>1170</v>
      </c>
      <c r="I1054" s="1" t="s">
        <v>11473</v>
      </c>
      <c r="O1054" t="s">
        <v>22</v>
      </c>
    </row>
    <row r="1055" spans="1:15">
      <c r="A1055" t="s">
        <v>9421</v>
      </c>
      <c r="B1055" t="s">
        <v>9421</v>
      </c>
      <c r="C1055" t="s">
        <v>16</v>
      </c>
      <c r="F1055">
        <v>1</v>
      </c>
      <c r="G1055" s="1" t="s">
        <v>1171</v>
      </c>
      <c r="I1055" s="1" t="s">
        <v>11473</v>
      </c>
      <c r="O1055" t="s">
        <v>22</v>
      </c>
    </row>
    <row r="1056" spans="1:15">
      <c r="A1056" t="s">
        <v>11258</v>
      </c>
      <c r="B1056" t="s">
        <v>11258</v>
      </c>
      <c r="C1056" t="s">
        <v>4293</v>
      </c>
      <c r="F1056">
        <v>1</v>
      </c>
      <c r="G1056" s="1" t="s">
        <v>1172</v>
      </c>
      <c r="I1056" s="1" t="s">
        <v>11473</v>
      </c>
      <c r="O1056" t="s">
        <v>22</v>
      </c>
    </row>
    <row r="1057" spans="1:15">
      <c r="A1057" t="s">
        <v>9701</v>
      </c>
      <c r="B1057" t="s">
        <v>9701</v>
      </c>
      <c r="C1057" t="s">
        <v>9702</v>
      </c>
      <c r="F1057">
        <v>1</v>
      </c>
      <c r="G1057" s="1" t="s">
        <v>1173</v>
      </c>
      <c r="I1057" s="1" t="s">
        <v>11473</v>
      </c>
      <c r="O1057" t="s">
        <v>22</v>
      </c>
    </row>
    <row r="1058" spans="1:15">
      <c r="A1058" t="s">
        <v>10257</v>
      </c>
      <c r="B1058" t="s">
        <v>10257</v>
      </c>
      <c r="C1058" t="s">
        <v>5200</v>
      </c>
      <c r="F1058">
        <v>1</v>
      </c>
      <c r="G1058" s="1" t="s">
        <v>1174</v>
      </c>
      <c r="I1058" s="1" t="s">
        <v>11473</v>
      </c>
      <c r="O1058" t="s">
        <v>22</v>
      </c>
    </row>
    <row r="1059" spans="1:15">
      <c r="A1059" t="s">
        <v>6650</v>
      </c>
      <c r="B1059" t="s">
        <v>6650</v>
      </c>
      <c r="C1059" t="s">
        <v>4374</v>
      </c>
      <c r="F1059">
        <v>1</v>
      </c>
      <c r="G1059" s="1" t="s">
        <v>1175</v>
      </c>
      <c r="I1059" s="1" t="s">
        <v>11473</v>
      </c>
      <c r="O1059" t="s">
        <v>22</v>
      </c>
    </row>
    <row r="1060" spans="1:15">
      <c r="A1060" t="s">
        <v>9001</v>
      </c>
      <c r="B1060" t="s">
        <v>9001</v>
      </c>
      <c r="C1060" t="s">
        <v>4374</v>
      </c>
      <c r="F1060">
        <v>1</v>
      </c>
      <c r="G1060" s="1" t="s">
        <v>1176</v>
      </c>
      <c r="I1060" s="1" t="s">
        <v>11473</v>
      </c>
      <c r="O1060" t="s">
        <v>22</v>
      </c>
    </row>
    <row r="1061" spans="1:15">
      <c r="A1061" t="s">
        <v>6637</v>
      </c>
      <c r="B1061" t="s">
        <v>6637</v>
      </c>
      <c r="C1061" t="s">
        <v>6638</v>
      </c>
      <c r="F1061">
        <v>1</v>
      </c>
      <c r="G1061" s="1" t="s">
        <v>1177</v>
      </c>
      <c r="I1061" s="1" t="s">
        <v>11473</v>
      </c>
      <c r="O1061" t="s">
        <v>22</v>
      </c>
    </row>
    <row r="1062" spans="1:15">
      <c r="A1062" t="s">
        <v>6645</v>
      </c>
      <c r="B1062" t="s">
        <v>6645</v>
      </c>
      <c r="C1062" t="s">
        <v>5338</v>
      </c>
      <c r="F1062">
        <v>1</v>
      </c>
      <c r="G1062" s="1" t="s">
        <v>1178</v>
      </c>
      <c r="I1062" s="1" t="s">
        <v>11473</v>
      </c>
      <c r="O1062" t="s">
        <v>22</v>
      </c>
    </row>
    <row r="1063" spans="1:15">
      <c r="A1063" t="s">
        <v>9302</v>
      </c>
      <c r="B1063" t="s">
        <v>9302</v>
      </c>
      <c r="C1063" t="s">
        <v>5336</v>
      </c>
      <c r="F1063">
        <v>1</v>
      </c>
      <c r="G1063" s="1" t="s">
        <v>1179</v>
      </c>
      <c r="I1063" s="1" t="s">
        <v>11473</v>
      </c>
      <c r="O1063" t="s">
        <v>22</v>
      </c>
    </row>
    <row r="1064" spans="1:15">
      <c r="A1064" t="s">
        <v>8356</v>
      </c>
      <c r="B1064" t="s">
        <v>8356</v>
      </c>
      <c r="C1064" t="s">
        <v>4323</v>
      </c>
      <c r="F1064">
        <v>1</v>
      </c>
      <c r="G1064" s="1" t="s">
        <v>1180</v>
      </c>
      <c r="I1064" s="1" t="s">
        <v>11473</v>
      </c>
      <c r="O1064" t="s">
        <v>22</v>
      </c>
    </row>
    <row r="1065" spans="1:15">
      <c r="A1065" t="s">
        <v>10761</v>
      </c>
      <c r="B1065" t="s">
        <v>10761</v>
      </c>
      <c r="C1065" t="s">
        <v>10762</v>
      </c>
      <c r="F1065">
        <v>1</v>
      </c>
      <c r="G1065" s="1" t="s">
        <v>1181</v>
      </c>
      <c r="I1065" s="1" t="s">
        <v>11473</v>
      </c>
      <c r="O1065" t="s">
        <v>22</v>
      </c>
    </row>
    <row r="1066" spans="1:15">
      <c r="A1066" t="s">
        <v>10721</v>
      </c>
      <c r="B1066" t="s">
        <v>10721</v>
      </c>
      <c r="C1066" t="s">
        <v>10722</v>
      </c>
      <c r="F1066">
        <v>1</v>
      </c>
      <c r="G1066" s="1" t="s">
        <v>1182</v>
      </c>
      <c r="I1066" s="1" t="s">
        <v>11473</v>
      </c>
      <c r="O1066" t="s">
        <v>22</v>
      </c>
    </row>
    <row r="1067" spans="1:15">
      <c r="A1067" t="s">
        <v>9684</v>
      </c>
      <c r="B1067" t="s">
        <v>9684</v>
      </c>
      <c r="C1067" t="s">
        <v>4082</v>
      </c>
      <c r="F1067">
        <v>1</v>
      </c>
      <c r="G1067" s="1" t="s">
        <v>1183</v>
      </c>
      <c r="I1067" s="1" t="s">
        <v>11473</v>
      </c>
      <c r="O1067" t="s">
        <v>22</v>
      </c>
    </row>
    <row r="1068" spans="1:15">
      <c r="A1068" t="s">
        <v>10405</v>
      </c>
      <c r="B1068" t="s">
        <v>10405</v>
      </c>
      <c r="C1068" t="s">
        <v>10406</v>
      </c>
      <c r="F1068">
        <v>1</v>
      </c>
      <c r="G1068" s="1" t="s">
        <v>1184</v>
      </c>
      <c r="I1068" s="1" t="s">
        <v>11473</v>
      </c>
      <c r="O1068" t="s">
        <v>22</v>
      </c>
    </row>
    <row r="1069" spans="1:15">
      <c r="A1069" t="s">
        <v>8448</v>
      </c>
      <c r="B1069" t="s">
        <v>8448</v>
      </c>
      <c r="C1069" t="s">
        <v>8449</v>
      </c>
      <c r="F1069">
        <v>1</v>
      </c>
      <c r="G1069" s="1" t="s">
        <v>1185</v>
      </c>
      <c r="I1069" s="1" t="s">
        <v>11473</v>
      </c>
      <c r="O1069" t="s">
        <v>22</v>
      </c>
    </row>
    <row r="1070" spans="1:15">
      <c r="A1070" t="s">
        <v>11268</v>
      </c>
      <c r="B1070" t="s">
        <v>11268</v>
      </c>
      <c r="C1070" t="s">
        <v>11269</v>
      </c>
      <c r="F1070">
        <v>1</v>
      </c>
      <c r="G1070" s="1" t="s">
        <v>1186</v>
      </c>
      <c r="I1070" s="1" t="s">
        <v>11473</v>
      </c>
      <c r="O1070" t="s">
        <v>22</v>
      </c>
    </row>
    <row r="1071" spans="1:15">
      <c r="A1071" t="s">
        <v>9426</v>
      </c>
      <c r="B1071" t="s">
        <v>9426</v>
      </c>
      <c r="C1071" t="s">
        <v>9427</v>
      </c>
      <c r="F1071">
        <v>1</v>
      </c>
      <c r="G1071" s="1" t="s">
        <v>1187</v>
      </c>
      <c r="I1071" s="1" t="s">
        <v>11473</v>
      </c>
      <c r="O1071" t="s">
        <v>22</v>
      </c>
    </row>
    <row r="1072" spans="1:15">
      <c r="A1072" t="s">
        <v>9417</v>
      </c>
      <c r="B1072" t="s">
        <v>9417</v>
      </c>
      <c r="C1072" t="s">
        <v>9418</v>
      </c>
      <c r="F1072">
        <v>1</v>
      </c>
      <c r="G1072" s="1" t="s">
        <v>1188</v>
      </c>
      <c r="I1072" s="1" t="s">
        <v>11473</v>
      </c>
      <c r="O1072" t="s">
        <v>22</v>
      </c>
    </row>
    <row r="1073" spans="1:15">
      <c r="A1073" t="s">
        <v>11409</v>
      </c>
      <c r="B1073" t="s">
        <v>11409</v>
      </c>
      <c r="C1073" t="s">
        <v>4420</v>
      </c>
      <c r="F1073">
        <v>1</v>
      </c>
      <c r="G1073" s="1" t="s">
        <v>1189</v>
      </c>
      <c r="I1073" s="1" t="s">
        <v>11473</v>
      </c>
      <c r="O1073" t="s">
        <v>22</v>
      </c>
    </row>
    <row r="1074" spans="1:15">
      <c r="A1074" t="s">
        <v>7487</v>
      </c>
      <c r="B1074" t="s">
        <v>7487</v>
      </c>
      <c r="C1074" t="s">
        <v>4421</v>
      </c>
      <c r="F1074">
        <v>1</v>
      </c>
      <c r="G1074" s="1" t="s">
        <v>1190</v>
      </c>
      <c r="I1074" s="1" t="s">
        <v>11473</v>
      </c>
      <c r="O1074" t="s">
        <v>22</v>
      </c>
    </row>
    <row r="1075" spans="1:15">
      <c r="A1075" t="s">
        <v>10404</v>
      </c>
      <c r="B1075" t="s">
        <v>10404</v>
      </c>
      <c r="C1075" t="s">
        <v>4421</v>
      </c>
      <c r="F1075">
        <v>1</v>
      </c>
      <c r="G1075" s="1" t="s">
        <v>1191</v>
      </c>
      <c r="I1075" s="1" t="s">
        <v>11473</v>
      </c>
      <c r="O1075" t="s">
        <v>22</v>
      </c>
    </row>
    <row r="1076" spans="1:15">
      <c r="A1076" t="s">
        <v>10324</v>
      </c>
      <c r="B1076" t="s">
        <v>10324</v>
      </c>
      <c r="C1076" t="s">
        <v>10325</v>
      </c>
      <c r="F1076">
        <v>1</v>
      </c>
      <c r="G1076" s="1" t="s">
        <v>1192</v>
      </c>
      <c r="I1076" s="1" t="s">
        <v>11473</v>
      </c>
      <c r="O1076" t="s">
        <v>22</v>
      </c>
    </row>
    <row r="1077" spans="1:15">
      <c r="A1077" t="s">
        <v>6823</v>
      </c>
      <c r="B1077" t="s">
        <v>6823</v>
      </c>
      <c r="C1077" t="s">
        <v>4280</v>
      </c>
      <c r="F1077">
        <v>1</v>
      </c>
      <c r="G1077" s="1" t="s">
        <v>1193</v>
      </c>
      <c r="I1077" s="1" t="s">
        <v>11473</v>
      </c>
      <c r="O1077" t="s">
        <v>22</v>
      </c>
    </row>
    <row r="1078" spans="1:15">
      <c r="A1078" t="s">
        <v>9628</v>
      </c>
      <c r="B1078" t="s">
        <v>9628</v>
      </c>
      <c r="C1078" t="s">
        <v>4280</v>
      </c>
      <c r="F1078">
        <v>1</v>
      </c>
      <c r="G1078" s="1" t="s">
        <v>1194</v>
      </c>
      <c r="I1078" s="1" t="s">
        <v>11473</v>
      </c>
      <c r="O1078" t="s">
        <v>22</v>
      </c>
    </row>
    <row r="1079" spans="1:15">
      <c r="A1079" t="s">
        <v>6629</v>
      </c>
      <c r="B1079" t="s">
        <v>6629</v>
      </c>
      <c r="C1079" t="s">
        <v>4422</v>
      </c>
      <c r="F1079">
        <v>1</v>
      </c>
      <c r="G1079" s="1" t="s">
        <v>1195</v>
      </c>
      <c r="I1079" s="1" t="s">
        <v>11473</v>
      </c>
      <c r="O1079" t="s">
        <v>22</v>
      </c>
    </row>
    <row r="1080" spans="1:15">
      <c r="A1080" t="s">
        <v>6643</v>
      </c>
      <c r="B1080" t="s">
        <v>6643</v>
      </c>
      <c r="C1080" t="s">
        <v>4629</v>
      </c>
      <c r="F1080">
        <v>1</v>
      </c>
      <c r="G1080" s="1" t="s">
        <v>1196</v>
      </c>
      <c r="I1080" s="1" t="s">
        <v>11473</v>
      </c>
      <c r="O1080" t="s">
        <v>22</v>
      </c>
    </row>
    <row r="1081" spans="1:15">
      <c r="A1081" t="s">
        <v>6843</v>
      </c>
      <c r="B1081" t="s">
        <v>6843</v>
      </c>
      <c r="C1081" t="s">
        <v>4122</v>
      </c>
      <c r="F1081">
        <v>1</v>
      </c>
      <c r="G1081" s="1" t="s">
        <v>1197</v>
      </c>
      <c r="I1081" s="1" t="s">
        <v>11473</v>
      </c>
      <c r="O1081" t="s">
        <v>22</v>
      </c>
    </row>
    <row r="1082" spans="1:15">
      <c r="A1082" t="s">
        <v>7645</v>
      </c>
      <c r="B1082" t="s">
        <v>7645</v>
      </c>
      <c r="C1082" t="s">
        <v>7646</v>
      </c>
      <c r="F1082">
        <v>1</v>
      </c>
      <c r="G1082" s="1" t="s">
        <v>1198</v>
      </c>
      <c r="I1082" s="1" t="s">
        <v>11473</v>
      </c>
      <c r="O1082" t="s">
        <v>22</v>
      </c>
    </row>
    <row r="1083" spans="1:15">
      <c r="A1083" t="s">
        <v>6846</v>
      </c>
      <c r="B1083" t="s">
        <v>6846</v>
      </c>
      <c r="C1083" t="s">
        <v>4282</v>
      </c>
      <c r="F1083">
        <v>1</v>
      </c>
      <c r="G1083" s="1" t="s">
        <v>1199</v>
      </c>
      <c r="I1083" s="1" t="s">
        <v>11473</v>
      </c>
      <c r="O1083" t="s">
        <v>22</v>
      </c>
    </row>
    <row r="1084" spans="1:15">
      <c r="A1084" t="s">
        <v>8362</v>
      </c>
      <c r="B1084" t="s">
        <v>8362</v>
      </c>
      <c r="C1084" t="s">
        <v>4282</v>
      </c>
      <c r="F1084">
        <v>1</v>
      </c>
      <c r="G1084" s="1" t="s">
        <v>1200</v>
      </c>
      <c r="I1084" s="1" t="s">
        <v>11473</v>
      </c>
      <c r="O1084" t="s">
        <v>22</v>
      </c>
    </row>
    <row r="1085" spans="1:15">
      <c r="A1085" t="s">
        <v>11160</v>
      </c>
      <c r="B1085" t="s">
        <v>11160</v>
      </c>
      <c r="C1085" t="s">
        <v>4976</v>
      </c>
      <c r="F1085">
        <v>1</v>
      </c>
      <c r="G1085" s="1" t="s">
        <v>1201</v>
      </c>
      <c r="I1085" s="1" t="s">
        <v>11473</v>
      </c>
      <c r="O1085" t="s">
        <v>22</v>
      </c>
    </row>
    <row r="1086" spans="1:15">
      <c r="A1086" t="s">
        <v>5638</v>
      </c>
      <c r="B1086" t="s">
        <v>5638</v>
      </c>
      <c r="C1086" t="s">
        <v>4511</v>
      </c>
      <c r="F1086">
        <v>1</v>
      </c>
      <c r="G1086" s="1" t="s">
        <v>1202</v>
      </c>
      <c r="I1086" s="1" t="s">
        <v>11473</v>
      </c>
      <c r="O1086" t="s">
        <v>22</v>
      </c>
    </row>
    <row r="1087" spans="1:15">
      <c r="A1087" t="s">
        <v>5697</v>
      </c>
      <c r="B1087" t="s">
        <v>5697</v>
      </c>
      <c r="C1087" t="s">
        <v>5698</v>
      </c>
      <c r="F1087">
        <v>1</v>
      </c>
      <c r="G1087" s="1" t="s">
        <v>1203</v>
      </c>
      <c r="I1087" s="1" t="s">
        <v>11473</v>
      </c>
      <c r="O1087" t="s">
        <v>22</v>
      </c>
    </row>
    <row r="1088" spans="1:15">
      <c r="A1088" t="s">
        <v>6635</v>
      </c>
      <c r="B1088" t="s">
        <v>6635</v>
      </c>
      <c r="C1088" t="s">
        <v>6636</v>
      </c>
      <c r="F1088">
        <v>1</v>
      </c>
      <c r="G1088" s="1" t="s">
        <v>1204</v>
      </c>
      <c r="I1088" s="1" t="s">
        <v>11473</v>
      </c>
      <c r="O1088" t="s">
        <v>22</v>
      </c>
    </row>
    <row r="1089" spans="1:15">
      <c r="A1089" t="s">
        <v>6436</v>
      </c>
      <c r="B1089" t="s">
        <v>6436</v>
      </c>
      <c r="C1089" t="s">
        <v>4115</v>
      </c>
      <c r="F1089">
        <v>1</v>
      </c>
      <c r="G1089" s="1" t="s">
        <v>1205</v>
      </c>
      <c r="I1089" s="1" t="s">
        <v>11473</v>
      </c>
      <c r="O1089" t="s">
        <v>22</v>
      </c>
    </row>
    <row r="1090" spans="1:15">
      <c r="A1090" t="s">
        <v>7611</v>
      </c>
      <c r="B1090" t="s">
        <v>7611</v>
      </c>
      <c r="C1090" t="s">
        <v>4115</v>
      </c>
      <c r="F1090">
        <v>1</v>
      </c>
      <c r="G1090" s="1" t="s">
        <v>1206</v>
      </c>
      <c r="I1090" s="1" t="s">
        <v>11473</v>
      </c>
      <c r="O1090" t="s">
        <v>22</v>
      </c>
    </row>
    <row r="1091" spans="1:15">
      <c r="A1091" t="s">
        <v>6307</v>
      </c>
      <c r="B1091" t="s">
        <v>6307</v>
      </c>
      <c r="C1091" t="s">
        <v>6308</v>
      </c>
      <c r="F1091">
        <v>1</v>
      </c>
      <c r="G1091" s="1" t="s">
        <v>1207</v>
      </c>
      <c r="I1091" s="1" t="s">
        <v>11473</v>
      </c>
      <c r="O1091" t="s">
        <v>22</v>
      </c>
    </row>
    <row r="1092" spans="1:15">
      <c r="A1092" t="s">
        <v>6317</v>
      </c>
      <c r="B1092" t="s">
        <v>6317</v>
      </c>
      <c r="C1092" t="s">
        <v>4186</v>
      </c>
      <c r="F1092">
        <v>1</v>
      </c>
      <c r="G1092" s="1" t="s">
        <v>1208</v>
      </c>
      <c r="I1092" s="1" t="s">
        <v>11473</v>
      </c>
      <c r="O1092" t="s">
        <v>22</v>
      </c>
    </row>
    <row r="1093" spans="1:15">
      <c r="A1093" t="s">
        <v>11252</v>
      </c>
      <c r="B1093" t="s">
        <v>11252</v>
      </c>
      <c r="C1093" t="s">
        <v>11253</v>
      </c>
      <c r="F1093">
        <v>1</v>
      </c>
      <c r="G1093" s="1" t="s">
        <v>1209</v>
      </c>
      <c r="I1093" s="1" t="s">
        <v>11473</v>
      </c>
      <c r="O1093" t="s">
        <v>22</v>
      </c>
    </row>
    <row r="1094" spans="1:15">
      <c r="A1094" t="s">
        <v>7636</v>
      </c>
      <c r="B1094" t="s">
        <v>7636</v>
      </c>
      <c r="C1094" t="s">
        <v>7637</v>
      </c>
      <c r="F1094">
        <v>1</v>
      </c>
      <c r="G1094" s="1" t="s">
        <v>1210</v>
      </c>
      <c r="I1094" s="1" t="s">
        <v>11473</v>
      </c>
      <c r="O1094" t="s">
        <v>22</v>
      </c>
    </row>
    <row r="1095" spans="1:15">
      <c r="A1095" t="s">
        <v>9436</v>
      </c>
      <c r="B1095" t="s">
        <v>9436</v>
      </c>
      <c r="C1095" t="s">
        <v>7637</v>
      </c>
      <c r="F1095">
        <v>1</v>
      </c>
      <c r="G1095" s="1" t="s">
        <v>1211</v>
      </c>
      <c r="I1095" s="1" t="s">
        <v>11473</v>
      </c>
      <c r="O1095" t="s">
        <v>22</v>
      </c>
    </row>
    <row r="1096" spans="1:15">
      <c r="A1096" t="s">
        <v>7609</v>
      </c>
      <c r="B1096" t="s">
        <v>7609</v>
      </c>
      <c r="C1096" t="s">
        <v>4745</v>
      </c>
      <c r="F1096">
        <v>1</v>
      </c>
      <c r="G1096" s="1" t="s">
        <v>1212</v>
      </c>
      <c r="I1096" s="1" t="s">
        <v>11473</v>
      </c>
      <c r="O1096" t="s">
        <v>22</v>
      </c>
    </row>
    <row r="1097" spans="1:15">
      <c r="A1097" t="s">
        <v>7629</v>
      </c>
      <c r="B1097" t="s">
        <v>7629</v>
      </c>
      <c r="C1097" t="s">
        <v>4745</v>
      </c>
      <c r="F1097">
        <v>1</v>
      </c>
      <c r="G1097" s="1" t="s">
        <v>1213</v>
      </c>
      <c r="I1097" s="1" t="s">
        <v>11473</v>
      </c>
      <c r="O1097" t="s">
        <v>22</v>
      </c>
    </row>
    <row r="1098" spans="1:15">
      <c r="A1098" t="s">
        <v>7427</v>
      </c>
      <c r="B1098" t="s">
        <v>7427</v>
      </c>
      <c r="C1098" t="s">
        <v>7428</v>
      </c>
      <c r="F1098">
        <v>1</v>
      </c>
      <c r="G1098" s="1" t="s">
        <v>1214</v>
      </c>
      <c r="I1098" s="1" t="s">
        <v>11473</v>
      </c>
      <c r="O1098" t="s">
        <v>22</v>
      </c>
    </row>
    <row r="1099" spans="1:15">
      <c r="A1099" t="s">
        <v>9707</v>
      </c>
      <c r="B1099" t="s">
        <v>9707</v>
      </c>
      <c r="C1099" t="s">
        <v>9708</v>
      </c>
      <c r="F1099">
        <v>1</v>
      </c>
      <c r="G1099" s="1" t="s">
        <v>1215</v>
      </c>
      <c r="I1099" s="1" t="s">
        <v>11473</v>
      </c>
      <c r="O1099" t="s">
        <v>22</v>
      </c>
    </row>
    <row r="1100" spans="1:15">
      <c r="A1100" t="s">
        <v>7433</v>
      </c>
      <c r="B1100" t="s">
        <v>7433</v>
      </c>
      <c r="C1100" t="s">
        <v>4764</v>
      </c>
      <c r="F1100">
        <v>1</v>
      </c>
      <c r="G1100" s="1" t="s">
        <v>1216</v>
      </c>
      <c r="I1100" s="1" t="s">
        <v>11473</v>
      </c>
      <c r="O1100" t="s">
        <v>22</v>
      </c>
    </row>
    <row r="1101" spans="1:15">
      <c r="A1101" t="s">
        <v>6123</v>
      </c>
      <c r="B1101" t="s">
        <v>6123</v>
      </c>
      <c r="C1101" t="s">
        <v>4645</v>
      </c>
      <c r="F1101">
        <v>1</v>
      </c>
      <c r="G1101" s="1" t="s">
        <v>1217</v>
      </c>
      <c r="I1101" s="1" t="s">
        <v>11473</v>
      </c>
      <c r="O1101" t="s">
        <v>22</v>
      </c>
    </row>
    <row r="1102" spans="1:15">
      <c r="A1102" t="s">
        <v>7888</v>
      </c>
      <c r="B1102" t="s">
        <v>7888</v>
      </c>
      <c r="C1102" t="s">
        <v>4645</v>
      </c>
      <c r="F1102">
        <v>1</v>
      </c>
      <c r="G1102" s="1" t="s">
        <v>1218</v>
      </c>
      <c r="I1102" s="1" t="s">
        <v>11473</v>
      </c>
      <c r="O1102" t="s">
        <v>22</v>
      </c>
    </row>
    <row r="1103" spans="1:15">
      <c r="A1103" t="s">
        <v>11102</v>
      </c>
      <c r="B1103" t="s">
        <v>11102</v>
      </c>
      <c r="C1103" t="s">
        <v>4645</v>
      </c>
      <c r="F1103">
        <v>1</v>
      </c>
      <c r="G1103" s="1" t="s">
        <v>1219</v>
      </c>
      <c r="I1103" s="1" t="s">
        <v>11473</v>
      </c>
      <c r="O1103" t="s">
        <v>22</v>
      </c>
    </row>
    <row r="1104" spans="1:15">
      <c r="A1104" t="s">
        <v>11278</v>
      </c>
      <c r="B1104" t="s">
        <v>11278</v>
      </c>
      <c r="C1104" t="s">
        <v>4645</v>
      </c>
      <c r="F1104">
        <v>1</v>
      </c>
      <c r="G1104" s="1" t="s">
        <v>1220</v>
      </c>
      <c r="I1104" s="1" t="s">
        <v>11473</v>
      </c>
      <c r="O1104" t="s">
        <v>22</v>
      </c>
    </row>
    <row r="1105" spans="1:15">
      <c r="A1105" t="s">
        <v>9461</v>
      </c>
      <c r="B1105" t="s">
        <v>9461</v>
      </c>
      <c r="C1105" t="s">
        <v>9462</v>
      </c>
      <c r="F1105">
        <v>1</v>
      </c>
      <c r="G1105" s="1" t="s">
        <v>1221</v>
      </c>
      <c r="I1105" s="1" t="s">
        <v>11473</v>
      </c>
      <c r="O1105" t="s">
        <v>22</v>
      </c>
    </row>
    <row r="1106" spans="1:15">
      <c r="A1106" t="s">
        <v>9660</v>
      </c>
      <c r="B1106" t="s">
        <v>9660</v>
      </c>
      <c r="C1106" t="s">
        <v>5375</v>
      </c>
      <c r="F1106">
        <v>1</v>
      </c>
      <c r="G1106" s="1" t="s">
        <v>1222</v>
      </c>
      <c r="I1106" s="1" t="s">
        <v>11473</v>
      </c>
      <c r="O1106" t="s">
        <v>22</v>
      </c>
    </row>
    <row r="1107" spans="1:15">
      <c r="A1107" t="s">
        <v>9346</v>
      </c>
      <c r="B1107" t="s">
        <v>9346</v>
      </c>
      <c r="C1107" t="s">
        <v>4766</v>
      </c>
      <c r="F1107">
        <v>1</v>
      </c>
      <c r="G1107" s="1" t="s">
        <v>1223</v>
      </c>
      <c r="I1107" s="1" t="s">
        <v>11473</v>
      </c>
      <c r="O1107" t="s">
        <v>22</v>
      </c>
    </row>
    <row r="1108" spans="1:15">
      <c r="A1108" t="s">
        <v>6306</v>
      </c>
      <c r="B1108" t="s">
        <v>6306</v>
      </c>
      <c r="C1108" t="s">
        <v>4364</v>
      </c>
      <c r="F1108">
        <v>1</v>
      </c>
      <c r="G1108" s="1" t="s">
        <v>1224</v>
      </c>
      <c r="I1108" s="1" t="s">
        <v>11473</v>
      </c>
      <c r="O1108" t="s">
        <v>22</v>
      </c>
    </row>
    <row r="1109" spans="1:15">
      <c r="A1109" t="s">
        <v>8850</v>
      </c>
      <c r="B1109" t="s">
        <v>8850</v>
      </c>
      <c r="C1109" t="s">
        <v>4751</v>
      </c>
      <c r="F1109">
        <v>1</v>
      </c>
      <c r="G1109" s="1" t="s">
        <v>1225</v>
      </c>
      <c r="I1109" s="1" t="s">
        <v>11473</v>
      </c>
      <c r="O1109" t="s">
        <v>22</v>
      </c>
    </row>
    <row r="1110" spans="1:15">
      <c r="A1110" t="s">
        <v>9665</v>
      </c>
      <c r="B1110" t="s">
        <v>9665</v>
      </c>
      <c r="C1110" t="s">
        <v>4751</v>
      </c>
      <c r="F1110">
        <v>1</v>
      </c>
      <c r="G1110" s="1" t="s">
        <v>1226</v>
      </c>
      <c r="I1110" s="1" t="s">
        <v>11473</v>
      </c>
      <c r="O1110" t="s">
        <v>22</v>
      </c>
    </row>
    <row r="1111" spans="1:15">
      <c r="A1111" t="s">
        <v>7165</v>
      </c>
      <c r="B1111" t="s">
        <v>7165</v>
      </c>
      <c r="C1111" t="s">
        <v>7166</v>
      </c>
      <c r="F1111">
        <v>1</v>
      </c>
      <c r="G1111" s="1" t="s">
        <v>1227</v>
      </c>
      <c r="I1111" s="1" t="s">
        <v>11473</v>
      </c>
      <c r="O1111" t="s">
        <v>22</v>
      </c>
    </row>
    <row r="1112" spans="1:15">
      <c r="A1112" t="s">
        <v>9297</v>
      </c>
      <c r="B1112" t="s">
        <v>9297</v>
      </c>
      <c r="C1112" t="s">
        <v>9298</v>
      </c>
      <c r="F1112">
        <v>1</v>
      </c>
      <c r="G1112" s="1" t="s">
        <v>1228</v>
      </c>
      <c r="I1112" s="1" t="s">
        <v>11473</v>
      </c>
      <c r="O1112" t="s">
        <v>22</v>
      </c>
    </row>
    <row r="1113" spans="1:15">
      <c r="A1113" t="s">
        <v>11085</v>
      </c>
      <c r="B1113" t="s">
        <v>11085</v>
      </c>
      <c r="C1113" t="s">
        <v>9298</v>
      </c>
      <c r="F1113">
        <v>1</v>
      </c>
      <c r="G1113" s="1" t="s">
        <v>1229</v>
      </c>
      <c r="I1113" s="1" t="s">
        <v>11473</v>
      </c>
      <c r="O1113" t="s">
        <v>22</v>
      </c>
    </row>
    <row r="1114" spans="1:15">
      <c r="A1114" t="s">
        <v>7626</v>
      </c>
      <c r="B1114" t="s">
        <v>7626</v>
      </c>
      <c r="C1114" t="s">
        <v>4726</v>
      </c>
      <c r="F1114">
        <v>1</v>
      </c>
      <c r="G1114" s="1" t="s">
        <v>1230</v>
      </c>
      <c r="I1114" s="1" t="s">
        <v>11473</v>
      </c>
      <c r="O1114" t="s">
        <v>22</v>
      </c>
    </row>
    <row r="1115" spans="1:15">
      <c r="A1115" t="s">
        <v>7673</v>
      </c>
      <c r="B1115" t="s">
        <v>7673</v>
      </c>
      <c r="C1115" t="s">
        <v>4726</v>
      </c>
      <c r="F1115">
        <v>1</v>
      </c>
      <c r="G1115" s="1" t="s">
        <v>1231</v>
      </c>
      <c r="I1115" s="1" t="s">
        <v>11473</v>
      </c>
      <c r="O1115" t="s">
        <v>22</v>
      </c>
    </row>
    <row r="1116" spans="1:15">
      <c r="A1116" t="s">
        <v>10590</v>
      </c>
      <c r="B1116" t="s">
        <v>10590</v>
      </c>
      <c r="C1116" t="s">
        <v>10591</v>
      </c>
      <c r="F1116">
        <v>1</v>
      </c>
      <c r="G1116" s="1" t="s">
        <v>1232</v>
      </c>
      <c r="I1116" s="1" t="s">
        <v>11473</v>
      </c>
      <c r="O1116" t="s">
        <v>22</v>
      </c>
    </row>
    <row r="1117" spans="1:15">
      <c r="A1117" t="s">
        <v>6302</v>
      </c>
      <c r="B1117" t="s">
        <v>6302</v>
      </c>
      <c r="C1117" t="s">
        <v>6303</v>
      </c>
      <c r="F1117">
        <v>1</v>
      </c>
      <c r="G1117" s="1" t="s">
        <v>1233</v>
      </c>
      <c r="I1117" s="1" t="s">
        <v>11473</v>
      </c>
      <c r="O1117" t="s">
        <v>22</v>
      </c>
    </row>
    <row r="1118" spans="1:15">
      <c r="A1118" t="s">
        <v>6398</v>
      </c>
      <c r="B1118" t="s">
        <v>6398</v>
      </c>
      <c r="C1118" t="s">
        <v>6303</v>
      </c>
      <c r="F1118">
        <v>1</v>
      </c>
      <c r="G1118" s="1" t="s">
        <v>1234</v>
      </c>
      <c r="I1118" s="1" t="s">
        <v>11473</v>
      </c>
      <c r="O1118" t="s">
        <v>22</v>
      </c>
    </row>
    <row r="1119" spans="1:15">
      <c r="A1119" t="s">
        <v>6419</v>
      </c>
      <c r="B1119" t="s">
        <v>6419</v>
      </c>
      <c r="C1119" t="s">
        <v>6303</v>
      </c>
      <c r="F1119">
        <v>1</v>
      </c>
      <c r="G1119" s="1" t="s">
        <v>1235</v>
      </c>
      <c r="I1119" s="1" t="s">
        <v>11473</v>
      </c>
      <c r="O1119" t="s">
        <v>22</v>
      </c>
    </row>
    <row r="1120" spans="1:15">
      <c r="A1120" t="s">
        <v>7630</v>
      </c>
      <c r="B1120" t="s">
        <v>7630</v>
      </c>
      <c r="C1120" t="s">
        <v>7631</v>
      </c>
      <c r="F1120">
        <v>1</v>
      </c>
      <c r="G1120" s="1" t="s">
        <v>1236</v>
      </c>
      <c r="I1120" s="1" t="s">
        <v>11473</v>
      </c>
      <c r="O1120" t="s">
        <v>22</v>
      </c>
    </row>
    <row r="1121" spans="1:15">
      <c r="A1121" t="s">
        <v>6401</v>
      </c>
      <c r="B1121" t="s">
        <v>6401</v>
      </c>
      <c r="C1121" t="s">
        <v>5174</v>
      </c>
      <c r="F1121">
        <v>1</v>
      </c>
      <c r="G1121" s="1" t="s">
        <v>1237</v>
      </c>
      <c r="I1121" s="1" t="s">
        <v>11473</v>
      </c>
      <c r="O1121" t="s">
        <v>22</v>
      </c>
    </row>
    <row r="1122" spans="1:15">
      <c r="A1122" t="s">
        <v>7614</v>
      </c>
      <c r="B1122" t="s">
        <v>7614</v>
      </c>
      <c r="C1122" t="s">
        <v>5174</v>
      </c>
      <c r="F1122">
        <v>1</v>
      </c>
      <c r="G1122" s="1" t="s">
        <v>1238</v>
      </c>
      <c r="I1122" s="1" t="s">
        <v>11473</v>
      </c>
      <c r="O1122" t="s">
        <v>22</v>
      </c>
    </row>
    <row r="1123" spans="1:15">
      <c r="A1123" t="s">
        <v>9067</v>
      </c>
      <c r="B1123" t="s">
        <v>9067</v>
      </c>
      <c r="C1123" t="s">
        <v>5174</v>
      </c>
      <c r="F1123">
        <v>1</v>
      </c>
      <c r="G1123" s="1" t="s">
        <v>1239</v>
      </c>
      <c r="I1123" s="1" t="s">
        <v>11473</v>
      </c>
      <c r="O1123" t="s">
        <v>22</v>
      </c>
    </row>
    <row r="1124" spans="1:15">
      <c r="A1124" t="s">
        <v>7607</v>
      </c>
      <c r="B1124" t="s">
        <v>7607</v>
      </c>
      <c r="C1124" t="s">
        <v>7608</v>
      </c>
      <c r="F1124">
        <v>1</v>
      </c>
      <c r="G1124" s="1" t="s">
        <v>1240</v>
      </c>
      <c r="I1124" s="1" t="s">
        <v>11473</v>
      </c>
      <c r="O1124" t="s">
        <v>22</v>
      </c>
    </row>
    <row r="1125" spans="1:15">
      <c r="A1125" t="s">
        <v>9077</v>
      </c>
      <c r="B1125" t="s">
        <v>9077</v>
      </c>
      <c r="C1125" t="s">
        <v>7608</v>
      </c>
      <c r="F1125">
        <v>1</v>
      </c>
      <c r="G1125" s="1" t="s">
        <v>1241</v>
      </c>
      <c r="I1125" s="1" t="s">
        <v>11473</v>
      </c>
      <c r="O1125" t="s">
        <v>22</v>
      </c>
    </row>
    <row r="1126" spans="1:15">
      <c r="A1126" t="s">
        <v>6393</v>
      </c>
      <c r="B1126" t="s">
        <v>6393</v>
      </c>
      <c r="C1126" t="s">
        <v>4489</v>
      </c>
      <c r="F1126">
        <v>1</v>
      </c>
      <c r="G1126" s="1" t="s">
        <v>1242</v>
      </c>
      <c r="I1126" s="1" t="s">
        <v>11473</v>
      </c>
      <c r="O1126" t="s">
        <v>22</v>
      </c>
    </row>
    <row r="1127" spans="1:15">
      <c r="A1127" t="s">
        <v>6634</v>
      </c>
      <c r="B1127" t="s">
        <v>6634</v>
      </c>
      <c r="C1127" t="s">
        <v>4489</v>
      </c>
      <c r="F1127">
        <v>1</v>
      </c>
      <c r="G1127" s="1" t="s">
        <v>1243</v>
      </c>
      <c r="I1127" s="1" t="s">
        <v>11473</v>
      </c>
      <c r="O1127" t="s">
        <v>22</v>
      </c>
    </row>
    <row r="1128" spans="1:15">
      <c r="A1128" t="s">
        <v>9339</v>
      </c>
      <c r="B1128" t="s">
        <v>9339</v>
      </c>
      <c r="C1128" t="s">
        <v>9340</v>
      </c>
      <c r="F1128">
        <v>1</v>
      </c>
      <c r="G1128" s="1" t="s">
        <v>1244</v>
      </c>
      <c r="I1128" s="1" t="s">
        <v>11473</v>
      </c>
      <c r="O1128" t="s">
        <v>22</v>
      </c>
    </row>
    <row r="1129" spans="1:15">
      <c r="A1129" t="s">
        <v>10058</v>
      </c>
      <c r="B1129" t="s">
        <v>10058</v>
      </c>
      <c r="C1129" t="s">
        <v>9340</v>
      </c>
      <c r="F1129">
        <v>1</v>
      </c>
      <c r="G1129" s="1" t="s">
        <v>1245</v>
      </c>
      <c r="I1129" s="1" t="s">
        <v>11473</v>
      </c>
      <c r="O1129" t="s">
        <v>22</v>
      </c>
    </row>
    <row r="1130" spans="1:15">
      <c r="A1130" t="s">
        <v>7671</v>
      </c>
      <c r="B1130" t="s">
        <v>7671</v>
      </c>
      <c r="C1130" t="s">
        <v>4154</v>
      </c>
      <c r="F1130">
        <v>1</v>
      </c>
      <c r="G1130" s="1" t="s">
        <v>1246</v>
      </c>
      <c r="I1130" s="1" t="s">
        <v>11473</v>
      </c>
      <c r="O1130" t="s">
        <v>22</v>
      </c>
    </row>
    <row r="1131" spans="1:15">
      <c r="A1131" t="s">
        <v>7777</v>
      </c>
      <c r="B1131" t="s">
        <v>7777</v>
      </c>
      <c r="C1131" t="s">
        <v>7778</v>
      </c>
      <c r="F1131">
        <v>1</v>
      </c>
      <c r="G1131" s="1" t="s">
        <v>1247</v>
      </c>
      <c r="I1131" s="1" t="s">
        <v>11473</v>
      </c>
      <c r="O1131" t="s">
        <v>22</v>
      </c>
    </row>
    <row r="1132" spans="1:15">
      <c r="A1132" t="s">
        <v>9059</v>
      </c>
      <c r="B1132" t="s">
        <v>9059</v>
      </c>
      <c r="C1132" t="s">
        <v>7778</v>
      </c>
      <c r="F1132">
        <v>1</v>
      </c>
      <c r="G1132" s="1" t="s">
        <v>1248</v>
      </c>
      <c r="I1132" s="1" t="s">
        <v>11473</v>
      </c>
      <c r="O1132" t="s">
        <v>22</v>
      </c>
    </row>
    <row r="1133" spans="1:15">
      <c r="A1133" t="s">
        <v>11076</v>
      </c>
      <c r="B1133" t="s">
        <v>11076</v>
      </c>
      <c r="C1133" t="s">
        <v>11077</v>
      </c>
      <c r="F1133">
        <v>1</v>
      </c>
      <c r="G1133" s="1" t="s">
        <v>1249</v>
      </c>
      <c r="I1133" s="1" t="s">
        <v>11473</v>
      </c>
      <c r="O1133" t="s">
        <v>22</v>
      </c>
    </row>
    <row r="1134" spans="1:15">
      <c r="A1134" t="s">
        <v>7546</v>
      </c>
      <c r="B1134" t="s">
        <v>7546</v>
      </c>
      <c r="C1134" t="s">
        <v>7547</v>
      </c>
      <c r="F1134">
        <v>1</v>
      </c>
      <c r="G1134" s="1" t="s">
        <v>1250</v>
      </c>
      <c r="I1134" s="1" t="s">
        <v>11473</v>
      </c>
      <c r="O1134" t="s">
        <v>22</v>
      </c>
    </row>
    <row r="1135" spans="1:15">
      <c r="A1135" t="s">
        <v>9205</v>
      </c>
      <c r="B1135" t="s">
        <v>9205</v>
      </c>
      <c r="C1135" t="s">
        <v>9206</v>
      </c>
      <c r="F1135">
        <v>1</v>
      </c>
      <c r="G1135" s="1" t="s">
        <v>1251</v>
      </c>
      <c r="I1135" s="1" t="s">
        <v>11473</v>
      </c>
      <c r="O1135" t="s">
        <v>22</v>
      </c>
    </row>
    <row r="1136" spans="1:15">
      <c r="A1136" t="s">
        <v>11263</v>
      </c>
      <c r="B1136" t="s">
        <v>11263</v>
      </c>
      <c r="C1136" t="s">
        <v>9206</v>
      </c>
      <c r="F1136">
        <v>1</v>
      </c>
      <c r="G1136" s="1" t="s">
        <v>1252</v>
      </c>
      <c r="I1136" s="1" t="s">
        <v>11473</v>
      </c>
      <c r="O1136" t="s">
        <v>22</v>
      </c>
    </row>
    <row r="1137" spans="1:15">
      <c r="A1137" t="s">
        <v>10073</v>
      </c>
      <c r="B1137" t="s">
        <v>10073</v>
      </c>
      <c r="C1137" t="s">
        <v>10074</v>
      </c>
      <c r="F1137">
        <v>1</v>
      </c>
      <c r="G1137" s="1" t="s">
        <v>1253</v>
      </c>
      <c r="I1137" s="1" t="s">
        <v>11473</v>
      </c>
      <c r="O1137" t="s">
        <v>22</v>
      </c>
    </row>
    <row r="1138" spans="1:15">
      <c r="A1138" t="s">
        <v>7606</v>
      </c>
      <c r="B1138" t="s">
        <v>7606</v>
      </c>
      <c r="C1138" t="s">
        <v>4101</v>
      </c>
      <c r="F1138">
        <v>1</v>
      </c>
      <c r="G1138" s="1" t="s">
        <v>1254</v>
      </c>
      <c r="I1138" s="1" t="s">
        <v>11473</v>
      </c>
      <c r="O1138" t="s">
        <v>22</v>
      </c>
    </row>
    <row r="1139" spans="1:15">
      <c r="A1139" t="s">
        <v>9359</v>
      </c>
      <c r="B1139" t="s">
        <v>9359</v>
      </c>
      <c r="C1139" t="s">
        <v>4101</v>
      </c>
      <c r="F1139">
        <v>1</v>
      </c>
      <c r="G1139" s="1" t="s">
        <v>1255</v>
      </c>
      <c r="I1139" s="1" t="s">
        <v>11473</v>
      </c>
      <c r="O1139" t="s">
        <v>22</v>
      </c>
    </row>
    <row r="1140" spans="1:15">
      <c r="A1140" t="s">
        <v>11072</v>
      </c>
      <c r="B1140" t="s">
        <v>11072</v>
      </c>
      <c r="C1140" t="s">
        <v>4101</v>
      </c>
      <c r="F1140">
        <v>1</v>
      </c>
      <c r="G1140" s="1" t="s">
        <v>1256</v>
      </c>
      <c r="I1140" s="1" t="s">
        <v>11473</v>
      </c>
      <c r="O1140" t="s">
        <v>22</v>
      </c>
    </row>
    <row r="1141" spans="1:15">
      <c r="A1141" t="s">
        <v>4945</v>
      </c>
      <c r="B1141" t="s">
        <v>4945</v>
      </c>
      <c r="C1141" t="s">
        <v>4845</v>
      </c>
      <c r="F1141">
        <v>1</v>
      </c>
      <c r="G1141" s="1" t="s">
        <v>1257</v>
      </c>
      <c r="I1141" s="1" t="s">
        <v>11473</v>
      </c>
      <c r="O1141" t="s">
        <v>22</v>
      </c>
    </row>
    <row r="1142" spans="1:15">
      <c r="A1142" t="s">
        <v>5248</v>
      </c>
      <c r="B1142" t="s">
        <v>5248</v>
      </c>
      <c r="C1142" t="s">
        <v>4845</v>
      </c>
      <c r="F1142">
        <v>1</v>
      </c>
      <c r="G1142" s="1" t="s">
        <v>1258</v>
      </c>
      <c r="I1142" s="1" t="s">
        <v>11473</v>
      </c>
      <c r="O1142" t="s">
        <v>22</v>
      </c>
    </row>
    <row r="1143" spans="1:15">
      <c r="A1143" t="s">
        <v>6283</v>
      </c>
      <c r="B1143" t="s">
        <v>6283</v>
      </c>
      <c r="C1143" t="s">
        <v>6284</v>
      </c>
      <c r="F1143">
        <v>1</v>
      </c>
      <c r="G1143" s="1" t="s">
        <v>1259</v>
      </c>
      <c r="I1143" s="1" t="s">
        <v>11473</v>
      </c>
      <c r="O1143" t="s">
        <v>22</v>
      </c>
    </row>
    <row r="1144" spans="1:15">
      <c r="A1144" t="s">
        <v>11358</v>
      </c>
      <c r="B1144" t="s">
        <v>11358</v>
      </c>
      <c r="C1144" t="s">
        <v>6284</v>
      </c>
      <c r="F1144">
        <v>1</v>
      </c>
      <c r="G1144" s="1" t="s">
        <v>1260</v>
      </c>
      <c r="I1144" s="1" t="s">
        <v>11473</v>
      </c>
      <c r="O1144" t="s">
        <v>22</v>
      </c>
    </row>
    <row r="1145" spans="1:15">
      <c r="A1145" t="s">
        <v>6027</v>
      </c>
      <c r="B1145" t="s">
        <v>6027</v>
      </c>
      <c r="C1145" t="s">
        <v>4173</v>
      </c>
      <c r="F1145">
        <v>1</v>
      </c>
      <c r="G1145" s="1" t="s">
        <v>1261</v>
      </c>
      <c r="I1145" s="1" t="s">
        <v>11473</v>
      </c>
      <c r="O1145" t="s">
        <v>22</v>
      </c>
    </row>
    <row r="1146" spans="1:15">
      <c r="A1146" t="s">
        <v>8278</v>
      </c>
      <c r="B1146" t="s">
        <v>8278</v>
      </c>
      <c r="C1146" t="s">
        <v>4173</v>
      </c>
      <c r="F1146">
        <v>1</v>
      </c>
      <c r="G1146" s="1" t="s">
        <v>1262</v>
      </c>
      <c r="I1146" s="1" t="s">
        <v>11473</v>
      </c>
      <c r="O1146" t="s">
        <v>22</v>
      </c>
    </row>
    <row r="1147" spans="1:15">
      <c r="A1147" t="s">
        <v>9256</v>
      </c>
      <c r="B1147" t="s">
        <v>9256</v>
      </c>
      <c r="C1147" t="s">
        <v>4173</v>
      </c>
      <c r="F1147">
        <v>1</v>
      </c>
      <c r="G1147" s="1" t="s">
        <v>1263</v>
      </c>
      <c r="I1147" s="1" t="s">
        <v>11473</v>
      </c>
      <c r="O1147" t="s">
        <v>22</v>
      </c>
    </row>
    <row r="1148" spans="1:15">
      <c r="A1148" t="s">
        <v>7621</v>
      </c>
      <c r="B1148" t="s">
        <v>7621</v>
      </c>
      <c r="C1148" t="s">
        <v>4357</v>
      </c>
      <c r="F1148">
        <v>1</v>
      </c>
      <c r="G1148" s="1" t="s">
        <v>1264</v>
      </c>
      <c r="I1148" s="1" t="s">
        <v>11473</v>
      </c>
      <c r="O1148" t="s">
        <v>22</v>
      </c>
    </row>
    <row r="1149" spans="1:15">
      <c r="A1149" t="s">
        <v>6864</v>
      </c>
      <c r="B1149" t="s">
        <v>6864</v>
      </c>
      <c r="C1149" t="s">
        <v>6865</v>
      </c>
      <c r="F1149">
        <v>1</v>
      </c>
      <c r="G1149" s="1" t="s">
        <v>1265</v>
      </c>
      <c r="I1149" s="1" t="s">
        <v>11473</v>
      </c>
      <c r="O1149" t="s">
        <v>22</v>
      </c>
    </row>
    <row r="1150" spans="1:15">
      <c r="A1150" t="s">
        <v>6382</v>
      </c>
      <c r="B1150" t="s">
        <v>6382</v>
      </c>
      <c r="C1150" t="s">
        <v>6383</v>
      </c>
      <c r="F1150">
        <v>1</v>
      </c>
      <c r="G1150" s="1" t="s">
        <v>1266</v>
      </c>
      <c r="I1150" s="1" t="s">
        <v>11473</v>
      </c>
      <c r="O1150" t="s">
        <v>22</v>
      </c>
    </row>
    <row r="1151" spans="1:15">
      <c r="A1151" t="s">
        <v>10767</v>
      </c>
      <c r="B1151" t="s">
        <v>10767</v>
      </c>
      <c r="C1151" t="s">
        <v>6383</v>
      </c>
      <c r="F1151">
        <v>1</v>
      </c>
      <c r="G1151" s="1" t="s">
        <v>1267</v>
      </c>
      <c r="I1151" s="1" t="s">
        <v>11473</v>
      </c>
      <c r="O1151" t="s">
        <v>22</v>
      </c>
    </row>
    <row r="1152" spans="1:15">
      <c r="A1152" t="s">
        <v>7441</v>
      </c>
      <c r="B1152" t="s">
        <v>7441</v>
      </c>
      <c r="C1152" t="s">
        <v>4981</v>
      </c>
      <c r="F1152">
        <v>1</v>
      </c>
      <c r="G1152" s="1" t="s">
        <v>1268</v>
      </c>
      <c r="I1152" s="1" t="s">
        <v>11473</v>
      </c>
      <c r="O1152" t="s">
        <v>22</v>
      </c>
    </row>
    <row r="1153" spans="1:15">
      <c r="A1153" t="s">
        <v>9621</v>
      </c>
      <c r="B1153" t="s">
        <v>9621</v>
      </c>
      <c r="C1153" t="s">
        <v>4981</v>
      </c>
      <c r="F1153">
        <v>1</v>
      </c>
      <c r="G1153" s="1" t="s">
        <v>1269</v>
      </c>
      <c r="I1153" s="1" t="s">
        <v>11473</v>
      </c>
      <c r="O1153" t="s">
        <v>22</v>
      </c>
    </row>
    <row r="1154" spans="1:15">
      <c r="A1154" t="s">
        <v>8464</v>
      </c>
      <c r="B1154" t="s">
        <v>8464</v>
      </c>
      <c r="C1154" t="s">
        <v>4253</v>
      </c>
      <c r="F1154">
        <v>1</v>
      </c>
      <c r="G1154" s="1" t="s">
        <v>1270</v>
      </c>
      <c r="I1154" s="1" t="s">
        <v>11473</v>
      </c>
      <c r="O1154" t="s">
        <v>22</v>
      </c>
    </row>
    <row r="1155" spans="1:15">
      <c r="A1155" t="s">
        <v>9913</v>
      </c>
      <c r="B1155" t="s">
        <v>9913</v>
      </c>
      <c r="C1155" t="s">
        <v>4367</v>
      </c>
      <c r="F1155">
        <v>1</v>
      </c>
      <c r="G1155" s="1" t="s">
        <v>1271</v>
      </c>
      <c r="I1155" s="1" t="s">
        <v>11473</v>
      </c>
      <c r="O1155" t="s">
        <v>22</v>
      </c>
    </row>
    <row r="1156" spans="1:15">
      <c r="A1156" t="s">
        <v>7447</v>
      </c>
      <c r="B1156" t="s">
        <v>7447</v>
      </c>
      <c r="C1156" t="s">
        <v>5351</v>
      </c>
      <c r="F1156">
        <v>1</v>
      </c>
      <c r="G1156" s="1" t="s">
        <v>1272</v>
      </c>
      <c r="I1156" s="1" t="s">
        <v>11473</v>
      </c>
      <c r="O1156" t="s">
        <v>22</v>
      </c>
    </row>
    <row r="1157" spans="1:15">
      <c r="A1157" t="s">
        <v>9087</v>
      </c>
      <c r="B1157" t="s">
        <v>9087</v>
      </c>
      <c r="C1157" t="s">
        <v>9088</v>
      </c>
      <c r="F1157">
        <v>1</v>
      </c>
      <c r="G1157" s="1" t="s">
        <v>1273</v>
      </c>
      <c r="I1157" s="1" t="s">
        <v>11473</v>
      </c>
      <c r="O1157" t="s">
        <v>22</v>
      </c>
    </row>
    <row r="1158" spans="1:15">
      <c r="A1158" t="s">
        <v>9550</v>
      </c>
      <c r="B1158" t="s">
        <v>9550</v>
      </c>
      <c r="C1158" t="s">
        <v>9088</v>
      </c>
      <c r="F1158">
        <v>1</v>
      </c>
      <c r="G1158" s="1" t="s">
        <v>1274</v>
      </c>
      <c r="I1158" s="1" t="s">
        <v>11473</v>
      </c>
      <c r="O1158" t="s">
        <v>22</v>
      </c>
    </row>
    <row r="1159" spans="1:15">
      <c r="A1159" t="s">
        <v>11075</v>
      </c>
      <c r="B1159" t="s">
        <v>11075</v>
      </c>
      <c r="C1159" t="s">
        <v>9088</v>
      </c>
      <c r="F1159">
        <v>1</v>
      </c>
      <c r="G1159" s="1" t="s">
        <v>1275</v>
      </c>
      <c r="I1159" s="1" t="s">
        <v>11473</v>
      </c>
      <c r="O1159" t="s">
        <v>22</v>
      </c>
    </row>
    <row r="1160" spans="1:15">
      <c r="A1160" t="s">
        <v>10421</v>
      </c>
      <c r="B1160" t="s">
        <v>10421</v>
      </c>
      <c r="C1160" t="s">
        <v>10422</v>
      </c>
      <c r="F1160">
        <v>1</v>
      </c>
      <c r="G1160" s="1" t="s">
        <v>1276</v>
      </c>
      <c r="I1160" s="1" t="s">
        <v>11473</v>
      </c>
      <c r="O1160" t="s">
        <v>22</v>
      </c>
    </row>
    <row r="1161" spans="1:15">
      <c r="A1161" t="s">
        <v>6314</v>
      </c>
      <c r="B1161" t="s">
        <v>6314</v>
      </c>
      <c r="C1161" t="s">
        <v>5371</v>
      </c>
      <c r="F1161">
        <v>1</v>
      </c>
      <c r="G1161" s="1" t="s">
        <v>1277</v>
      </c>
      <c r="I1161" s="1" t="s">
        <v>11473</v>
      </c>
      <c r="O1161" t="s">
        <v>22</v>
      </c>
    </row>
    <row r="1162" spans="1:15">
      <c r="A1162" t="s">
        <v>9885</v>
      </c>
      <c r="B1162" t="s">
        <v>9885</v>
      </c>
      <c r="C1162" t="s">
        <v>5371</v>
      </c>
      <c r="F1162">
        <v>1</v>
      </c>
      <c r="G1162" s="1" t="s">
        <v>1278</v>
      </c>
      <c r="I1162" s="1" t="s">
        <v>11473</v>
      </c>
      <c r="O1162" t="s">
        <v>22</v>
      </c>
    </row>
    <row r="1163" spans="1:15">
      <c r="A1163" t="s">
        <v>7628</v>
      </c>
      <c r="B1163" t="s">
        <v>7628</v>
      </c>
      <c r="C1163" t="s">
        <v>4861</v>
      </c>
      <c r="F1163">
        <v>1</v>
      </c>
      <c r="G1163" s="1" t="s">
        <v>1279</v>
      </c>
      <c r="I1163" s="1" t="s">
        <v>11473</v>
      </c>
      <c r="O1163" t="s">
        <v>22</v>
      </c>
    </row>
    <row r="1164" spans="1:15">
      <c r="A1164" t="s">
        <v>10764</v>
      </c>
      <c r="B1164" t="s">
        <v>10764</v>
      </c>
      <c r="C1164" t="s">
        <v>10765</v>
      </c>
      <c r="F1164">
        <v>1</v>
      </c>
      <c r="G1164" s="1" t="s">
        <v>1280</v>
      </c>
      <c r="I1164" s="1" t="s">
        <v>11473</v>
      </c>
      <c r="O1164" t="s">
        <v>22</v>
      </c>
    </row>
    <row r="1165" spans="1:15">
      <c r="A1165" t="s">
        <v>10708</v>
      </c>
      <c r="B1165" t="s">
        <v>10708</v>
      </c>
      <c r="C1165" t="s">
        <v>10709</v>
      </c>
      <c r="F1165">
        <v>1</v>
      </c>
      <c r="G1165" s="1" t="s">
        <v>1281</v>
      </c>
      <c r="I1165" s="1" t="s">
        <v>11473</v>
      </c>
      <c r="O1165" t="s">
        <v>22</v>
      </c>
    </row>
    <row r="1166" spans="1:15">
      <c r="A1166" t="s">
        <v>8494</v>
      </c>
      <c r="B1166" t="s">
        <v>8494</v>
      </c>
      <c r="C1166" t="s">
        <v>8495</v>
      </c>
      <c r="F1166">
        <v>1</v>
      </c>
      <c r="G1166" s="1" t="s">
        <v>1282</v>
      </c>
      <c r="I1166" s="1" t="s">
        <v>11473</v>
      </c>
      <c r="O1166" t="s">
        <v>22</v>
      </c>
    </row>
    <row r="1167" spans="1:15">
      <c r="A1167" t="s">
        <v>9774</v>
      </c>
      <c r="B1167" t="s">
        <v>9774</v>
      </c>
      <c r="C1167" t="s">
        <v>8495</v>
      </c>
      <c r="F1167">
        <v>1</v>
      </c>
      <c r="G1167" s="1" t="s">
        <v>1283</v>
      </c>
      <c r="I1167" s="1" t="s">
        <v>11473</v>
      </c>
      <c r="O1167" t="s">
        <v>22</v>
      </c>
    </row>
    <row r="1168" spans="1:15">
      <c r="A1168" t="s">
        <v>7594</v>
      </c>
      <c r="B1168" t="s">
        <v>7594</v>
      </c>
      <c r="C1168" t="s">
        <v>7595</v>
      </c>
      <c r="F1168">
        <v>1</v>
      </c>
      <c r="G1168" s="1" t="s">
        <v>1284</v>
      </c>
      <c r="I1168" s="1" t="s">
        <v>11473</v>
      </c>
      <c r="O1168" t="s">
        <v>22</v>
      </c>
    </row>
    <row r="1169" spans="1:15">
      <c r="A1169" t="s">
        <v>9052</v>
      </c>
      <c r="B1169" t="s">
        <v>9052</v>
      </c>
      <c r="C1169" t="s">
        <v>4557</v>
      </c>
      <c r="F1169">
        <v>1</v>
      </c>
      <c r="G1169" s="1" t="s">
        <v>1285</v>
      </c>
      <c r="I1169" s="1" t="s">
        <v>11473</v>
      </c>
      <c r="O1169" t="s">
        <v>22</v>
      </c>
    </row>
    <row r="1170" spans="1:15">
      <c r="A1170" t="s">
        <v>5672</v>
      </c>
      <c r="B1170" t="s">
        <v>5672</v>
      </c>
      <c r="C1170" t="s">
        <v>5129</v>
      </c>
      <c r="F1170">
        <v>1</v>
      </c>
      <c r="G1170" s="1" t="s">
        <v>1286</v>
      </c>
      <c r="I1170" s="1" t="s">
        <v>11473</v>
      </c>
      <c r="O1170" t="s">
        <v>22</v>
      </c>
    </row>
    <row r="1171" spans="1:15">
      <c r="A1171" t="s">
        <v>5674</v>
      </c>
      <c r="B1171" t="s">
        <v>5674</v>
      </c>
      <c r="C1171" t="s">
        <v>5675</v>
      </c>
      <c r="F1171">
        <v>1</v>
      </c>
      <c r="G1171" s="1" t="s">
        <v>1287</v>
      </c>
      <c r="I1171" s="1" t="s">
        <v>11473</v>
      </c>
      <c r="O1171" t="s">
        <v>22</v>
      </c>
    </row>
    <row r="1172" spans="1:15">
      <c r="A1172" t="s">
        <v>9534</v>
      </c>
      <c r="B1172" t="s">
        <v>9534</v>
      </c>
      <c r="C1172" t="s">
        <v>5675</v>
      </c>
      <c r="F1172">
        <v>1</v>
      </c>
      <c r="G1172" s="1" t="s">
        <v>1288</v>
      </c>
      <c r="I1172" s="1" t="s">
        <v>11473</v>
      </c>
      <c r="O1172" t="s">
        <v>22</v>
      </c>
    </row>
    <row r="1173" spans="1:15">
      <c r="A1173" t="s">
        <v>8500</v>
      </c>
      <c r="B1173" t="s">
        <v>8500</v>
      </c>
      <c r="C1173" t="s">
        <v>4265</v>
      </c>
      <c r="F1173">
        <v>1</v>
      </c>
      <c r="G1173" s="1" t="s">
        <v>1289</v>
      </c>
      <c r="I1173" s="1" t="s">
        <v>11473</v>
      </c>
      <c r="O1173" t="s">
        <v>22</v>
      </c>
    </row>
    <row r="1174" spans="1:15">
      <c r="A1174" t="s">
        <v>5754</v>
      </c>
      <c r="B1174" t="s">
        <v>5754</v>
      </c>
      <c r="C1174" t="s">
        <v>4814</v>
      </c>
      <c r="F1174">
        <v>1</v>
      </c>
      <c r="G1174" s="1" t="s">
        <v>1290</v>
      </c>
      <c r="I1174" s="1" t="s">
        <v>11473</v>
      </c>
      <c r="O1174" t="s">
        <v>22</v>
      </c>
    </row>
    <row r="1175" spans="1:15">
      <c r="A1175" t="s">
        <v>9882</v>
      </c>
      <c r="B1175" t="s">
        <v>9882</v>
      </c>
      <c r="C1175" t="s">
        <v>4814</v>
      </c>
      <c r="F1175">
        <v>1</v>
      </c>
      <c r="G1175" s="1" t="s">
        <v>1291</v>
      </c>
      <c r="I1175" s="1" t="s">
        <v>11473</v>
      </c>
      <c r="O1175" t="s">
        <v>22</v>
      </c>
    </row>
    <row r="1176" spans="1:15">
      <c r="A1176" t="s">
        <v>7853</v>
      </c>
      <c r="B1176" t="s">
        <v>7853</v>
      </c>
      <c r="C1176" t="s">
        <v>4257</v>
      </c>
      <c r="F1176">
        <v>1</v>
      </c>
      <c r="G1176" s="1" t="s">
        <v>1292</v>
      </c>
      <c r="I1176" s="1" t="s">
        <v>11473</v>
      </c>
      <c r="O1176" t="s">
        <v>22</v>
      </c>
    </row>
    <row r="1177" spans="1:15">
      <c r="A1177" t="s">
        <v>8015</v>
      </c>
      <c r="B1177" t="s">
        <v>8015</v>
      </c>
      <c r="C1177" t="s">
        <v>4257</v>
      </c>
      <c r="F1177">
        <v>1</v>
      </c>
      <c r="G1177" s="1" t="s">
        <v>1293</v>
      </c>
      <c r="I1177" s="1" t="s">
        <v>11473</v>
      </c>
      <c r="O1177" t="s">
        <v>22</v>
      </c>
    </row>
    <row r="1178" spans="1:15">
      <c r="A1178" t="s">
        <v>7638</v>
      </c>
      <c r="B1178" t="s">
        <v>7638</v>
      </c>
      <c r="C1178" t="s">
        <v>4189</v>
      </c>
      <c r="F1178">
        <v>1</v>
      </c>
      <c r="G1178" s="1" t="s">
        <v>1294</v>
      </c>
      <c r="I1178" s="1" t="s">
        <v>11473</v>
      </c>
      <c r="O1178" t="s">
        <v>22</v>
      </c>
    </row>
    <row r="1179" spans="1:15">
      <c r="A1179" t="s">
        <v>7642</v>
      </c>
      <c r="B1179" t="s">
        <v>7642</v>
      </c>
      <c r="C1179" t="s">
        <v>7643</v>
      </c>
      <c r="F1179">
        <v>1</v>
      </c>
      <c r="G1179" s="1" t="s">
        <v>1295</v>
      </c>
      <c r="I1179" s="1" t="s">
        <v>11473</v>
      </c>
      <c r="O1179" t="s">
        <v>22</v>
      </c>
    </row>
    <row r="1180" spans="1:15">
      <c r="A1180" t="s">
        <v>9225</v>
      </c>
      <c r="B1180" t="s">
        <v>9225</v>
      </c>
      <c r="C1180" t="s">
        <v>7643</v>
      </c>
      <c r="F1180">
        <v>1</v>
      </c>
      <c r="G1180" s="1" t="s">
        <v>1296</v>
      </c>
      <c r="I1180" s="1" t="s">
        <v>11473</v>
      </c>
      <c r="O1180" t="s">
        <v>22</v>
      </c>
    </row>
    <row r="1181" spans="1:15">
      <c r="A1181" t="s">
        <v>11103</v>
      </c>
      <c r="B1181" t="s">
        <v>11103</v>
      </c>
      <c r="C1181" t="s">
        <v>7643</v>
      </c>
      <c r="F1181">
        <v>1</v>
      </c>
      <c r="G1181" s="1" t="s">
        <v>1297</v>
      </c>
      <c r="I1181" s="1" t="s">
        <v>11473</v>
      </c>
      <c r="O1181" t="s">
        <v>22</v>
      </c>
    </row>
    <row r="1182" spans="1:15">
      <c r="A1182" t="s">
        <v>6315</v>
      </c>
      <c r="B1182" t="s">
        <v>6315</v>
      </c>
      <c r="C1182" t="s">
        <v>4763</v>
      </c>
      <c r="F1182">
        <v>1</v>
      </c>
      <c r="G1182" s="1" t="s">
        <v>1298</v>
      </c>
      <c r="I1182" s="1" t="s">
        <v>11473</v>
      </c>
      <c r="O1182" t="s">
        <v>22</v>
      </c>
    </row>
    <row r="1183" spans="1:15">
      <c r="A1183" t="s">
        <v>9370</v>
      </c>
      <c r="B1183" t="s">
        <v>9370</v>
      </c>
      <c r="C1183" t="s">
        <v>9371</v>
      </c>
      <c r="F1183">
        <v>1</v>
      </c>
      <c r="G1183" s="1" t="s">
        <v>1299</v>
      </c>
      <c r="I1183" s="1" t="s">
        <v>11473</v>
      </c>
      <c r="O1183" t="s">
        <v>22</v>
      </c>
    </row>
    <row r="1184" spans="1:15">
      <c r="A1184" t="s">
        <v>6587</v>
      </c>
      <c r="B1184" t="s">
        <v>6587</v>
      </c>
      <c r="C1184" t="s">
        <v>4072</v>
      </c>
      <c r="F1184">
        <v>1</v>
      </c>
      <c r="G1184" s="1" t="s">
        <v>1300</v>
      </c>
      <c r="I1184" s="1" t="s">
        <v>11473</v>
      </c>
      <c r="O1184" t="s">
        <v>22</v>
      </c>
    </row>
    <row r="1185" spans="1:15">
      <c r="A1185" t="s">
        <v>9547</v>
      </c>
      <c r="B1185" t="s">
        <v>9547</v>
      </c>
      <c r="C1185" t="s">
        <v>4072</v>
      </c>
      <c r="F1185">
        <v>1</v>
      </c>
      <c r="G1185" s="1" t="s">
        <v>1301</v>
      </c>
      <c r="I1185" s="1" t="s">
        <v>11473</v>
      </c>
      <c r="O1185" t="s">
        <v>22</v>
      </c>
    </row>
    <row r="1186" spans="1:15">
      <c r="A1186" t="s">
        <v>6399</v>
      </c>
      <c r="B1186" t="s">
        <v>6399</v>
      </c>
      <c r="C1186" t="s">
        <v>4258</v>
      </c>
      <c r="F1186">
        <v>1</v>
      </c>
      <c r="G1186" s="1" t="s">
        <v>1302</v>
      </c>
      <c r="I1186" s="1" t="s">
        <v>11473</v>
      </c>
      <c r="O1186" t="s">
        <v>22</v>
      </c>
    </row>
    <row r="1187" spans="1:15">
      <c r="A1187" t="s">
        <v>5405</v>
      </c>
      <c r="B1187" t="s">
        <v>5405</v>
      </c>
      <c r="C1187" t="s">
        <v>4910</v>
      </c>
      <c r="F1187">
        <v>1</v>
      </c>
      <c r="G1187" s="1" t="s">
        <v>1303</v>
      </c>
      <c r="I1187" s="1" t="s">
        <v>11473</v>
      </c>
      <c r="O1187" t="s">
        <v>22</v>
      </c>
    </row>
    <row r="1188" spans="1:15">
      <c r="A1188" t="s">
        <v>6324</v>
      </c>
      <c r="B1188" t="s">
        <v>6324</v>
      </c>
      <c r="C1188" t="s">
        <v>6325</v>
      </c>
      <c r="F1188">
        <v>1</v>
      </c>
      <c r="G1188" s="1" t="s">
        <v>1304</v>
      </c>
      <c r="I1188" s="1" t="s">
        <v>11473</v>
      </c>
      <c r="O1188" t="s">
        <v>22</v>
      </c>
    </row>
    <row r="1189" spans="1:15">
      <c r="A1189" t="s">
        <v>6380</v>
      </c>
      <c r="B1189" t="s">
        <v>6380</v>
      </c>
      <c r="C1189" t="s">
        <v>6325</v>
      </c>
      <c r="F1189">
        <v>1</v>
      </c>
      <c r="G1189" s="1" t="s">
        <v>1305</v>
      </c>
      <c r="I1189" s="1" t="s">
        <v>11473</v>
      </c>
      <c r="O1189" t="s">
        <v>22</v>
      </c>
    </row>
    <row r="1190" spans="1:15">
      <c r="A1190" t="s">
        <v>6384</v>
      </c>
      <c r="B1190" t="s">
        <v>6384</v>
      </c>
      <c r="C1190" t="s">
        <v>6385</v>
      </c>
      <c r="F1190">
        <v>1</v>
      </c>
      <c r="G1190" s="1" t="s">
        <v>1306</v>
      </c>
      <c r="I1190" s="1" t="s">
        <v>11473</v>
      </c>
      <c r="O1190" t="s">
        <v>22</v>
      </c>
    </row>
    <row r="1191" spans="1:15">
      <c r="A1191" t="s">
        <v>10938</v>
      </c>
      <c r="B1191" t="s">
        <v>10938</v>
      </c>
      <c r="C1191" t="s">
        <v>6385</v>
      </c>
      <c r="F1191">
        <v>1</v>
      </c>
      <c r="G1191" s="1" t="s">
        <v>1307</v>
      </c>
      <c r="I1191" s="1" t="s">
        <v>11473</v>
      </c>
      <c r="O1191" t="s">
        <v>22</v>
      </c>
    </row>
    <row r="1192" spans="1:15">
      <c r="A1192" t="s">
        <v>5947</v>
      </c>
      <c r="B1192" t="s">
        <v>5947</v>
      </c>
      <c r="C1192" t="s">
        <v>5006</v>
      </c>
      <c r="F1192">
        <v>1</v>
      </c>
      <c r="G1192" s="1" t="s">
        <v>1308</v>
      </c>
      <c r="I1192" s="1" t="s">
        <v>11473</v>
      </c>
      <c r="O1192" t="s">
        <v>22</v>
      </c>
    </row>
    <row r="1193" spans="1:15">
      <c r="A1193" t="s">
        <v>6402</v>
      </c>
      <c r="B1193" t="s">
        <v>6402</v>
      </c>
      <c r="C1193" t="s">
        <v>4176</v>
      </c>
      <c r="F1193">
        <v>1</v>
      </c>
      <c r="G1193" s="1" t="s">
        <v>1309</v>
      </c>
      <c r="I1193" s="1" t="s">
        <v>11473</v>
      </c>
      <c r="O1193" t="s">
        <v>22</v>
      </c>
    </row>
    <row r="1194" spans="1:15">
      <c r="A1194" t="s">
        <v>7448</v>
      </c>
      <c r="B1194" t="s">
        <v>7448</v>
      </c>
      <c r="C1194" t="s">
        <v>7449</v>
      </c>
      <c r="F1194">
        <v>1</v>
      </c>
      <c r="G1194" s="1" t="s">
        <v>1310</v>
      </c>
      <c r="I1194" s="1" t="s">
        <v>11473</v>
      </c>
      <c r="O1194" t="s">
        <v>22</v>
      </c>
    </row>
    <row r="1195" spans="1:15">
      <c r="A1195" t="s">
        <v>7648</v>
      </c>
      <c r="B1195" t="s">
        <v>7648</v>
      </c>
      <c r="C1195" t="s">
        <v>7649</v>
      </c>
      <c r="F1195">
        <v>1</v>
      </c>
      <c r="G1195" s="1" t="s">
        <v>1311</v>
      </c>
      <c r="I1195" s="1" t="s">
        <v>11473</v>
      </c>
      <c r="O1195" t="s">
        <v>22</v>
      </c>
    </row>
    <row r="1196" spans="1:15">
      <c r="A1196" t="s">
        <v>7653</v>
      </c>
      <c r="B1196" t="s">
        <v>7653</v>
      </c>
      <c r="C1196" t="s">
        <v>4359</v>
      </c>
      <c r="F1196">
        <v>1</v>
      </c>
      <c r="G1196" s="1" t="s">
        <v>1312</v>
      </c>
      <c r="I1196" s="1" t="s">
        <v>11473</v>
      </c>
      <c r="O1196" t="s">
        <v>22</v>
      </c>
    </row>
    <row r="1197" spans="1:15">
      <c r="A1197" t="s">
        <v>9112</v>
      </c>
      <c r="B1197" t="s">
        <v>9112</v>
      </c>
      <c r="C1197" t="s">
        <v>4359</v>
      </c>
      <c r="F1197">
        <v>1</v>
      </c>
      <c r="G1197" s="1" t="s">
        <v>1313</v>
      </c>
      <c r="I1197" s="1" t="s">
        <v>11473</v>
      </c>
      <c r="O1197" t="s">
        <v>22</v>
      </c>
    </row>
    <row r="1198" spans="1:15">
      <c r="A1198" t="s">
        <v>11090</v>
      </c>
      <c r="B1198" t="s">
        <v>11090</v>
      </c>
      <c r="C1198" t="s">
        <v>4359</v>
      </c>
      <c r="F1198">
        <v>1</v>
      </c>
      <c r="G1198" s="1" t="s">
        <v>1314</v>
      </c>
      <c r="I1198" s="1" t="s">
        <v>11473</v>
      </c>
      <c r="O1198" t="s">
        <v>22</v>
      </c>
    </row>
    <row r="1199" spans="1:15">
      <c r="A1199" t="s">
        <v>7431</v>
      </c>
      <c r="B1199" t="s">
        <v>7431</v>
      </c>
      <c r="C1199" t="s">
        <v>4429</v>
      </c>
      <c r="F1199">
        <v>1</v>
      </c>
      <c r="G1199" s="1" t="s">
        <v>1315</v>
      </c>
      <c r="I1199" s="1" t="s">
        <v>11473</v>
      </c>
      <c r="O1199" t="s">
        <v>22</v>
      </c>
    </row>
    <row r="1200" spans="1:15">
      <c r="A1200" t="s">
        <v>8047</v>
      </c>
      <c r="B1200" t="s">
        <v>8047</v>
      </c>
      <c r="C1200" t="s">
        <v>4827</v>
      </c>
      <c r="F1200">
        <v>1</v>
      </c>
      <c r="G1200" s="1" t="s">
        <v>1316</v>
      </c>
      <c r="I1200" s="1" t="s">
        <v>11473</v>
      </c>
      <c r="O1200" t="s">
        <v>22</v>
      </c>
    </row>
    <row r="1201" spans="1:15">
      <c r="A1201" t="s">
        <v>8155</v>
      </c>
      <c r="B1201" t="s">
        <v>8155</v>
      </c>
      <c r="C1201" t="s">
        <v>4827</v>
      </c>
      <c r="F1201">
        <v>1</v>
      </c>
      <c r="G1201" s="1" t="s">
        <v>1317</v>
      </c>
      <c r="I1201" s="1" t="s">
        <v>11473</v>
      </c>
      <c r="O1201" t="s">
        <v>22</v>
      </c>
    </row>
    <row r="1202" spans="1:15">
      <c r="A1202" t="s">
        <v>11092</v>
      </c>
      <c r="B1202" t="s">
        <v>11092</v>
      </c>
      <c r="C1202" t="s">
        <v>4827</v>
      </c>
      <c r="F1202">
        <v>1</v>
      </c>
      <c r="G1202" s="1" t="s">
        <v>1318</v>
      </c>
      <c r="I1202" s="1" t="s">
        <v>11473</v>
      </c>
      <c r="O1202" t="s">
        <v>22</v>
      </c>
    </row>
    <row r="1203" spans="1:15">
      <c r="A1203" t="s">
        <v>8849</v>
      </c>
      <c r="B1203" t="s">
        <v>8849</v>
      </c>
      <c r="C1203" t="s">
        <v>4356</v>
      </c>
      <c r="F1203">
        <v>1</v>
      </c>
      <c r="G1203" s="1" t="s">
        <v>1319</v>
      </c>
      <c r="I1203" s="1" t="s">
        <v>11473</v>
      </c>
      <c r="O1203" t="s">
        <v>22</v>
      </c>
    </row>
    <row r="1204" spans="1:15">
      <c r="A1204" t="s">
        <v>6844</v>
      </c>
      <c r="B1204" t="s">
        <v>6844</v>
      </c>
      <c r="C1204" t="s">
        <v>4896</v>
      </c>
      <c r="F1204">
        <v>1</v>
      </c>
      <c r="G1204" s="1" t="s">
        <v>1320</v>
      </c>
      <c r="I1204" s="1" t="s">
        <v>11473</v>
      </c>
      <c r="O1204" t="s">
        <v>22</v>
      </c>
    </row>
    <row r="1205" spans="1:15">
      <c r="A1205" t="s">
        <v>11266</v>
      </c>
      <c r="B1205" t="s">
        <v>11266</v>
      </c>
      <c r="C1205" t="s">
        <v>4896</v>
      </c>
      <c r="F1205">
        <v>1</v>
      </c>
      <c r="G1205" s="1" t="s">
        <v>1321</v>
      </c>
      <c r="I1205" s="1" t="s">
        <v>11473</v>
      </c>
      <c r="O1205" t="s">
        <v>22</v>
      </c>
    </row>
    <row r="1206" spans="1:15">
      <c r="A1206" t="s">
        <v>6428</v>
      </c>
      <c r="B1206" t="s">
        <v>6428</v>
      </c>
      <c r="C1206" t="s">
        <v>4732</v>
      </c>
      <c r="F1206">
        <v>1</v>
      </c>
      <c r="G1206" s="1" t="s">
        <v>1322</v>
      </c>
      <c r="I1206" s="1" t="s">
        <v>11473</v>
      </c>
      <c r="O1206" t="s">
        <v>22</v>
      </c>
    </row>
    <row r="1207" spans="1:15">
      <c r="A1207" t="s">
        <v>6453</v>
      </c>
      <c r="B1207" t="s">
        <v>6453</v>
      </c>
      <c r="C1207" t="s">
        <v>4732</v>
      </c>
      <c r="F1207">
        <v>1</v>
      </c>
      <c r="G1207" s="1" t="s">
        <v>1323</v>
      </c>
      <c r="I1207" s="1" t="s">
        <v>11473</v>
      </c>
      <c r="O1207" t="s">
        <v>22</v>
      </c>
    </row>
    <row r="1208" spans="1:15">
      <c r="A1208" t="s">
        <v>6312</v>
      </c>
      <c r="B1208" t="s">
        <v>6312</v>
      </c>
      <c r="C1208" t="s">
        <v>6313</v>
      </c>
      <c r="F1208">
        <v>1</v>
      </c>
      <c r="G1208" s="1" t="s">
        <v>1324</v>
      </c>
      <c r="I1208" s="1" t="s">
        <v>11473</v>
      </c>
      <c r="O1208" t="s">
        <v>22</v>
      </c>
    </row>
    <row r="1209" spans="1:15">
      <c r="A1209" t="s">
        <v>10572</v>
      </c>
      <c r="B1209" t="s">
        <v>10572</v>
      </c>
      <c r="C1209" t="s">
        <v>10573</v>
      </c>
      <c r="F1209">
        <v>1</v>
      </c>
      <c r="G1209" s="1" t="s">
        <v>1325</v>
      </c>
      <c r="I1209" s="1" t="s">
        <v>11473</v>
      </c>
      <c r="O1209" t="s">
        <v>22</v>
      </c>
    </row>
    <row r="1210" spans="1:15">
      <c r="A1210" t="s">
        <v>7622</v>
      </c>
      <c r="B1210" t="s">
        <v>7622</v>
      </c>
      <c r="C1210" t="s">
        <v>7623</v>
      </c>
      <c r="F1210">
        <v>1</v>
      </c>
      <c r="G1210" s="1" t="s">
        <v>1326</v>
      </c>
      <c r="I1210" s="1" t="s">
        <v>11473</v>
      </c>
      <c r="O1210" t="s">
        <v>22</v>
      </c>
    </row>
    <row r="1211" spans="1:15">
      <c r="A1211" t="s">
        <v>11231</v>
      </c>
      <c r="B1211" t="s">
        <v>11231</v>
      </c>
      <c r="C1211" t="s">
        <v>7623</v>
      </c>
      <c r="F1211">
        <v>1</v>
      </c>
      <c r="G1211" s="1" t="s">
        <v>1327</v>
      </c>
      <c r="I1211" s="1" t="s">
        <v>11473</v>
      </c>
      <c r="O1211" t="s">
        <v>22</v>
      </c>
    </row>
    <row r="1212" spans="1:15">
      <c r="A1212" t="s">
        <v>8556</v>
      </c>
      <c r="B1212" t="s">
        <v>8556</v>
      </c>
      <c r="C1212" t="s">
        <v>4159</v>
      </c>
      <c r="F1212">
        <v>1</v>
      </c>
      <c r="G1212" s="1" t="s">
        <v>1328</v>
      </c>
      <c r="I1212" s="1" t="s">
        <v>11473</v>
      </c>
      <c r="O1212" t="s">
        <v>22</v>
      </c>
    </row>
    <row r="1213" spans="1:15">
      <c r="A1213" t="s">
        <v>9342</v>
      </c>
      <c r="B1213" t="s">
        <v>9342</v>
      </c>
      <c r="C1213" t="s">
        <v>4159</v>
      </c>
      <c r="F1213">
        <v>1</v>
      </c>
      <c r="G1213" s="1" t="s">
        <v>1329</v>
      </c>
      <c r="I1213" s="1" t="s">
        <v>11473</v>
      </c>
      <c r="O1213" t="s">
        <v>22</v>
      </c>
    </row>
    <row r="1214" spans="1:15">
      <c r="A1214" t="s">
        <v>5305</v>
      </c>
      <c r="B1214" t="s">
        <v>5305</v>
      </c>
      <c r="C1214" t="s">
        <v>4159</v>
      </c>
      <c r="F1214">
        <v>1</v>
      </c>
      <c r="G1214" s="1" t="s">
        <v>1330</v>
      </c>
      <c r="I1214" s="1" t="s">
        <v>11473</v>
      </c>
      <c r="O1214" t="s">
        <v>22</v>
      </c>
    </row>
    <row r="1215" spans="1:15">
      <c r="A1215" t="s">
        <v>6309</v>
      </c>
      <c r="B1215" t="s">
        <v>6309</v>
      </c>
      <c r="C1215" t="s">
        <v>4252</v>
      </c>
      <c r="F1215">
        <v>1</v>
      </c>
      <c r="G1215" s="1" t="s">
        <v>1331</v>
      </c>
      <c r="I1215" s="1" t="s">
        <v>11473</v>
      </c>
      <c r="O1215" t="s">
        <v>22</v>
      </c>
    </row>
    <row r="1216" spans="1:15">
      <c r="A1216" t="s">
        <v>6839</v>
      </c>
      <c r="B1216" t="s">
        <v>6839</v>
      </c>
      <c r="C1216" t="s">
        <v>4252</v>
      </c>
      <c r="F1216">
        <v>1</v>
      </c>
      <c r="G1216" s="1" t="s">
        <v>1332</v>
      </c>
      <c r="I1216" s="1" t="s">
        <v>11473</v>
      </c>
      <c r="O1216" t="s">
        <v>22</v>
      </c>
    </row>
    <row r="1217" spans="1:15">
      <c r="A1217" t="s">
        <v>6420</v>
      </c>
      <c r="B1217" t="s">
        <v>6420</v>
      </c>
      <c r="C1217" t="s">
        <v>4444</v>
      </c>
      <c r="F1217">
        <v>1</v>
      </c>
      <c r="G1217" s="1" t="s">
        <v>1333</v>
      </c>
      <c r="I1217" s="1" t="s">
        <v>11473</v>
      </c>
      <c r="O1217" t="s">
        <v>22</v>
      </c>
    </row>
    <row r="1218" spans="1:15">
      <c r="A1218" t="s">
        <v>8683</v>
      </c>
      <c r="B1218" t="s">
        <v>8683</v>
      </c>
      <c r="C1218" t="s">
        <v>4444</v>
      </c>
      <c r="F1218">
        <v>1</v>
      </c>
      <c r="G1218" s="1" t="s">
        <v>1334</v>
      </c>
      <c r="I1218" s="1" t="s">
        <v>11473</v>
      </c>
      <c r="O1218" t="s">
        <v>22</v>
      </c>
    </row>
    <row r="1219" spans="1:15">
      <c r="A1219" t="s">
        <v>11088</v>
      </c>
      <c r="B1219" t="s">
        <v>11088</v>
      </c>
      <c r="C1219" t="s">
        <v>4444</v>
      </c>
      <c r="F1219">
        <v>1</v>
      </c>
      <c r="G1219" s="1" t="s">
        <v>1335</v>
      </c>
      <c r="I1219" s="1" t="s">
        <v>11473</v>
      </c>
      <c r="O1219" t="s">
        <v>22</v>
      </c>
    </row>
    <row r="1220" spans="1:15">
      <c r="A1220" t="s">
        <v>5916</v>
      </c>
      <c r="B1220" t="s">
        <v>5916</v>
      </c>
      <c r="C1220" t="s">
        <v>5348</v>
      </c>
      <c r="F1220">
        <v>1</v>
      </c>
      <c r="G1220" s="1" t="s">
        <v>1336</v>
      </c>
      <c r="I1220" s="1" t="s">
        <v>11473</v>
      </c>
      <c r="O1220" t="s">
        <v>22</v>
      </c>
    </row>
    <row r="1221" spans="1:15">
      <c r="A1221" t="s">
        <v>5953</v>
      </c>
      <c r="B1221" t="s">
        <v>5953</v>
      </c>
      <c r="C1221" t="s">
        <v>5954</v>
      </c>
      <c r="F1221">
        <v>1</v>
      </c>
      <c r="G1221" s="1" t="s">
        <v>1337</v>
      </c>
      <c r="I1221" s="1" t="s">
        <v>11473</v>
      </c>
      <c r="O1221" t="s">
        <v>22</v>
      </c>
    </row>
    <row r="1222" spans="1:15">
      <c r="A1222" t="s">
        <v>6438</v>
      </c>
      <c r="B1222" t="s">
        <v>6438</v>
      </c>
      <c r="C1222" t="s">
        <v>6439</v>
      </c>
      <c r="F1222">
        <v>1</v>
      </c>
      <c r="G1222" s="1" t="s">
        <v>1338</v>
      </c>
      <c r="I1222" s="1" t="s">
        <v>11473</v>
      </c>
      <c r="O1222" t="s">
        <v>22</v>
      </c>
    </row>
    <row r="1223" spans="1:15">
      <c r="A1223" t="s">
        <v>11083</v>
      </c>
      <c r="B1223" t="s">
        <v>11083</v>
      </c>
      <c r="C1223" t="s">
        <v>6439</v>
      </c>
      <c r="F1223">
        <v>1</v>
      </c>
      <c r="G1223" s="1" t="s">
        <v>1339</v>
      </c>
      <c r="I1223" s="1" t="s">
        <v>11473</v>
      </c>
      <c r="O1223" t="s">
        <v>22</v>
      </c>
    </row>
    <row r="1224" spans="1:15">
      <c r="A1224" t="s">
        <v>10639</v>
      </c>
      <c r="B1224" t="s">
        <v>10639</v>
      </c>
      <c r="C1224" t="s">
        <v>5086</v>
      </c>
      <c r="F1224">
        <v>1</v>
      </c>
      <c r="G1224" s="1" t="s">
        <v>1340</v>
      </c>
      <c r="I1224" s="1" t="s">
        <v>11473</v>
      </c>
      <c r="O1224" t="s">
        <v>22</v>
      </c>
    </row>
    <row r="1225" spans="1:15">
      <c r="A1225" t="s">
        <v>7424</v>
      </c>
      <c r="B1225" t="s">
        <v>7424</v>
      </c>
      <c r="C1225" t="s">
        <v>5350</v>
      </c>
      <c r="F1225">
        <v>1</v>
      </c>
      <c r="G1225" s="1" t="s">
        <v>1341</v>
      </c>
      <c r="I1225" s="1" t="s">
        <v>11473</v>
      </c>
      <c r="O1225" t="s">
        <v>22</v>
      </c>
    </row>
    <row r="1226" spans="1:15">
      <c r="A1226" t="s">
        <v>9274</v>
      </c>
      <c r="B1226" t="s">
        <v>9274</v>
      </c>
      <c r="C1226" t="s">
        <v>9275</v>
      </c>
      <c r="F1226">
        <v>1</v>
      </c>
      <c r="G1226" s="1" t="s">
        <v>1342</v>
      </c>
      <c r="I1226" s="1" t="s">
        <v>11473</v>
      </c>
      <c r="O1226" t="s">
        <v>22</v>
      </c>
    </row>
    <row r="1227" spans="1:15">
      <c r="A1227" t="s">
        <v>7599</v>
      </c>
      <c r="B1227" t="s">
        <v>7599</v>
      </c>
      <c r="C1227" t="s">
        <v>7600</v>
      </c>
      <c r="F1227">
        <v>1</v>
      </c>
      <c r="G1227" s="1" t="s">
        <v>1343</v>
      </c>
      <c r="I1227" s="1" t="s">
        <v>11473</v>
      </c>
      <c r="O1227" t="s">
        <v>22</v>
      </c>
    </row>
    <row r="1228" spans="1:15">
      <c r="A1228" t="s">
        <v>8912</v>
      </c>
      <c r="B1228" t="s">
        <v>8912</v>
      </c>
      <c r="C1228" t="s">
        <v>7600</v>
      </c>
      <c r="F1228">
        <v>1</v>
      </c>
      <c r="G1228" s="1" t="s">
        <v>1344</v>
      </c>
      <c r="I1228" s="1" t="s">
        <v>11473</v>
      </c>
      <c r="O1228" t="s">
        <v>22</v>
      </c>
    </row>
    <row r="1229" spans="1:15">
      <c r="A1229" t="s">
        <v>7596</v>
      </c>
      <c r="B1229" t="s">
        <v>7596</v>
      </c>
      <c r="C1229" t="s">
        <v>4432</v>
      </c>
      <c r="F1229">
        <v>1</v>
      </c>
      <c r="G1229" s="1" t="s">
        <v>1345</v>
      </c>
      <c r="I1229" s="1" t="s">
        <v>11473</v>
      </c>
      <c r="O1229" t="s">
        <v>22</v>
      </c>
    </row>
    <row r="1230" spans="1:15">
      <c r="A1230" t="s">
        <v>9921</v>
      </c>
      <c r="B1230" t="s">
        <v>9921</v>
      </c>
      <c r="C1230" t="s">
        <v>9922</v>
      </c>
      <c r="F1230">
        <v>1</v>
      </c>
      <c r="G1230" s="1" t="s">
        <v>1346</v>
      </c>
      <c r="I1230" s="1" t="s">
        <v>11473</v>
      </c>
      <c r="O1230" t="s">
        <v>22</v>
      </c>
    </row>
    <row r="1231" spans="1:15">
      <c r="A1231" t="s">
        <v>5783</v>
      </c>
      <c r="B1231" t="s">
        <v>5783</v>
      </c>
      <c r="C1231" t="s">
        <v>4208</v>
      </c>
      <c r="F1231">
        <v>1</v>
      </c>
      <c r="G1231" s="1" t="s">
        <v>1347</v>
      </c>
      <c r="I1231" s="1" t="s">
        <v>11473</v>
      </c>
      <c r="O1231" t="s">
        <v>22</v>
      </c>
    </row>
    <row r="1232" spans="1:15">
      <c r="A1232" t="s">
        <v>7423</v>
      </c>
      <c r="B1232" t="s">
        <v>7423</v>
      </c>
      <c r="C1232" t="s">
        <v>4208</v>
      </c>
      <c r="F1232">
        <v>1</v>
      </c>
      <c r="G1232" s="1" t="s">
        <v>1348</v>
      </c>
      <c r="I1232" s="1" t="s">
        <v>11473</v>
      </c>
      <c r="O1232" t="s">
        <v>22</v>
      </c>
    </row>
    <row r="1233" spans="1:15">
      <c r="A1233" t="s">
        <v>7618</v>
      </c>
      <c r="B1233" t="s">
        <v>7618</v>
      </c>
      <c r="C1233" t="s">
        <v>5097</v>
      </c>
      <c r="F1233">
        <v>1</v>
      </c>
      <c r="G1233" s="1" t="s">
        <v>1349</v>
      </c>
      <c r="I1233" s="1" t="s">
        <v>11473</v>
      </c>
      <c r="O1233" t="s">
        <v>22</v>
      </c>
    </row>
    <row r="1234" spans="1:15">
      <c r="A1234" t="s">
        <v>10072</v>
      </c>
      <c r="B1234" t="s">
        <v>10072</v>
      </c>
      <c r="C1234" t="s">
        <v>4056</v>
      </c>
      <c r="F1234">
        <v>1</v>
      </c>
      <c r="G1234" s="1" t="s">
        <v>1350</v>
      </c>
      <c r="I1234" s="1" t="s">
        <v>11473</v>
      </c>
      <c r="O1234" t="s">
        <v>22</v>
      </c>
    </row>
    <row r="1235" spans="1:15">
      <c r="A1235" t="s">
        <v>7432</v>
      </c>
      <c r="B1235" t="s">
        <v>7432</v>
      </c>
      <c r="C1235" t="s">
        <v>4820</v>
      </c>
      <c r="F1235">
        <v>1</v>
      </c>
      <c r="G1235" s="1" t="s">
        <v>1351</v>
      </c>
      <c r="I1235" s="1" t="s">
        <v>11473</v>
      </c>
      <c r="O1235" t="s">
        <v>22</v>
      </c>
    </row>
    <row r="1236" spans="1:15">
      <c r="A1236" t="s">
        <v>8577</v>
      </c>
      <c r="B1236" t="s">
        <v>8577</v>
      </c>
      <c r="C1236" t="s">
        <v>4820</v>
      </c>
      <c r="F1236">
        <v>1</v>
      </c>
      <c r="G1236" s="1" t="s">
        <v>1352</v>
      </c>
      <c r="I1236" s="1" t="s">
        <v>11473</v>
      </c>
      <c r="O1236" t="s">
        <v>22</v>
      </c>
    </row>
    <row r="1237" spans="1:15">
      <c r="A1237" t="s">
        <v>5235</v>
      </c>
      <c r="B1237" t="s">
        <v>5235</v>
      </c>
      <c r="C1237" t="s">
        <v>4820</v>
      </c>
      <c r="F1237">
        <v>1</v>
      </c>
      <c r="G1237" s="1" t="s">
        <v>1353</v>
      </c>
      <c r="I1237" s="1" t="s">
        <v>11473</v>
      </c>
      <c r="O1237" t="s">
        <v>22</v>
      </c>
    </row>
    <row r="1238" spans="1:15">
      <c r="A1238" t="s">
        <v>8476</v>
      </c>
      <c r="B1238" t="s">
        <v>8476</v>
      </c>
      <c r="C1238" t="s">
        <v>5019</v>
      </c>
      <c r="F1238">
        <v>1</v>
      </c>
      <c r="G1238" s="1" t="s">
        <v>1354</v>
      </c>
      <c r="I1238" s="1" t="s">
        <v>11473</v>
      </c>
      <c r="O1238" t="s">
        <v>22</v>
      </c>
    </row>
    <row r="1239" spans="1:15">
      <c r="A1239" t="s">
        <v>8972</v>
      </c>
      <c r="B1239" t="s">
        <v>8972</v>
      </c>
      <c r="C1239" t="s">
        <v>5019</v>
      </c>
      <c r="F1239">
        <v>1</v>
      </c>
      <c r="G1239" s="1" t="s">
        <v>1355</v>
      </c>
      <c r="I1239" s="1" t="s">
        <v>11473</v>
      </c>
      <c r="O1239" t="s">
        <v>22</v>
      </c>
    </row>
    <row r="1240" spans="1:15">
      <c r="A1240" t="s">
        <v>9306</v>
      </c>
      <c r="B1240" t="s">
        <v>9306</v>
      </c>
      <c r="C1240" t="s">
        <v>9307</v>
      </c>
      <c r="F1240">
        <v>1</v>
      </c>
      <c r="G1240" s="1" t="s">
        <v>1356</v>
      </c>
      <c r="I1240" s="1" t="s">
        <v>11473</v>
      </c>
      <c r="O1240" t="s">
        <v>22</v>
      </c>
    </row>
    <row r="1241" spans="1:15">
      <c r="A1241" t="s">
        <v>9696</v>
      </c>
      <c r="B1241" t="s">
        <v>9696</v>
      </c>
      <c r="C1241" t="s">
        <v>9697</v>
      </c>
      <c r="F1241">
        <v>1</v>
      </c>
      <c r="G1241" s="1" t="s">
        <v>1357</v>
      </c>
      <c r="I1241" s="1" t="s">
        <v>11473</v>
      </c>
      <c r="O1241" t="s">
        <v>22</v>
      </c>
    </row>
    <row r="1242" spans="1:15">
      <c r="A1242" t="s">
        <v>7674</v>
      </c>
      <c r="B1242" t="s">
        <v>7674</v>
      </c>
      <c r="C1242" t="s">
        <v>5372</v>
      </c>
      <c r="F1242">
        <v>1</v>
      </c>
      <c r="G1242" s="1" t="s">
        <v>1358</v>
      </c>
      <c r="I1242" s="1" t="s">
        <v>11473</v>
      </c>
      <c r="O1242" t="s">
        <v>22</v>
      </c>
    </row>
    <row r="1243" spans="1:15">
      <c r="A1243" t="s">
        <v>6845</v>
      </c>
      <c r="B1243" t="s">
        <v>6845</v>
      </c>
      <c r="C1243" t="s">
        <v>4935</v>
      </c>
      <c r="F1243">
        <v>1</v>
      </c>
      <c r="G1243" s="1" t="s">
        <v>1359</v>
      </c>
      <c r="I1243" s="1" t="s">
        <v>11473</v>
      </c>
      <c r="O1243" t="s">
        <v>22</v>
      </c>
    </row>
    <row r="1244" spans="1:15">
      <c r="A1244" t="s">
        <v>8134</v>
      </c>
      <c r="B1244" t="s">
        <v>8134</v>
      </c>
      <c r="C1244" t="s">
        <v>4935</v>
      </c>
      <c r="F1244">
        <v>1</v>
      </c>
      <c r="G1244" s="1" t="s">
        <v>1360</v>
      </c>
      <c r="I1244" s="1" t="s">
        <v>11473</v>
      </c>
      <c r="O1244" t="s">
        <v>22</v>
      </c>
    </row>
    <row r="1245" spans="1:15">
      <c r="A1245" t="s">
        <v>5241</v>
      </c>
      <c r="B1245" t="s">
        <v>5241</v>
      </c>
      <c r="C1245" t="s">
        <v>4935</v>
      </c>
      <c r="F1245">
        <v>1</v>
      </c>
      <c r="G1245" s="1" t="s">
        <v>1361</v>
      </c>
      <c r="I1245" s="1" t="s">
        <v>11473</v>
      </c>
      <c r="O1245" t="s">
        <v>22</v>
      </c>
    </row>
    <row r="1246" spans="1:15">
      <c r="A1246" t="s">
        <v>11073</v>
      </c>
      <c r="B1246" t="s">
        <v>11073</v>
      </c>
      <c r="C1246" t="s">
        <v>11074</v>
      </c>
      <c r="F1246">
        <v>1</v>
      </c>
      <c r="G1246" s="1" t="s">
        <v>1362</v>
      </c>
      <c r="I1246" s="1" t="s">
        <v>11473</v>
      </c>
      <c r="O1246" t="s">
        <v>22</v>
      </c>
    </row>
    <row r="1247" spans="1:15">
      <c r="A1247" t="s">
        <v>5917</v>
      </c>
      <c r="B1247" t="s">
        <v>5917</v>
      </c>
      <c r="C1247" t="s">
        <v>4690</v>
      </c>
      <c r="F1247">
        <v>1</v>
      </c>
      <c r="G1247" s="1" t="s">
        <v>1363</v>
      </c>
      <c r="I1247" s="1" t="s">
        <v>11473</v>
      </c>
      <c r="O1247" t="s">
        <v>22</v>
      </c>
    </row>
    <row r="1248" spans="1:15">
      <c r="A1248" t="s">
        <v>9703</v>
      </c>
      <c r="B1248" t="s">
        <v>9703</v>
      </c>
      <c r="C1248" t="s">
        <v>9704</v>
      </c>
      <c r="F1248">
        <v>1</v>
      </c>
      <c r="G1248" s="1" t="s">
        <v>1364</v>
      </c>
      <c r="I1248" s="1" t="s">
        <v>11473</v>
      </c>
      <c r="O1248" t="s">
        <v>22</v>
      </c>
    </row>
    <row r="1249" spans="1:15">
      <c r="A1249" t="s">
        <v>7651</v>
      </c>
      <c r="B1249" t="s">
        <v>7651</v>
      </c>
      <c r="C1249" t="s">
        <v>7652</v>
      </c>
      <c r="F1249">
        <v>1</v>
      </c>
      <c r="G1249" s="1" t="s">
        <v>1365</v>
      </c>
      <c r="I1249" s="1" t="s">
        <v>11473</v>
      </c>
      <c r="O1249" t="s">
        <v>22</v>
      </c>
    </row>
    <row r="1250" spans="1:15">
      <c r="A1250" t="s">
        <v>8961</v>
      </c>
      <c r="B1250" t="s">
        <v>8961</v>
      </c>
      <c r="C1250" t="s">
        <v>4344</v>
      </c>
      <c r="F1250">
        <v>1</v>
      </c>
      <c r="G1250" s="1" t="s">
        <v>1366</v>
      </c>
      <c r="I1250" s="1" t="s">
        <v>11473</v>
      </c>
      <c r="O1250" t="s">
        <v>22</v>
      </c>
    </row>
    <row r="1251" spans="1:15">
      <c r="A1251" t="s">
        <v>10483</v>
      </c>
      <c r="B1251" t="s">
        <v>10483</v>
      </c>
      <c r="C1251" t="s">
        <v>5169</v>
      </c>
      <c r="F1251">
        <v>1</v>
      </c>
      <c r="G1251" s="1" t="s">
        <v>1367</v>
      </c>
      <c r="I1251" s="1" t="s">
        <v>11473</v>
      </c>
      <c r="O1251" t="s">
        <v>22</v>
      </c>
    </row>
    <row r="1252" spans="1:15">
      <c r="A1252" t="s">
        <v>11091</v>
      </c>
      <c r="B1252" t="s">
        <v>11091</v>
      </c>
      <c r="C1252" t="s">
        <v>5169</v>
      </c>
      <c r="F1252">
        <v>1</v>
      </c>
      <c r="G1252" s="1" t="s">
        <v>1368</v>
      </c>
      <c r="I1252" s="1" t="s">
        <v>11473</v>
      </c>
      <c r="O1252" t="s">
        <v>22</v>
      </c>
    </row>
    <row r="1253" spans="1:15">
      <c r="A1253" t="s">
        <v>5826</v>
      </c>
      <c r="B1253" t="s">
        <v>5826</v>
      </c>
      <c r="C1253" t="s">
        <v>4281</v>
      </c>
      <c r="F1253">
        <v>1</v>
      </c>
      <c r="G1253" s="1" t="s">
        <v>1369</v>
      </c>
      <c r="I1253" s="1" t="s">
        <v>11473</v>
      </c>
      <c r="O1253" t="s">
        <v>22</v>
      </c>
    </row>
    <row r="1254" spans="1:15">
      <c r="A1254" t="s">
        <v>7639</v>
      </c>
      <c r="B1254" t="s">
        <v>7639</v>
      </c>
      <c r="C1254" t="s">
        <v>4281</v>
      </c>
      <c r="F1254">
        <v>1</v>
      </c>
      <c r="G1254" s="1" t="s">
        <v>1370</v>
      </c>
      <c r="I1254" s="1" t="s">
        <v>11473</v>
      </c>
      <c r="O1254" t="s">
        <v>22</v>
      </c>
    </row>
    <row r="1255" spans="1:15">
      <c r="A1255" t="s">
        <v>11089</v>
      </c>
      <c r="B1255" t="s">
        <v>11089</v>
      </c>
      <c r="C1255" t="s">
        <v>4281</v>
      </c>
      <c r="F1255">
        <v>1</v>
      </c>
      <c r="G1255" s="1" t="s">
        <v>1371</v>
      </c>
      <c r="I1255" s="1" t="s">
        <v>11473</v>
      </c>
      <c r="O1255" t="s">
        <v>22</v>
      </c>
    </row>
    <row r="1256" spans="1:15">
      <c r="A1256" t="s">
        <v>6532</v>
      </c>
      <c r="B1256" t="s">
        <v>6532</v>
      </c>
      <c r="C1256" t="s">
        <v>6533</v>
      </c>
      <c r="F1256">
        <v>1</v>
      </c>
      <c r="G1256" s="1" t="s">
        <v>1372</v>
      </c>
      <c r="I1256" s="1" t="s">
        <v>11473</v>
      </c>
      <c r="O1256" t="s">
        <v>22</v>
      </c>
    </row>
    <row r="1257" spans="1:15">
      <c r="A1257" t="s">
        <v>10558</v>
      </c>
      <c r="B1257" t="s">
        <v>10558</v>
      </c>
      <c r="C1257" t="s">
        <v>6533</v>
      </c>
      <c r="F1257">
        <v>1</v>
      </c>
      <c r="G1257" s="1" t="s">
        <v>1373</v>
      </c>
      <c r="I1257" s="1" t="s">
        <v>11473</v>
      </c>
      <c r="O1257" t="s">
        <v>22</v>
      </c>
    </row>
    <row r="1258" spans="1:15">
      <c r="A1258" t="s">
        <v>7675</v>
      </c>
      <c r="B1258" t="s">
        <v>7675</v>
      </c>
      <c r="C1258" t="s">
        <v>5103</v>
      </c>
      <c r="F1258">
        <v>1</v>
      </c>
      <c r="G1258" s="1" t="s">
        <v>1374</v>
      </c>
      <c r="I1258" s="1" t="s">
        <v>11473</v>
      </c>
      <c r="O1258" t="s">
        <v>22</v>
      </c>
    </row>
    <row r="1259" spans="1:15">
      <c r="A1259" t="s">
        <v>7444</v>
      </c>
      <c r="B1259" t="s">
        <v>7444</v>
      </c>
      <c r="C1259" t="s">
        <v>4890</v>
      </c>
      <c r="F1259">
        <v>1</v>
      </c>
      <c r="G1259" s="1" t="s">
        <v>1375</v>
      </c>
      <c r="I1259" s="1" t="s">
        <v>11473</v>
      </c>
      <c r="O1259" t="s">
        <v>22</v>
      </c>
    </row>
    <row r="1260" spans="1:15">
      <c r="A1260" t="s">
        <v>11381</v>
      </c>
      <c r="B1260" t="s">
        <v>11381</v>
      </c>
      <c r="C1260" t="s">
        <v>4890</v>
      </c>
      <c r="F1260">
        <v>1</v>
      </c>
      <c r="G1260" s="1" t="s">
        <v>1376</v>
      </c>
      <c r="I1260" s="1" t="s">
        <v>11473</v>
      </c>
      <c r="O1260" t="s">
        <v>22</v>
      </c>
    </row>
    <row r="1261" spans="1:15">
      <c r="A1261" t="s">
        <v>7429</v>
      </c>
      <c r="B1261" t="s">
        <v>7429</v>
      </c>
      <c r="C1261" t="s">
        <v>7430</v>
      </c>
      <c r="F1261">
        <v>1</v>
      </c>
      <c r="G1261" s="1" t="s">
        <v>1377</v>
      </c>
      <c r="I1261" s="1" t="s">
        <v>11473</v>
      </c>
      <c r="O1261" t="s">
        <v>22</v>
      </c>
    </row>
    <row r="1262" spans="1:15">
      <c r="A1262" t="s">
        <v>11100</v>
      </c>
      <c r="B1262" t="s">
        <v>11100</v>
      </c>
      <c r="C1262" t="s">
        <v>11101</v>
      </c>
      <c r="F1262">
        <v>1</v>
      </c>
      <c r="G1262" s="1" t="s">
        <v>1378</v>
      </c>
      <c r="I1262" s="1" t="s">
        <v>11473</v>
      </c>
      <c r="O1262" t="s">
        <v>22</v>
      </c>
    </row>
    <row r="1263" spans="1:15">
      <c r="A1263" t="s">
        <v>7601</v>
      </c>
      <c r="B1263" t="s">
        <v>7601</v>
      </c>
      <c r="C1263" t="s">
        <v>7602</v>
      </c>
      <c r="F1263">
        <v>1</v>
      </c>
      <c r="G1263" s="1" t="s">
        <v>1379</v>
      </c>
      <c r="I1263" s="1" t="s">
        <v>11473</v>
      </c>
      <c r="O1263" t="s">
        <v>22</v>
      </c>
    </row>
    <row r="1264" spans="1:15">
      <c r="A1264" t="s">
        <v>11086</v>
      </c>
      <c r="B1264" t="s">
        <v>11086</v>
      </c>
      <c r="C1264" t="s">
        <v>11087</v>
      </c>
      <c r="F1264">
        <v>1</v>
      </c>
      <c r="G1264" s="1" t="s">
        <v>1380</v>
      </c>
      <c r="I1264" s="1" t="s">
        <v>11473</v>
      </c>
      <c r="O1264" t="s">
        <v>22</v>
      </c>
    </row>
    <row r="1265" spans="1:15">
      <c r="A1265" t="s">
        <v>10351</v>
      </c>
      <c r="B1265" t="s">
        <v>10351</v>
      </c>
      <c r="C1265" t="s">
        <v>4254</v>
      </c>
      <c r="F1265">
        <v>1</v>
      </c>
      <c r="G1265" s="1" t="s">
        <v>1381</v>
      </c>
      <c r="I1265" s="1" t="s">
        <v>11473</v>
      </c>
      <c r="O1265" t="s">
        <v>22</v>
      </c>
    </row>
    <row r="1266" spans="1:15">
      <c r="A1266" t="s">
        <v>10606</v>
      </c>
      <c r="B1266" t="s">
        <v>10606</v>
      </c>
      <c r="C1266" t="s">
        <v>4254</v>
      </c>
      <c r="F1266">
        <v>1</v>
      </c>
      <c r="G1266" s="1" t="s">
        <v>1382</v>
      </c>
      <c r="I1266" s="1" t="s">
        <v>11473</v>
      </c>
      <c r="O1266" t="s">
        <v>22</v>
      </c>
    </row>
    <row r="1267" spans="1:15">
      <c r="A1267" t="s">
        <v>9125</v>
      </c>
      <c r="B1267" t="s">
        <v>9125</v>
      </c>
      <c r="C1267" t="s">
        <v>9126</v>
      </c>
      <c r="F1267">
        <v>1</v>
      </c>
      <c r="G1267" s="1" t="s">
        <v>1383</v>
      </c>
      <c r="I1267" s="1" t="s">
        <v>11473</v>
      </c>
      <c r="O1267" t="s">
        <v>22</v>
      </c>
    </row>
    <row r="1268" spans="1:15">
      <c r="A1268" t="s">
        <v>7434</v>
      </c>
      <c r="B1268" t="s">
        <v>7434</v>
      </c>
      <c r="C1268" t="s">
        <v>7435</v>
      </c>
      <c r="F1268">
        <v>1</v>
      </c>
      <c r="G1268" s="1" t="s">
        <v>1384</v>
      </c>
      <c r="I1268" s="1" t="s">
        <v>11473</v>
      </c>
      <c r="O1268" t="s">
        <v>22</v>
      </c>
    </row>
    <row r="1269" spans="1:15">
      <c r="A1269" t="s">
        <v>6869</v>
      </c>
      <c r="B1269" t="s">
        <v>6869</v>
      </c>
      <c r="C1269" t="s">
        <v>4371</v>
      </c>
      <c r="F1269">
        <v>1</v>
      </c>
      <c r="G1269" s="1" t="s">
        <v>1385</v>
      </c>
      <c r="I1269" s="1" t="s">
        <v>11473</v>
      </c>
      <c r="O1269" t="s">
        <v>22</v>
      </c>
    </row>
    <row r="1270" spans="1:15">
      <c r="A1270" t="s">
        <v>6411</v>
      </c>
      <c r="B1270" t="s">
        <v>6411</v>
      </c>
      <c r="C1270" t="s">
        <v>6412</v>
      </c>
      <c r="F1270">
        <v>1</v>
      </c>
      <c r="G1270" s="1" t="s">
        <v>1386</v>
      </c>
      <c r="I1270" s="1" t="s">
        <v>11473</v>
      </c>
      <c r="O1270" t="s">
        <v>22</v>
      </c>
    </row>
    <row r="1271" spans="1:15">
      <c r="A1271" t="s">
        <v>7837</v>
      </c>
      <c r="B1271" t="s">
        <v>7837</v>
      </c>
      <c r="C1271" t="s">
        <v>7838</v>
      </c>
      <c r="F1271">
        <v>1</v>
      </c>
      <c r="G1271" s="1" t="s">
        <v>1387</v>
      </c>
      <c r="I1271" s="1" t="s">
        <v>11473</v>
      </c>
      <c r="O1271" t="s">
        <v>22</v>
      </c>
    </row>
    <row r="1272" spans="1:15">
      <c r="A1272" t="s">
        <v>11028</v>
      </c>
      <c r="B1272" t="s">
        <v>11028</v>
      </c>
      <c r="C1272" t="s">
        <v>7838</v>
      </c>
      <c r="F1272">
        <v>1</v>
      </c>
      <c r="G1272" s="1" t="s">
        <v>1388</v>
      </c>
      <c r="I1272" s="1" t="s">
        <v>11473</v>
      </c>
      <c r="O1272" t="s">
        <v>22</v>
      </c>
    </row>
    <row r="1273" spans="1:15">
      <c r="A1273" t="s">
        <v>11374</v>
      </c>
      <c r="B1273" t="s">
        <v>11374</v>
      </c>
      <c r="C1273" t="s">
        <v>7838</v>
      </c>
      <c r="F1273">
        <v>1</v>
      </c>
      <c r="G1273" s="1" t="s">
        <v>1389</v>
      </c>
      <c r="I1273" s="1" t="s">
        <v>11473</v>
      </c>
      <c r="O1273" t="s">
        <v>22</v>
      </c>
    </row>
    <row r="1274" spans="1:15">
      <c r="A1274" t="s">
        <v>6779</v>
      </c>
      <c r="B1274" t="s">
        <v>6779</v>
      </c>
      <c r="C1274" t="s">
        <v>6780</v>
      </c>
      <c r="F1274">
        <v>1</v>
      </c>
      <c r="G1274" s="1" t="s">
        <v>1390</v>
      </c>
      <c r="I1274" s="1" t="s">
        <v>11473</v>
      </c>
      <c r="O1274" t="s">
        <v>22</v>
      </c>
    </row>
    <row r="1275" spans="1:15">
      <c r="A1275" t="s">
        <v>10329</v>
      </c>
      <c r="B1275" t="s">
        <v>10329</v>
      </c>
      <c r="C1275" t="s">
        <v>4730</v>
      </c>
      <c r="F1275">
        <v>1</v>
      </c>
      <c r="G1275" s="1" t="s">
        <v>1391</v>
      </c>
      <c r="I1275" s="1" t="s">
        <v>11473</v>
      </c>
      <c r="O1275" t="s">
        <v>22</v>
      </c>
    </row>
    <row r="1276" spans="1:15">
      <c r="A1276" t="s">
        <v>7670</v>
      </c>
      <c r="B1276" t="s">
        <v>7670</v>
      </c>
      <c r="C1276" t="s">
        <v>4819</v>
      </c>
      <c r="F1276">
        <v>1</v>
      </c>
      <c r="G1276" s="1" t="s">
        <v>1392</v>
      </c>
      <c r="I1276" s="1" t="s">
        <v>11473</v>
      </c>
      <c r="O1276" t="s">
        <v>22</v>
      </c>
    </row>
    <row r="1277" spans="1:15">
      <c r="A1277" t="s">
        <v>7612</v>
      </c>
      <c r="B1277" t="s">
        <v>7612</v>
      </c>
      <c r="C1277" t="s">
        <v>7613</v>
      </c>
      <c r="F1277">
        <v>1</v>
      </c>
      <c r="G1277" s="1" t="s">
        <v>1393</v>
      </c>
      <c r="I1277" s="1" t="s">
        <v>11473</v>
      </c>
      <c r="O1277" t="s">
        <v>22</v>
      </c>
    </row>
    <row r="1278" spans="1:15">
      <c r="A1278" t="s">
        <v>7647</v>
      </c>
      <c r="B1278" t="s">
        <v>7647</v>
      </c>
      <c r="C1278" t="s">
        <v>7613</v>
      </c>
      <c r="F1278">
        <v>1</v>
      </c>
      <c r="G1278" s="1" t="s">
        <v>1394</v>
      </c>
      <c r="I1278" s="1" t="s">
        <v>11473</v>
      </c>
      <c r="O1278" t="s">
        <v>22</v>
      </c>
    </row>
    <row r="1279" spans="1:15">
      <c r="A1279" t="s">
        <v>6304</v>
      </c>
      <c r="B1279" t="s">
        <v>6304</v>
      </c>
      <c r="C1279" t="s">
        <v>6305</v>
      </c>
      <c r="F1279">
        <v>1</v>
      </c>
      <c r="G1279" s="1" t="s">
        <v>1395</v>
      </c>
      <c r="I1279" s="1" t="s">
        <v>11473</v>
      </c>
      <c r="O1279" t="s">
        <v>22</v>
      </c>
    </row>
    <row r="1280" spans="1:15">
      <c r="A1280" t="s">
        <v>9351</v>
      </c>
      <c r="B1280" t="s">
        <v>9351</v>
      </c>
      <c r="C1280" t="s">
        <v>6305</v>
      </c>
      <c r="F1280">
        <v>1</v>
      </c>
      <c r="G1280" s="1" t="s">
        <v>1396</v>
      </c>
      <c r="I1280" s="1" t="s">
        <v>11473</v>
      </c>
      <c r="O1280" t="s">
        <v>22</v>
      </c>
    </row>
    <row r="1281" spans="1:15">
      <c r="A1281" t="s">
        <v>9319</v>
      </c>
      <c r="B1281" t="s">
        <v>9319</v>
      </c>
      <c r="C1281" t="s">
        <v>4373</v>
      </c>
      <c r="F1281">
        <v>1</v>
      </c>
      <c r="G1281" s="1" t="s">
        <v>1397</v>
      </c>
      <c r="I1281" s="1" t="s">
        <v>11473</v>
      </c>
      <c r="O1281" t="s">
        <v>22</v>
      </c>
    </row>
    <row r="1282" spans="1:15">
      <c r="A1282" t="s">
        <v>6319</v>
      </c>
      <c r="B1282" t="s">
        <v>6319</v>
      </c>
      <c r="C1282" t="s">
        <v>4434</v>
      </c>
      <c r="F1282">
        <v>1</v>
      </c>
      <c r="G1282" s="1" t="s">
        <v>1398</v>
      </c>
      <c r="I1282" s="1" t="s">
        <v>11473</v>
      </c>
      <c r="O1282" t="s">
        <v>22</v>
      </c>
    </row>
    <row r="1283" spans="1:15">
      <c r="A1283" t="s">
        <v>11017</v>
      </c>
      <c r="B1283" t="s">
        <v>11017</v>
      </c>
      <c r="C1283" t="s">
        <v>4434</v>
      </c>
      <c r="F1283">
        <v>1</v>
      </c>
      <c r="G1283" s="1" t="s">
        <v>1399</v>
      </c>
      <c r="I1283" s="1" t="s">
        <v>11473</v>
      </c>
      <c r="O1283" t="s">
        <v>22</v>
      </c>
    </row>
    <row r="1284" spans="1:15">
      <c r="A1284" t="s">
        <v>9032</v>
      </c>
      <c r="B1284" t="s">
        <v>9032</v>
      </c>
      <c r="C1284" t="s">
        <v>4652</v>
      </c>
      <c r="F1284">
        <v>1</v>
      </c>
      <c r="G1284" s="1" t="s">
        <v>1400</v>
      </c>
      <c r="I1284" s="1" t="s">
        <v>11473</v>
      </c>
      <c r="O1284" t="s">
        <v>22</v>
      </c>
    </row>
    <row r="1285" spans="1:15">
      <c r="A1285" t="s">
        <v>8086</v>
      </c>
      <c r="B1285" t="s">
        <v>8086</v>
      </c>
      <c r="C1285" t="s">
        <v>4966</v>
      </c>
      <c r="F1285">
        <v>1</v>
      </c>
      <c r="G1285" s="1" t="s">
        <v>1401</v>
      </c>
      <c r="I1285" s="1" t="s">
        <v>11473</v>
      </c>
      <c r="O1285" t="s">
        <v>22</v>
      </c>
    </row>
    <row r="1286" spans="1:15">
      <c r="A1286" t="s">
        <v>6852</v>
      </c>
      <c r="B1286" t="s">
        <v>6852</v>
      </c>
      <c r="C1286" t="s">
        <v>4221</v>
      </c>
      <c r="F1286">
        <v>1</v>
      </c>
      <c r="G1286" s="1" t="s">
        <v>1402</v>
      </c>
      <c r="I1286" s="1" t="s">
        <v>11473</v>
      </c>
      <c r="O1286" t="s">
        <v>22</v>
      </c>
    </row>
    <row r="1287" spans="1:15">
      <c r="A1287" t="s">
        <v>7633</v>
      </c>
      <c r="B1287" t="s">
        <v>7633</v>
      </c>
      <c r="C1287" t="s">
        <v>4221</v>
      </c>
      <c r="F1287">
        <v>1</v>
      </c>
      <c r="G1287" s="1" t="s">
        <v>1403</v>
      </c>
      <c r="I1287" s="1" t="s">
        <v>11473</v>
      </c>
      <c r="O1287" t="s">
        <v>22</v>
      </c>
    </row>
    <row r="1288" spans="1:15">
      <c r="A1288" t="s">
        <v>7644</v>
      </c>
      <c r="B1288" t="s">
        <v>7644</v>
      </c>
      <c r="C1288" t="s">
        <v>4221</v>
      </c>
      <c r="F1288">
        <v>1</v>
      </c>
      <c r="G1288" s="1" t="s">
        <v>1404</v>
      </c>
      <c r="I1288" s="1" t="s">
        <v>11473</v>
      </c>
      <c r="O1288" t="s">
        <v>22</v>
      </c>
    </row>
    <row r="1289" spans="1:15">
      <c r="A1289" t="s">
        <v>9705</v>
      </c>
      <c r="B1289" t="s">
        <v>9705</v>
      </c>
      <c r="C1289" t="s">
        <v>4221</v>
      </c>
      <c r="F1289">
        <v>1</v>
      </c>
      <c r="G1289" s="1" t="s">
        <v>1405</v>
      </c>
      <c r="I1289" s="1" t="s">
        <v>11473</v>
      </c>
      <c r="O1289" t="s">
        <v>22</v>
      </c>
    </row>
    <row r="1290" spans="1:15">
      <c r="A1290" t="s">
        <v>10852</v>
      </c>
      <c r="B1290" t="s">
        <v>10852</v>
      </c>
      <c r="C1290" t="s">
        <v>4733</v>
      </c>
      <c r="F1290">
        <v>1</v>
      </c>
      <c r="G1290" s="1" t="s">
        <v>1406</v>
      </c>
      <c r="I1290" s="1" t="s">
        <v>11473</v>
      </c>
      <c r="O1290" t="s">
        <v>22</v>
      </c>
    </row>
    <row r="1291" spans="1:15">
      <c r="A1291" t="s">
        <v>7437</v>
      </c>
      <c r="B1291" t="s">
        <v>7437</v>
      </c>
      <c r="C1291" t="s">
        <v>7438</v>
      </c>
      <c r="F1291">
        <v>1</v>
      </c>
      <c r="G1291" s="1" t="s">
        <v>1407</v>
      </c>
      <c r="I1291" s="1" t="s">
        <v>11473</v>
      </c>
      <c r="O1291" t="s">
        <v>22</v>
      </c>
    </row>
    <row r="1292" spans="1:15">
      <c r="A1292" t="s">
        <v>7793</v>
      </c>
      <c r="B1292" t="s">
        <v>7793</v>
      </c>
      <c r="C1292" t="s">
        <v>7438</v>
      </c>
      <c r="F1292">
        <v>1</v>
      </c>
      <c r="G1292" s="1" t="s">
        <v>1408</v>
      </c>
      <c r="I1292" s="1" t="s">
        <v>11473</v>
      </c>
      <c r="O1292" t="s">
        <v>22</v>
      </c>
    </row>
    <row r="1293" spans="1:15">
      <c r="A1293" t="s">
        <v>8788</v>
      </c>
      <c r="B1293" t="s">
        <v>8788</v>
      </c>
      <c r="C1293" t="s">
        <v>4167</v>
      </c>
      <c r="F1293">
        <v>1</v>
      </c>
      <c r="G1293" s="1" t="s">
        <v>1409</v>
      </c>
      <c r="I1293" s="1" t="s">
        <v>11473</v>
      </c>
      <c r="O1293" t="s">
        <v>22</v>
      </c>
    </row>
    <row r="1294" spans="1:15">
      <c r="A1294" t="s">
        <v>6400</v>
      </c>
      <c r="B1294" t="s">
        <v>6400</v>
      </c>
      <c r="C1294" t="s">
        <v>4041</v>
      </c>
      <c r="F1294">
        <v>1</v>
      </c>
      <c r="G1294" s="1" t="s">
        <v>1410</v>
      </c>
      <c r="I1294" s="1" t="s">
        <v>11473</v>
      </c>
      <c r="O1294" t="s">
        <v>22</v>
      </c>
    </row>
    <row r="1295" spans="1:15">
      <c r="A1295" t="s">
        <v>10062</v>
      </c>
      <c r="B1295" t="s">
        <v>10062</v>
      </c>
      <c r="C1295" t="s">
        <v>4041</v>
      </c>
      <c r="F1295">
        <v>1</v>
      </c>
      <c r="G1295" s="1" t="s">
        <v>1411</v>
      </c>
      <c r="I1295" s="1" t="s">
        <v>11473</v>
      </c>
      <c r="O1295" t="s">
        <v>22</v>
      </c>
    </row>
    <row r="1296" spans="1:15">
      <c r="A1296" t="s">
        <v>7603</v>
      </c>
      <c r="B1296" t="s">
        <v>7603</v>
      </c>
      <c r="C1296" t="s">
        <v>7604</v>
      </c>
      <c r="F1296">
        <v>1</v>
      </c>
      <c r="G1296" s="1" t="s">
        <v>1412</v>
      </c>
      <c r="I1296" s="1" t="s">
        <v>11473</v>
      </c>
      <c r="O1296" t="s">
        <v>22</v>
      </c>
    </row>
    <row r="1297" spans="1:15">
      <c r="A1297" t="s">
        <v>7616</v>
      </c>
      <c r="B1297" t="s">
        <v>7616</v>
      </c>
      <c r="C1297" t="s">
        <v>7617</v>
      </c>
      <c r="F1297">
        <v>1</v>
      </c>
      <c r="G1297" s="1" t="s">
        <v>1413</v>
      </c>
      <c r="I1297" s="1" t="s">
        <v>11473</v>
      </c>
      <c r="O1297" t="s">
        <v>22</v>
      </c>
    </row>
    <row r="1298" spans="1:15">
      <c r="A1298" t="s">
        <v>10078</v>
      </c>
      <c r="B1298" t="s">
        <v>10078</v>
      </c>
      <c r="C1298" t="s">
        <v>7617</v>
      </c>
      <c r="F1298">
        <v>1</v>
      </c>
      <c r="G1298" s="1" t="s">
        <v>1414</v>
      </c>
      <c r="I1298" s="1" t="s">
        <v>11473</v>
      </c>
      <c r="O1298" t="s">
        <v>22</v>
      </c>
    </row>
    <row r="1299" spans="1:15">
      <c r="A1299" t="s">
        <v>7619</v>
      </c>
      <c r="B1299" t="s">
        <v>7619</v>
      </c>
      <c r="C1299" t="s">
        <v>7620</v>
      </c>
      <c r="F1299">
        <v>1</v>
      </c>
      <c r="G1299" s="1" t="s">
        <v>1415</v>
      </c>
      <c r="I1299" s="1" t="s">
        <v>11473</v>
      </c>
      <c r="O1299" t="s">
        <v>22</v>
      </c>
    </row>
    <row r="1300" spans="1:15">
      <c r="A1300" t="s">
        <v>9048</v>
      </c>
      <c r="B1300" t="s">
        <v>9048</v>
      </c>
      <c r="C1300" t="s">
        <v>5124</v>
      </c>
      <c r="F1300">
        <v>1</v>
      </c>
      <c r="G1300" s="1" t="s">
        <v>1416</v>
      </c>
      <c r="I1300" s="1" t="s">
        <v>11473</v>
      </c>
      <c r="O1300" t="s">
        <v>22</v>
      </c>
    </row>
    <row r="1301" spans="1:15">
      <c r="A1301" t="s">
        <v>9323</v>
      </c>
      <c r="B1301" t="s">
        <v>9323</v>
      </c>
      <c r="C1301" t="s">
        <v>5124</v>
      </c>
      <c r="F1301">
        <v>1</v>
      </c>
      <c r="G1301" s="1" t="s">
        <v>1417</v>
      </c>
      <c r="I1301" s="1" t="s">
        <v>11473</v>
      </c>
      <c r="O1301" t="s">
        <v>22</v>
      </c>
    </row>
    <row r="1302" spans="1:15">
      <c r="A1302" t="s">
        <v>9258</v>
      </c>
      <c r="B1302" t="s">
        <v>9258</v>
      </c>
      <c r="C1302" t="s">
        <v>4583</v>
      </c>
      <c r="F1302">
        <v>1</v>
      </c>
      <c r="G1302" s="1" t="s">
        <v>1418</v>
      </c>
      <c r="I1302" s="1" t="s">
        <v>11473</v>
      </c>
      <c r="O1302" t="s">
        <v>22</v>
      </c>
    </row>
    <row r="1303" spans="1:15">
      <c r="A1303" t="s">
        <v>10281</v>
      </c>
      <c r="B1303" t="s">
        <v>10281</v>
      </c>
      <c r="C1303" t="s">
        <v>4583</v>
      </c>
      <c r="F1303">
        <v>1</v>
      </c>
      <c r="G1303" s="1" t="s">
        <v>1419</v>
      </c>
      <c r="I1303" s="1" t="s">
        <v>11473</v>
      </c>
      <c r="O1303" t="s">
        <v>22</v>
      </c>
    </row>
    <row r="1304" spans="1:15">
      <c r="A1304" t="s">
        <v>11078</v>
      </c>
      <c r="B1304" t="s">
        <v>11078</v>
      </c>
      <c r="C1304" t="s">
        <v>4583</v>
      </c>
      <c r="F1304">
        <v>1</v>
      </c>
      <c r="G1304" s="1" t="s">
        <v>1420</v>
      </c>
      <c r="I1304" s="1" t="s">
        <v>11473</v>
      </c>
      <c r="O1304" t="s">
        <v>22</v>
      </c>
    </row>
    <row r="1305" spans="1:15">
      <c r="A1305" t="s">
        <v>8781</v>
      </c>
      <c r="B1305" t="s">
        <v>8781</v>
      </c>
      <c r="C1305" t="s">
        <v>8782</v>
      </c>
      <c r="F1305">
        <v>1</v>
      </c>
      <c r="G1305" s="1" t="s">
        <v>1421</v>
      </c>
      <c r="I1305" s="1" t="s">
        <v>11473</v>
      </c>
      <c r="O1305" t="s">
        <v>22</v>
      </c>
    </row>
    <row r="1306" spans="1:15">
      <c r="A1306" t="s">
        <v>6437</v>
      </c>
      <c r="B1306" t="s">
        <v>6437</v>
      </c>
      <c r="C1306" t="s">
        <v>4727</v>
      </c>
      <c r="F1306">
        <v>1</v>
      </c>
      <c r="G1306" s="1" t="s">
        <v>1422</v>
      </c>
      <c r="I1306" s="1" t="s">
        <v>11473</v>
      </c>
      <c r="O1306" t="s">
        <v>22</v>
      </c>
    </row>
    <row r="1307" spans="1:15">
      <c r="A1307" t="s">
        <v>6651</v>
      </c>
      <c r="B1307" t="s">
        <v>6651</v>
      </c>
      <c r="C1307" t="s">
        <v>4727</v>
      </c>
      <c r="F1307">
        <v>1</v>
      </c>
      <c r="G1307" s="1" t="s">
        <v>1423</v>
      </c>
      <c r="I1307" s="1" t="s">
        <v>11473</v>
      </c>
      <c r="O1307" t="s">
        <v>22</v>
      </c>
    </row>
    <row r="1308" spans="1:15">
      <c r="A1308" t="s">
        <v>10841</v>
      </c>
      <c r="B1308" t="s">
        <v>10841</v>
      </c>
      <c r="C1308" t="s">
        <v>4917</v>
      </c>
      <c r="F1308">
        <v>1</v>
      </c>
      <c r="G1308" s="1" t="s">
        <v>1424</v>
      </c>
      <c r="I1308" s="1" t="s">
        <v>11473</v>
      </c>
      <c r="O1308" t="s">
        <v>22</v>
      </c>
    </row>
    <row r="1309" spans="1:15">
      <c r="A1309" t="s">
        <v>5918</v>
      </c>
      <c r="B1309" t="s">
        <v>5918</v>
      </c>
      <c r="C1309" t="s">
        <v>5919</v>
      </c>
      <c r="F1309">
        <v>1</v>
      </c>
      <c r="G1309" s="1" t="s">
        <v>1425</v>
      </c>
      <c r="I1309" s="1" t="s">
        <v>11473</v>
      </c>
      <c r="O1309" t="s">
        <v>22</v>
      </c>
    </row>
    <row r="1310" spans="1:15">
      <c r="A1310" t="s">
        <v>10487</v>
      </c>
      <c r="B1310" t="s">
        <v>10487</v>
      </c>
      <c r="C1310" t="s">
        <v>4998</v>
      </c>
      <c r="F1310">
        <v>1</v>
      </c>
      <c r="G1310" s="1" t="s">
        <v>1426</v>
      </c>
      <c r="I1310" s="1" t="s">
        <v>11473</v>
      </c>
      <c r="O1310" t="s">
        <v>22</v>
      </c>
    </row>
    <row r="1311" spans="1:15">
      <c r="A1311" t="s">
        <v>7884</v>
      </c>
      <c r="B1311" t="s">
        <v>7884</v>
      </c>
      <c r="C1311" t="s">
        <v>4262</v>
      </c>
      <c r="F1311">
        <v>1</v>
      </c>
      <c r="G1311" s="1" t="s">
        <v>1427</v>
      </c>
      <c r="I1311" s="1" t="s">
        <v>11473</v>
      </c>
      <c r="O1311" t="s">
        <v>22</v>
      </c>
    </row>
    <row r="1312" spans="1:15">
      <c r="A1312" t="s">
        <v>10278</v>
      </c>
      <c r="B1312" t="s">
        <v>10278</v>
      </c>
      <c r="C1312" t="s">
        <v>4262</v>
      </c>
      <c r="F1312">
        <v>1</v>
      </c>
      <c r="G1312" s="1" t="s">
        <v>1428</v>
      </c>
      <c r="I1312" s="1" t="s">
        <v>11473</v>
      </c>
      <c r="O1312" t="s">
        <v>22</v>
      </c>
    </row>
    <row r="1313" spans="1:15">
      <c r="A1313" t="s">
        <v>7551</v>
      </c>
      <c r="B1313" t="s">
        <v>7551</v>
      </c>
      <c r="C1313" t="s">
        <v>4259</v>
      </c>
      <c r="F1313">
        <v>1</v>
      </c>
      <c r="G1313" s="1" t="s">
        <v>1429</v>
      </c>
      <c r="I1313" s="1" t="s">
        <v>11473</v>
      </c>
      <c r="O1313" t="s">
        <v>22</v>
      </c>
    </row>
    <row r="1314" spans="1:15">
      <c r="A1314" t="s">
        <v>9654</v>
      </c>
      <c r="B1314" t="s">
        <v>9654</v>
      </c>
      <c r="C1314" t="s">
        <v>9655</v>
      </c>
      <c r="F1314">
        <v>1</v>
      </c>
      <c r="G1314" s="1" t="s">
        <v>1430</v>
      </c>
      <c r="I1314" s="1" t="s">
        <v>11473</v>
      </c>
      <c r="O1314" t="s">
        <v>22</v>
      </c>
    </row>
    <row r="1315" spans="1:15">
      <c r="A1315" t="s">
        <v>7109</v>
      </c>
      <c r="B1315" t="s">
        <v>7109</v>
      </c>
      <c r="C1315" t="s">
        <v>7110</v>
      </c>
      <c r="F1315">
        <v>1</v>
      </c>
      <c r="G1315" s="1" t="s">
        <v>1431</v>
      </c>
      <c r="I1315" s="1" t="s">
        <v>11473</v>
      </c>
      <c r="O1315" t="s">
        <v>22</v>
      </c>
    </row>
    <row r="1316" spans="1:15">
      <c r="A1316" t="s">
        <v>6381</v>
      </c>
      <c r="B1316" t="s">
        <v>6381</v>
      </c>
      <c r="C1316" t="s">
        <v>4160</v>
      </c>
      <c r="F1316">
        <v>1</v>
      </c>
      <c r="G1316" s="1" t="s">
        <v>1432</v>
      </c>
      <c r="I1316" s="1" t="s">
        <v>11473</v>
      </c>
      <c r="O1316" t="s">
        <v>22</v>
      </c>
    </row>
    <row r="1317" spans="1:15">
      <c r="A1317" t="s">
        <v>10121</v>
      </c>
      <c r="B1317" t="s">
        <v>10121</v>
      </c>
      <c r="C1317" t="s">
        <v>4160</v>
      </c>
      <c r="F1317">
        <v>1</v>
      </c>
      <c r="G1317" s="1" t="s">
        <v>1433</v>
      </c>
      <c r="I1317" s="1" t="s">
        <v>11473</v>
      </c>
      <c r="O1317" t="s">
        <v>22</v>
      </c>
    </row>
    <row r="1318" spans="1:15">
      <c r="A1318" t="s">
        <v>6431</v>
      </c>
      <c r="B1318" t="s">
        <v>6431</v>
      </c>
      <c r="C1318" t="s">
        <v>6432</v>
      </c>
      <c r="F1318">
        <v>1</v>
      </c>
      <c r="G1318" s="1" t="s">
        <v>1434</v>
      </c>
      <c r="I1318" s="1" t="s">
        <v>11473</v>
      </c>
      <c r="O1318" t="s">
        <v>22</v>
      </c>
    </row>
    <row r="1319" spans="1:15">
      <c r="A1319" t="s">
        <v>10246</v>
      </c>
      <c r="B1319" t="s">
        <v>10246</v>
      </c>
      <c r="C1319" t="s">
        <v>5220</v>
      </c>
      <c r="F1319">
        <v>1</v>
      </c>
      <c r="G1319" s="1" t="s">
        <v>1435</v>
      </c>
      <c r="I1319" s="1" t="s">
        <v>11473</v>
      </c>
      <c r="O1319" t="s">
        <v>22</v>
      </c>
    </row>
    <row r="1320" spans="1:15">
      <c r="A1320" t="s">
        <v>6963</v>
      </c>
      <c r="B1320" t="s">
        <v>6963</v>
      </c>
      <c r="C1320" t="s">
        <v>4091</v>
      </c>
      <c r="F1320">
        <v>1</v>
      </c>
      <c r="G1320" s="1" t="s">
        <v>1436</v>
      </c>
      <c r="I1320" s="1" t="s">
        <v>11473</v>
      </c>
      <c r="O1320" t="s">
        <v>22</v>
      </c>
    </row>
    <row r="1321" spans="1:15">
      <c r="A1321" t="s">
        <v>7634</v>
      </c>
      <c r="B1321" t="s">
        <v>7634</v>
      </c>
      <c r="C1321" t="s">
        <v>4091</v>
      </c>
      <c r="F1321">
        <v>1</v>
      </c>
      <c r="G1321" s="1" t="s">
        <v>1437</v>
      </c>
      <c r="I1321" s="1" t="s">
        <v>11473</v>
      </c>
      <c r="O1321" t="s">
        <v>22</v>
      </c>
    </row>
    <row r="1322" spans="1:15">
      <c r="A1322" t="s">
        <v>11096</v>
      </c>
      <c r="B1322" t="s">
        <v>11096</v>
      </c>
      <c r="C1322" t="s">
        <v>4091</v>
      </c>
      <c r="F1322">
        <v>1</v>
      </c>
      <c r="G1322" s="1" t="s">
        <v>1438</v>
      </c>
      <c r="I1322" s="1" t="s">
        <v>11473</v>
      </c>
      <c r="O1322" t="s">
        <v>22</v>
      </c>
    </row>
    <row r="1323" spans="1:15">
      <c r="A1323" t="s">
        <v>11084</v>
      </c>
      <c r="B1323" t="s">
        <v>11084</v>
      </c>
      <c r="C1323" t="s">
        <v>4369</v>
      </c>
      <c r="F1323">
        <v>1</v>
      </c>
      <c r="G1323" s="1" t="s">
        <v>1439</v>
      </c>
      <c r="I1323" s="1" t="s">
        <v>11473</v>
      </c>
      <c r="O1323" t="s">
        <v>22</v>
      </c>
    </row>
    <row r="1324" spans="1:15">
      <c r="A1324" t="s">
        <v>6011</v>
      </c>
      <c r="B1324" t="s">
        <v>6011</v>
      </c>
      <c r="C1324" t="s">
        <v>4510</v>
      </c>
      <c r="F1324">
        <v>1</v>
      </c>
      <c r="G1324" s="1" t="s">
        <v>1440</v>
      </c>
      <c r="I1324" s="1" t="s">
        <v>11473</v>
      </c>
      <c r="O1324" t="s">
        <v>22</v>
      </c>
    </row>
    <row r="1325" spans="1:15">
      <c r="A1325" t="s">
        <v>9388</v>
      </c>
      <c r="B1325" t="s">
        <v>9388</v>
      </c>
      <c r="C1325" t="s">
        <v>4510</v>
      </c>
      <c r="F1325">
        <v>1</v>
      </c>
      <c r="G1325" s="1" t="s">
        <v>1441</v>
      </c>
      <c r="I1325" s="1" t="s">
        <v>11473</v>
      </c>
      <c r="O1325" t="s">
        <v>22</v>
      </c>
    </row>
    <row r="1326" spans="1:15">
      <c r="A1326" t="s">
        <v>10823</v>
      </c>
      <c r="B1326" t="s">
        <v>10823</v>
      </c>
      <c r="C1326" t="s">
        <v>10824</v>
      </c>
      <c r="F1326">
        <v>1</v>
      </c>
      <c r="G1326" s="1" t="s">
        <v>1442</v>
      </c>
      <c r="I1326" s="1" t="s">
        <v>11473</v>
      </c>
      <c r="O1326" t="s">
        <v>22</v>
      </c>
    </row>
    <row r="1327" spans="1:15">
      <c r="A1327" t="s">
        <v>5920</v>
      </c>
      <c r="B1327" t="s">
        <v>5920</v>
      </c>
      <c r="C1327" t="s">
        <v>4057</v>
      </c>
      <c r="F1327">
        <v>1</v>
      </c>
      <c r="G1327" s="1" t="s">
        <v>1443</v>
      </c>
      <c r="I1327" s="1" t="s">
        <v>11473</v>
      </c>
      <c r="O1327" t="s">
        <v>22</v>
      </c>
    </row>
    <row r="1328" spans="1:15">
      <c r="A1328" t="s">
        <v>8461</v>
      </c>
      <c r="B1328" t="s">
        <v>8461</v>
      </c>
      <c r="C1328" t="s">
        <v>4057</v>
      </c>
      <c r="F1328">
        <v>1</v>
      </c>
      <c r="G1328" s="1" t="s">
        <v>1444</v>
      </c>
      <c r="I1328" s="1" t="s">
        <v>11473</v>
      </c>
      <c r="O1328" t="s">
        <v>22</v>
      </c>
    </row>
    <row r="1329" spans="1:15">
      <c r="A1329" t="s">
        <v>10270</v>
      </c>
      <c r="B1329" t="s">
        <v>10270</v>
      </c>
      <c r="C1329" t="s">
        <v>4057</v>
      </c>
      <c r="F1329">
        <v>1</v>
      </c>
      <c r="G1329" s="1" t="s">
        <v>1445</v>
      </c>
      <c r="I1329" s="1" t="s">
        <v>11473</v>
      </c>
      <c r="O1329" t="s">
        <v>22</v>
      </c>
    </row>
    <row r="1330" spans="1:15">
      <c r="A1330" t="s">
        <v>7664</v>
      </c>
      <c r="B1330" t="s">
        <v>7664</v>
      </c>
      <c r="C1330" t="s">
        <v>4382</v>
      </c>
      <c r="F1330">
        <v>1</v>
      </c>
      <c r="G1330" s="1" t="s">
        <v>1446</v>
      </c>
      <c r="I1330" s="1" t="s">
        <v>11473</v>
      </c>
      <c r="O1330" t="s">
        <v>22</v>
      </c>
    </row>
    <row r="1331" spans="1:15">
      <c r="A1331" t="s">
        <v>8335</v>
      </c>
      <c r="B1331" t="s">
        <v>8335</v>
      </c>
      <c r="C1331" t="s">
        <v>4382</v>
      </c>
      <c r="F1331">
        <v>1</v>
      </c>
      <c r="G1331" s="1" t="s">
        <v>1447</v>
      </c>
      <c r="I1331" s="1" t="s">
        <v>11473</v>
      </c>
      <c r="O1331" t="s">
        <v>22</v>
      </c>
    </row>
    <row r="1332" spans="1:15">
      <c r="A1332" t="s">
        <v>9313</v>
      </c>
      <c r="B1332" t="s">
        <v>9313</v>
      </c>
      <c r="C1332" t="s">
        <v>5145</v>
      </c>
      <c r="F1332">
        <v>1</v>
      </c>
      <c r="G1332" s="1" t="s">
        <v>1448</v>
      </c>
      <c r="I1332" s="1" t="s">
        <v>11473</v>
      </c>
      <c r="O1332" t="s">
        <v>22</v>
      </c>
    </row>
    <row r="1333" spans="1:15">
      <c r="A1333" t="s">
        <v>9605</v>
      </c>
      <c r="B1333" t="s">
        <v>9605</v>
      </c>
      <c r="C1333" t="s">
        <v>5145</v>
      </c>
      <c r="F1333">
        <v>1</v>
      </c>
      <c r="G1333" s="1" t="s">
        <v>1449</v>
      </c>
      <c r="I1333" s="1" t="s">
        <v>11473</v>
      </c>
      <c r="O1333" t="s">
        <v>22</v>
      </c>
    </row>
    <row r="1334" spans="1:15">
      <c r="A1334" t="s">
        <v>5440</v>
      </c>
      <c r="B1334" t="s">
        <v>5440</v>
      </c>
      <c r="C1334" t="s">
        <v>4365</v>
      </c>
      <c r="F1334">
        <v>1</v>
      </c>
      <c r="G1334" s="1" t="s">
        <v>1450</v>
      </c>
      <c r="I1334" s="1" t="s">
        <v>11473</v>
      </c>
      <c r="O1334" t="s">
        <v>22</v>
      </c>
    </row>
    <row r="1335" spans="1:15">
      <c r="A1335" t="s">
        <v>6310</v>
      </c>
      <c r="B1335" t="s">
        <v>6310</v>
      </c>
      <c r="C1335" t="s">
        <v>4365</v>
      </c>
      <c r="F1335">
        <v>1</v>
      </c>
      <c r="G1335" s="1" t="s">
        <v>1451</v>
      </c>
      <c r="I1335" s="1" t="s">
        <v>11473</v>
      </c>
      <c r="O1335" t="s">
        <v>22</v>
      </c>
    </row>
    <row r="1336" spans="1:15">
      <c r="A1336" t="s">
        <v>6407</v>
      </c>
      <c r="B1336" t="s">
        <v>6407</v>
      </c>
      <c r="C1336" t="s">
        <v>4365</v>
      </c>
      <c r="F1336">
        <v>1</v>
      </c>
      <c r="G1336" s="1" t="s">
        <v>1452</v>
      </c>
      <c r="I1336" s="1" t="s">
        <v>11473</v>
      </c>
      <c r="O1336" t="s">
        <v>22</v>
      </c>
    </row>
    <row r="1337" spans="1:15">
      <c r="A1337" t="s">
        <v>6442</v>
      </c>
      <c r="B1337" t="s">
        <v>6442</v>
      </c>
      <c r="C1337" t="s">
        <v>4040</v>
      </c>
      <c r="F1337">
        <v>1</v>
      </c>
      <c r="G1337" s="1" t="s">
        <v>1453</v>
      </c>
      <c r="I1337" s="1" t="s">
        <v>11473</v>
      </c>
      <c r="O1337" t="s">
        <v>22</v>
      </c>
    </row>
    <row r="1338" spans="1:15">
      <c r="A1338" t="s">
        <v>5710</v>
      </c>
      <c r="B1338" t="s">
        <v>5710</v>
      </c>
      <c r="C1338" t="s">
        <v>4375</v>
      </c>
      <c r="F1338">
        <v>1</v>
      </c>
      <c r="G1338" s="1" t="s">
        <v>1454</v>
      </c>
      <c r="I1338" s="1" t="s">
        <v>11473</v>
      </c>
      <c r="O1338" t="s">
        <v>22</v>
      </c>
    </row>
    <row r="1339" spans="1:15">
      <c r="A1339" t="s">
        <v>8122</v>
      </c>
      <c r="B1339" t="s">
        <v>8122</v>
      </c>
      <c r="C1339" t="s">
        <v>4375</v>
      </c>
      <c r="F1339">
        <v>1</v>
      </c>
      <c r="G1339" s="1" t="s">
        <v>1455</v>
      </c>
      <c r="I1339" s="1" t="s">
        <v>11473</v>
      </c>
      <c r="O1339" t="s">
        <v>22</v>
      </c>
    </row>
    <row r="1340" spans="1:15">
      <c r="A1340" t="s">
        <v>10189</v>
      </c>
      <c r="B1340" t="s">
        <v>10189</v>
      </c>
      <c r="C1340" t="s">
        <v>4264</v>
      </c>
      <c r="F1340">
        <v>1</v>
      </c>
      <c r="G1340" s="1" t="s">
        <v>1456</v>
      </c>
      <c r="I1340" s="1" t="s">
        <v>11473</v>
      </c>
      <c r="O1340" t="s">
        <v>22</v>
      </c>
    </row>
    <row r="1341" spans="1:15">
      <c r="A1341" t="s">
        <v>10779</v>
      </c>
      <c r="B1341" t="s">
        <v>10779</v>
      </c>
      <c r="C1341" t="s">
        <v>4264</v>
      </c>
      <c r="F1341">
        <v>1</v>
      </c>
      <c r="G1341" s="1" t="s">
        <v>1457</v>
      </c>
      <c r="I1341" s="1" t="s">
        <v>11473</v>
      </c>
      <c r="O1341" t="s">
        <v>22</v>
      </c>
    </row>
    <row r="1342" spans="1:15">
      <c r="A1342" t="s">
        <v>6983</v>
      </c>
      <c r="B1342" t="s">
        <v>6983</v>
      </c>
      <c r="C1342" t="s">
        <v>4494</v>
      </c>
      <c r="F1342">
        <v>1</v>
      </c>
      <c r="G1342" s="1" t="s">
        <v>1458</v>
      </c>
      <c r="I1342" s="1" t="s">
        <v>11473</v>
      </c>
      <c r="O1342" t="s">
        <v>22</v>
      </c>
    </row>
    <row r="1343" spans="1:15">
      <c r="A1343" t="s">
        <v>7133</v>
      </c>
      <c r="B1343" t="s">
        <v>7133</v>
      </c>
      <c r="C1343" t="s">
        <v>4494</v>
      </c>
      <c r="F1343">
        <v>1</v>
      </c>
      <c r="G1343" s="1" t="s">
        <v>1459</v>
      </c>
      <c r="I1343" s="1" t="s">
        <v>11473</v>
      </c>
      <c r="O1343" t="s">
        <v>22</v>
      </c>
    </row>
    <row r="1344" spans="1:15">
      <c r="A1344" t="s">
        <v>7665</v>
      </c>
      <c r="B1344" t="s">
        <v>7665</v>
      </c>
      <c r="C1344" t="s">
        <v>4494</v>
      </c>
      <c r="F1344">
        <v>1</v>
      </c>
      <c r="G1344" s="1" t="s">
        <v>1460</v>
      </c>
      <c r="I1344" s="1" t="s">
        <v>11473</v>
      </c>
      <c r="O1344" t="s">
        <v>22</v>
      </c>
    </row>
    <row r="1345" spans="1:15">
      <c r="A1345" t="s">
        <v>7861</v>
      </c>
      <c r="B1345" t="s">
        <v>7861</v>
      </c>
      <c r="C1345" t="s">
        <v>4494</v>
      </c>
      <c r="F1345">
        <v>1</v>
      </c>
      <c r="G1345" s="1" t="s">
        <v>1461</v>
      </c>
      <c r="I1345" s="1" t="s">
        <v>11473</v>
      </c>
      <c r="O1345" t="s">
        <v>22</v>
      </c>
    </row>
    <row r="1346" spans="1:15">
      <c r="A1346" t="s">
        <v>8680</v>
      </c>
      <c r="B1346" t="s">
        <v>8680</v>
      </c>
      <c r="C1346" t="s">
        <v>4494</v>
      </c>
      <c r="F1346">
        <v>1</v>
      </c>
      <c r="G1346" s="1" t="s">
        <v>1462</v>
      </c>
      <c r="I1346" s="1" t="s">
        <v>11473</v>
      </c>
      <c r="O1346" t="s">
        <v>22</v>
      </c>
    </row>
    <row r="1347" spans="1:15">
      <c r="A1347" t="s">
        <v>10262</v>
      </c>
      <c r="B1347" t="s">
        <v>10262</v>
      </c>
      <c r="C1347" t="s">
        <v>4494</v>
      </c>
      <c r="F1347">
        <v>1</v>
      </c>
      <c r="G1347" s="1" t="s">
        <v>1463</v>
      </c>
      <c r="I1347" s="1" t="s">
        <v>11473</v>
      </c>
      <c r="O1347" t="s">
        <v>22</v>
      </c>
    </row>
    <row r="1348" spans="1:15">
      <c r="A1348" t="s">
        <v>10880</v>
      </c>
      <c r="B1348" t="s">
        <v>10880</v>
      </c>
      <c r="C1348" t="s">
        <v>4494</v>
      </c>
      <c r="F1348">
        <v>1</v>
      </c>
      <c r="G1348" s="1" t="s">
        <v>1464</v>
      </c>
      <c r="I1348" s="1" t="s">
        <v>11473</v>
      </c>
      <c r="O1348" t="s">
        <v>22</v>
      </c>
    </row>
    <row r="1349" spans="1:15">
      <c r="A1349" t="s">
        <v>11163</v>
      </c>
      <c r="B1349" t="s">
        <v>11163</v>
      </c>
      <c r="C1349" t="s">
        <v>4494</v>
      </c>
      <c r="F1349">
        <v>1</v>
      </c>
      <c r="G1349" s="1" t="s">
        <v>1465</v>
      </c>
      <c r="I1349" s="1" t="s">
        <v>11473</v>
      </c>
      <c r="O1349" t="s">
        <v>22</v>
      </c>
    </row>
    <row r="1350" spans="1:15">
      <c r="A1350" t="s">
        <v>10322</v>
      </c>
      <c r="B1350" t="s">
        <v>10322</v>
      </c>
      <c r="C1350" t="s">
        <v>10323</v>
      </c>
      <c r="F1350">
        <v>1</v>
      </c>
      <c r="G1350" s="1" t="s">
        <v>1466</v>
      </c>
      <c r="I1350" s="1" t="s">
        <v>11473</v>
      </c>
      <c r="O1350" t="s">
        <v>22</v>
      </c>
    </row>
    <row r="1351" spans="1:15">
      <c r="A1351" t="s">
        <v>9217</v>
      </c>
      <c r="B1351" t="s">
        <v>9217</v>
      </c>
      <c r="C1351" t="s">
        <v>4368</v>
      </c>
      <c r="F1351">
        <v>1</v>
      </c>
      <c r="G1351" s="1" t="s">
        <v>1467</v>
      </c>
      <c r="I1351" s="1" t="s">
        <v>11473</v>
      </c>
      <c r="O1351" t="s">
        <v>22</v>
      </c>
    </row>
    <row r="1352" spans="1:15">
      <c r="A1352" t="s">
        <v>6632</v>
      </c>
      <c r="B1352" t="s">
        <v>6632</v>
      </c>
      <c r="C1352" t="s">
        <v>6633</v>
      </c>
      <c r="F1352">
        <v>1</v>
      </c>
      <c r="G1352" s="1" t="s">
        <v>1468</v>
      </c>
      <c r="I1352" s="1" t="s">
        <v>11473</v>
      </c>
      <c r="O1352" t="s">
        <v>22</v>
      </c>
    </row>
    <row r="1353" spans="1:15">
      <c r="A1353" t="s">
        <v>10214</v>
      </c>
      <c r="B1353" t="s">
        <v>10214</v>
      </c>
      <c r="C1353" t="s">
        <v>4266</v>
      </c>
      <c r="F1353">
        <v>1</v>
      </c>
      <c r="G1353" s="1" t="s">
        <v>1469</v>
      </c>
      <c r="I1353" s="1" t="s">
        <v>11473</v>
      </c>
      <c r="O1353" t="s">
        <v>22</v>
      </c>
    </row>
    <row r="1354" spans="1:15">
      <c r="A1354" t="s">
        <v>6433</v>
      </c>
      <c r="B1354" t="s">
        <v>6433</v>
      </c>
      <c r="C1354" t="s">
        <v>6434</v>
      </c>
      <c r="F1354">
        <v>1</v>
      </c>
      <c r="G1354" s="1" t="s">
        <v>1470</v>
      </c>
      <c r="I1354" s="1" t="s">
        <v>11473</v>
      </c>
      <c r="O1354" t="s">
        <v>22</v>
      </c>
    </row>
    <row r="1355" spans="1:15">
      <c r="A1355" t="s">
        <v>11107</v>
      </c>
      <c r="B1355" t="s">
        <v>11107</v>
      </c>
      <c r="C1355" t="s">
        <v>6434</v>
      </c>
      <c r="F1355">
        <v>1</v>
      </c>
      <c r="G1355" s="1" t="s">
        <v>1471</v>
      </c>
      <c r="I1355" s="1" t="s">
        <v>11473</v>
      </c>
      <c r="O1355" t="s">
        <v>22</v>
      </c>
    </row>
    <row r="1356" spans="1:15">
      <c r="A1356" t="s">
        <v>8244</v>
      </c>
      <c r="B1356" t="s">
        <v>8244</v>
      </c>
      <c r="C1356" t="s">
        <v>8245</v>
      </c>
      <c r="F1356">
        <v>1</v>
      </c>
      <c r="G1356" s="1" t="s">
        <v>1472</v>
      </c>
      <c r="I1356" s="1" t="s">
        <v>11473</v>
      </c>
      <c r="O1356" t="s">
        <v>22</v>
      </c>
    </row>
    <row r="1357" spans="1:15">
      <c r="A1357" t="s">
        <v>8361</v>
      </c>
      <c r="B1357" t="s">
        <v>8361</v>
      </c>
      <c r="C1357" t="s">
        <v>8245</v>
      </c>
      <c r="F1357">
        <v>1</v>
      </c>
      <c r="G1357" s="1" t="s">
        <v>1473</v>
      </c>
      <c r="I1357" s="1" t="s">
        <v>11473</v>
      </c>
      <c r="O1357" t="s">
        <v>22</v>
      </c>
    </row>
    <row r="1358" spans="1:15">
      <c r="A1358" t="s">
        <v>7326</v>
      </c>
      <c r="B1358" t="s">
        <v>7326</v>
      </c>
      <c r="C1358" t="s">
        <v>7327</v>
      </c>
      <c r="F1358">
        <v>1</v>
      </c>
      <c r="G1358" s="1" t="s">
        <v>1474</v>
      </c>
      <c r="I1358" s="1" t="s">
        <v>11473</v>
      </c>
      <c r="O1358" t="s">
        <v>22</v>
      </c>
    </row>
    <row r="1359" spans="1:15">
      <c r="A1359" t="s">
        <v>6320</v>
      </c>
      <c r="B1359" t="s">
        <v>6320</v>
      </c>
      <c r="C1359" t="s">
        <v>6321</v>
      </c>
      <c r="F1359">
        <v>1</v>
      </c>
      <c r="G1359" s="1" t="s">
        <v>1475</v>
      </c>
      <c r="I1359" s="1" t="s">
        <v>11473</v>
      </c>
      <c r="O1359" t="s">
        <v>22</v>
      </c>
    </row>
    <row r="1360" spans="1:15">
      <c r="A1360" t="s">
        <v>9608</v>
      </c>
      <c r="B1360" t="s">
        <v>9608</v>
      </c>
      <c r="C1360" t="s">
        <v>4451</v>
      </c>
      <c r="F1360">
        <v>1</v>
      </c>
      <c r="G1360" s="1" t="s">
        <v>1476</v>
      </c>
      <c r="I1360" s="1" t="s">
        <v>11473</v>
      </c>
      <c r="O1360" t="s">
        <v>22</v>
      </c>
    </row>
    <row r="1361" spans="1:15">
      <c r="A1361" t="s">
        <v>5821</v>
      </c>
      <c r="B1361" t="s">
        <v>5821</v>
      </c>
      <c r="C1361" t="s">
        <v>5822</v>
      </c>
      <c r="F1361">
        <v>1</v>
      </c>
      <c r="G1361" s="1" t="s">
        <v>1477</v>
      </c>
      <c r="I1361" s="1" t="s">
        <v>11473</v>
      </c>
      <c r="O1361" t="s">
        <v>22</v>
      </c>
    </row>
    <row r="1362" spans="1:15">
      <c r="A1362" t="s">
        <v>6435</v>
      </c>
      <c r="B1362" t="s">
        <v>6435</v>
      </c>
      <c r="C1362" t="s">
        <v>5822</v>
      </c>
      <c r="F1362">
        <v>1</v>
      </c>
      <c r="G1362" s="1" t="s">
        <v>1478</v>
      </c>
      <c r="I1362" s="1" t="s">
        <v>11473</v>
      </c>
      <c r="O1362" t="s">
        <v>22</v>
      </c>
    </row>
    <row r="1363" spans="1:15">
      <c r="A1363" t="s">
        <v>8034</v>
      </c>
      <c r="B1363" t="s">
        <v>8034</v>
      </c>
      <c r="C1363" t="s">
        <v>8035</v>
      </c>
      <c r="F1363">
        <v>1</v>
      </c>
      <c r="G1363" s="1" t="s">
        <v>1479</v>
      </c>
      <c r="I1363" s="1" t="s">
        <v>11473</v>
      </c>
      <c r="O1363" t="s">
        <v>22</v>
      </c>
    </row>
    <row r="1364" spans="1:15">
      <c r="A1364" t="s">
        <v>8025</v>
      </c>
      <c r="B1364" t="s">
        <v>8025</v>
      </c>
      <c r="C1364" t="s">
        <v>8026</v>
      </c>
      <c r="F1364">
        <v>1</v>
      </c>
      <c r="G1364" s="1" t="s">
        <v>1480</v>
      </c>
      <c r="I1364" s="1" t="s">
        <v>11473</v>
      </c>
      <c r="O1364" t="s">
        <v>22</v>
      </c>
    </row>
    <row r="1365" spans="1:15">
      <c r="A1365" t="s">
        <v>11044</v>
      </c>
      <c r="B1365" t="s">
        <v>11044</v>
      </c>
      <c r="C1365" t="s">
        <v>8026</v>
      </c>
      <c r="F1365">
        <v>1</v>
      </c>
      <c r="G1365" s="1" t="s">
        <v>1481</v>
      </c>
      <c r="I1365" s="1" t="s">
        <v>11473</v>
      </c>
      <c r="O1365" t="s">
        <v>22</v>
      </c>
    </row>
    <row r="1366" spans="1:15">
      <c r="A1366" t="s">
        <v>7401</v>
      </c>
      <c r="B1366" t="s">
        <v>7401</v>
      </c>
      <c r="C1366" t="s">
        <v>7402</v>
      </c>
      <c r="F1366">
        <v>1</v>
      </c>
      <c r="G1366" s="1" t="s">
        <v>1482</v>
      </c>
      <c r="I1366" s="1" t="s">
        <v>11473</v>
      </c>
      <c r="O1366" t="s">
        <v>22</v>
      </c>
    </row>
    <row r="1367" spans="1:15">
      <c r="A1367" t="s">
        <v>5684</v>
      </c>
      <c r="B1367" t="s">
        <v>5684</v>
      </c>
      <c r="C1367" t="s">
        <v>5685</v>
      </c>
      <c r="F1367">
        <v>1</v>
      </c>
      <c r="G1367" s="1" t="s">
        <v>1483</v>
      </c>
      <c r="I1367" s="1" t="s">
        <v>11473</v>
      </c>
      <c r="O1367" t="s">
        <v>22</v>
      </c>
    </row>
    <row r="1368" spans="1:15">
      <c r="A1368" t="s">
        <v>7597</v>
      </c>
      <c r="B1368" t="s">
        <v>7597</v>
      </c>
      <c r="C1368" t="s">
        <v>7598</v>
      </c>
      <c r="F1368">
        <v>1</v>
      </c>
      <c r="G1368" s="1" t="s">
        <v>1484</v>
      </c>
      <c r="I1368" s="1" t="s">
        <v>11473</v>
      </c>
      <c r="O1368" t="s">
        <v>22</v>
      </c>
    </row>
    <row r="1369" spans="1:15">
      <c r="A1369" t="s">
        <v>6824</v>
      </c>
      <c r="B1369" t="s">
        <v>6824</v>
      </c>
      <c r="C1369" t="s">
        <v>4213</v>
      </c>
      <c r="F1369">
        <v>1</v>
      </c>
      <c r="G1369" s="1" t="s">
        <v>1485</v>
      </c>
      <c r="I1369" s="1" t="s">
        <v>11473</v>
      </c>
      <c r="O1369" t="s">
        <v>22</v>
      </c>
    </row>
    <row r="1370" spans="1:15">
      <c r="A1370" t="s">
        <v>9221</v>
      </c>
      <c r="B1370" t="s">
        <v>9221</v>
      </c>
      <c r="C1370" t="s">
        <v>9222</v>
      </c>
      <c r="F1370">
        <v>1</v>
      </c>
      <c r="G1370" s="1" t="s">
        <v>1486</v>
      </c>
      <c r="I1370" s="1" t="s">
        <v>11473</v>
      </c>
      <c r="O1370" t="s">
        <v>22</v>
      </c>
    </row>
    <row r="1371" spans="1:15">
      <c r="A1371" t="s">
        <v>11081</v>
      </c>
      <c r="B1371" t="s">
        <v>11081</v>
      </c>
      <c r="C1371" t="s">
        <v>4540</v>
      </c>
      <c r="F1371">
        <v>1</v>
      </c>
      <c r="G1371" s="1" t="s">
        <v>1487</v>
      </c>
      <c r="I1371" s="1" t="s">
        <v>11473</v>
      </c>
      <c r="O1371" t="s">
        <v>22</v>
      </c>
    </row>
    <row r="1372" spans="1:15">
      <c r="A1372" t="s">
        <v>9060</v>
      </c>
      <c r="B1372" t="s">
        <v>9060</v>
      </c>
      <c r="C1372" t="s">
        <v>5376</v>
      </c>
      <c r="F1372">
        <v>1</v>
      </c>
      <c r="G1372" s="1" t="s">
        <v>1488</v>
      </c>
      <c r="I1372" s="1" t="s">
        <v>11473</v>
      </c>
      <c r="O1372" t="s">
        <v>22</v>
      </c>
    </row>
    <row r="1373" spans="1:15">
      <c r="A1373" t="s">
        <v>9230</v>
      </c>
      <c r="B1373" t="s">
        <v>9230</v>
      </c>
      <c r="C1373" t="s">
        <v>9231</v>
      </c>
      <c r="F1373">
        <v>1</v>
      </c>
      <c r="G1373" s="1" t="s">
        <v>1489</v>
      </c>
      <c r="I1373" s="1" t="s">
        <v>11473</v>
      </c>
      <c r="O1373" t="s">
        <v>22</v>
      </c>
    </row>
    <row r="1374" spans="1:15">
      <c r="A1374" t="s">
        <v>6413</v>
      </c>
      <c r="B1374" t="s">
        <v>6413</v>
      </c>
      <c r="C1374" t="s">
        <v>5347</v>
      </c>
      <c r="F1374">
        <v>1</v>
      </c>
      <c r="G1374" s="1" t="s">
        <v>1490</v>
      </c>
      <c r="I1374" s="1" t="s">
        <v>11473</v>
      </c>
      <c r="O1374" t="s">
        <v>22</v>
      </c>
    </row>
    <row r="1375" spans="1:15">
      <c r="A1375" t="s">
        <v>6387</v>
      </c>
      <c r="B1375" t="s">
        <v>6387</v>
      </c>
      <c r="C1375" t="s">
        <v>6388</v>
      </c>
      <c r="F1375">
        <v>1</v>
      </c>
      <c r="G1375" s="1" t="s">
        <v>1491</v>
      </c>
      <c r="I1375" s="1" t="s">
        <v>11473</v>
      </c>
      <c r="O1375" t="s">
        <v>22</v>
      </c>
    </row>
    <row r="1376" spans="1:15">
      <c r="A1376" t="s">
        <v>9128</v>
      </c>
      <c r="B1376" t="s">
        <v>9128</v>
      </c>
      <c r="C1376" t="s">
        <v>9129</v>
      </c>
      <c r="F1376">
        <v>1</v>
      </c>
      <c r="G1376" s="1" t="s">
        <v>1492</v>
      </c>
      <c r="I1376" s="1" t="s">
        <v>11473</v>
      </c>
      <c r="O1376" t="s">
        <v>22</v>
      </c>
    </row>
    <row r="1377" spans="1:15">
      <c r="A1377" t="s">
        <v>6440</v>
      </c>
      <c r="B1377" t="s">
        <v>6440</v>
      </c>
      <c r="C1377" t="s">
        <v>6441</v>
      </c>
      <c r="F1377">
        <v>1</v>
      </c>
      <c r="G1377" s="1" t="s">
        <v>1493</v>
      </c>
      <c r="I1377" s="1" t="s">
        <v>11473</v>
      </c>
      <c r="O1377" t="s">
        <v>22</v>
      </c>
    </row>
    <row r="1378" spans="1:15">
      <c r="A1378" t="s">
        <v>9419</v>
      </c>
      <c r="B1378" t="s">
        <v>9419</v>
      </c>
      <c r="C1378" t="s">
        <v>9420</v>
      </c>
      <c r="F1378">
        <v>1</v>
      </c>
      <c r="G1378" s="1" t="s">
        <v>1494</v>
      </c>
      <c r="I1378" s="1" t="s">
        <v>11473</v>
      </c>
      <c r="O1378" t="s">
        <v>22</v>
      </c>
    </row>
    <row r="1379" spans="1:15">
      <c r="A1379" t="s">
        <v>6272</v>
      </c>
      <c r="B1379" t="s">
        <v>6272</v>
      </c>
      <c r="C1379" t="s">
        <v>6273</v>
      </c>
      <c r="F1379">
        <v>1</v>
      </c>
      <c r="G1379" s="1" t="s">
        <v>1495</v>
      </c>
      <c r="I1379" s="1" t="s">
        <v>11473</v>
      </c>
      <c r="O1379" t="s">
        <v>22</v>
      </c>
    </row>
    <row r="1380" spans="1:15">
      <c r="A1380" t="s">
        <v>9692</v>
      </c>
      <c r="B1380" t="s">
        <v>9692</v>
      </c>
      <c r="C1380" t="s">
        <v>6273</v>
      </c>
      <c r="F1380">
        <v>1</v>
      </c>
      <c r="G1380" s="1" t="s">
        <v>1496</v>
      </c>
      <c r="I1380" s="1" t="s">
        <v>11473</v>
      </c>
      <c r="O1380" t="s">
        <v>22</v>
      </c>
    </row>
    <row r="1381" spans="1:15">
      <c r="A1381" t="s">
        <v>7979</v>
      </c>
      <c r="B1381" t="s">
        <v>7979</v>
      </c>
      <c r="C1381" t="s">
        <v>4839</v>
      </c>
      <c r="F1381">
        <v>1</v>
      </c>
      <c r="G1381" s="1" t="s">
        <v>1497</v>
      </c>
      <c r="I1381" s="1" t="s">
        <v>11473</v>
      </c>
      <c r="O1381" t="s">
        <v>22</v>
      </c>
    </row>
    <row r="1382" spans="1:15">
      <c r="A1382" t="s">
        <v>5406</v>
      </c>
      <c r="B1382" t="s">
        <v>5406</v>
      </c>
      <c r="C1382" t="s">
        <v>5319</v>
      </c>
      <c r="F1382">
        <v>1</v>
      </c>
      <c r="G1382" s="1" t="s">
        <v>1498</v>
      </c>
      <c r="I1382" s="1" t="s">
        <v>11473</v>
      </c>
      <c r="O1382" t="s">
        <v>22</v>
      </c>
    </row>
    <row r="1383" spans="1:15">
      <c r="A1383" t="s">
        <v>5688</v>
      </c>
      <c r="B1383" t="s">
        <v>5688</v>
      </c>
      <c r="C1383" t="s">
        <v>5689</v>
      </c>
      <c r="F1383">
        <v>1</v>
      </c>
      <c r="G1383" s="1" t="s">
        <v>1499</v>
      </c>
      <c r="I1383" s="1" t="s">
        <v>11473</v>
      </c>
      <c r="O1383" t="s">
        <v>22</v>
      </c>
    </row>
    <row r="1384" spans="1:15">
      <c r="A1384" t="s">
        <v>11109</v>
      </c>
      <c r="B1384" t="s">
        <v>11109</v>
      </c>
      <c r="C1384" t="s">
        <v>5689</v>
      </c>
      <c r="F1384">
        <v>1</v>
      </c>
      <c r="G1384" s="1" t="s">
        <v>1500</v>
      </c>
      <c r="I1384" s="1" t="s">
        <v>11473</v>
      </c>
      <c r="O1384" t="s">
        <v>22</v>
      </c>
    </row>
    <row r="1385" spans="1:15">
      <c r="A1385" t="s">
        <v>7625</v>
      </c>
      <c r="B1385" t="s">
        <v>7625</v>
      </c>
      <c r="C1385" t="s">
        <v>4556</v>
      </c>
      <c r="F1385">
        <v>1</v>
      </c>
      <c r="G1385" s="1" t="s">
        <v>1501</v>
      </c>
      <c r="I1385" s="1" t="s">
        <v>11473</v>
      </c>
      <c r="O1385" t="s">
        <v>22</v>
      </c>
    </row>
    <row r="1386" spans="1:15">
      <c r="A1386" t="s">
        <v>11176</v>
      </c>
      <c r="B1386" t="s">
        <v>11176</v>
      </c>
      <c r="C1386" t="s">
        <v>11177</v>
      </c>
      <c r="F1386">
        <v>1</v>
      </c>
      <c r="G1386" s="1" t="s">
        <v>1502</v>
      </c>
      <c r="I1386" s="1" t="s">
        <v>11473</v>
      </c>
      <c r="O1386" t="s">
        <v>22</v>
      </c>
    </row>
    <row r="1387" spans="1:15">
      <c r="A1387" t="s">
        <v>5700</v>
      </c>
      <c r="B1387" t="s">
        <v>5700</v>
      </c>
      <c r="C1387" t="s">
        <v>5701</v>
      </c>
      <c r="F1387">
        <v>1</v>
      </c>
      <c r="G1387" s="1" t="s">
        <v>1503</v>
      </c>
      <c r="I1387" s="1" t="s">
        <v>11473</v>
      </c>
      <c r="O1387" t="s">
        <v>22</v>
      </c>
    </row>
    <row r="1388" spans="1:15">
      <c r="A1388" t="s">
        <v>7654</v>
      </c>
      <c r="B1388" t="s">
        <v>7654</v>
      </c>
      <c r="C1388" t="s">
        <v>7655</v>
      </c>
      <c r="F1388">
        <v>1</v>
      </c>
      <c r="G1388" s="1" t="s">
        <v>1504</v>
      </c>
      <c r="I1388" s="1" t="s">
        <v>11473</v>
      </c>
      <c r="O1388" t="s">
        <v>22</v>
      </c>
    </row>
    <row r="1389" spans="1:15">
      <c r="A1389" t="s">
        <v>7946</v>
      </c>
      <c r="B1389" t="s">
        <v>7946</v>
      </c>
      <c r="C1389" t="s">
        <v>7655</v>
      </c>
      <c r="F1389">
        <v>1</v>
      </c>
      <c r="G1389" s="1" t="s">
        <v>1505</v>
      </c>
      <c r="I1389" s="1" t="s">
        <v>11473</v>
      </c>
      <c r="O1389" t="s">
        <v>22</v>
      </c>
    </row>
    <row r="1390" spans="1:15">
      <c r="A1390" t="s">
        <v>9311</v>
      </c>
      <c r="B1390" t="s">
        <v>9311</v>
      </c>
      <c r="C1390" t="s">
        <v>7655</v>
      </c>
      <c r="F1390">
        <v>1</v>
      </c>
      <c r="G1390" s="1" t="s">
        <v>1506</v>
      </c>
      <c r="I1390" s="1" t="s">
        <v>11473</v>
      </c>
      <c r="O1390" t="s">
        <v>22</v>
      </c>
    </row>
    <row r="1391" spans="1:15">
      <c r="A1391" t="s">
        <v>10454</v>
      </c>
      <c r="B1391" t="s">
        <v>10454</v>
      </c>
      <c r="C1391" t="s">
        <v>10455</v>
      </c>
      <c r="F1391">
        <v>1</v>
      </c>
      <c r="G1391" s="1" t="s">
        <v>1507</v>
      </c>
      <c r="I1391" s="1" t="s">
        <v>11473</v>
      </c>
      <c r="O1391" t="s">
        <v>22</v>
      </c>
    </row>
    <row r="1392" spans="1:15">
      <c r="A1392" t="s">
        <v>9996</v>
      </c>
      <c r="B1392" t="s">
        <v>9996</v>
      </c>
      <c r="C1392" t="s">
        <v>4279</v>
      </c>
      <c r="F1392">
        <v>1</v>
      </c>
      <c r="G1392" s="1" t="s">
        <v>1508</v>
      </c>
      <c r="I1392" s="1" t="s">
        <v>11473</v>
      </c>
      <c r="O1392" t="s">
        <v>22</v>
      </c>
    </row>
    <row r="1393" spans="1:15">
      <c r="A1393" t="s">
        <v>11094</v>
      </c>
      <c r="B1393" t="s">
        <v>11094</v>
      </c>
      <c r="C1393" t="s">
        <v>11095</v>
      </c>
      <c r="F1393">
        <v>1</v>
      </c>
      <c r="G1393" s="1" t="s">
        <v>1509</v>
      </c>
      <c r="I1393" s="1" t="s">
        <v>11473</v>
      </c>
      <c r="O1393" t="s">
        <v>22</v>
      </c>
    </row>
    <row r="1394" spans="1:15">
      <c r="A1394" t="s">
        <v>7228</v>
      </c>
      <c r="B1394" t="s">
        <v>7228</v>
      </c>
      <c r="C1394" t="s">
        <v>7229</v>
      </c>
      <c r="F1394">
        <v>1</v>
      </c>
      <c r="G1394" s="1" t="s">
        <v>1510</v>
      </c>
      <c r="I1394" s="1" t="s">
        <v>11473</v>
      </c>
      <c r="O1394" t="s">
        <v>22</v>
      </c>
    </row>
    <row r="1395" spans="1:15">
      <c r="A1395" t="s">
        <v>11098</v>
      </c>
      <c r="B1395" t="s">
        <v>11098</v>
      </c>
      <c r="C1395" t="s">
        <v>11099</v>
      </c>
      <c r="F1395">
        <v>1</v>
      </c>
      <c r="G1395" s="1" t="s">
        <v>1511</v>
      </c>
      <c r="I1395" s="1" t="s">
        <v>11473</v>
      </c>
      <c r="O1395" t="s">
        <v>22</v>
      </c>
    </row>
    <row r="1396" spans="1:15">
      <c r="A1396" t="s">
        <v>7440</v>
      </c>
      <c r="B1396" t="s">
        <v>7440</v>
      </c>
      <c r="C1396" t="s">
        <v>5099</v>
      </c>
      <c r="F1396">
        <v>1</v>
      </c>
      <c r="G1396" s="1" t="s">
        <v>1512</v>
      </c>
      <c r="I1396" s="1" t="s">
        <v>11473</v>
      </c>
      <c r="O1396" t="s">
        <v>22</v>
      </c>
    </row>
    <row r="1397" spans="1:15">
      <c r="A1397" t="s">
        <v>10388</v>
      </c>
      <c r="B1397" t="s">
        <v>10388</v>
      </c>
      <c r="C1397" t="s">
        <v>10389</v>
      </c>
      <c r="F1397">
        <v>1</v>
      </c>
      <c r="G1397" s="1" t="s">
        <v>1513</v>
      </c>
      <c r="I1397" s="1" t="s">
        <v>11473</v>
      </c>
      <c r="O1397" t="s">
        <v>22</v>
      </c>
    </row>
    <row r="1398" spans="1:15">
      <c r="A1398" t="s">
        <v>11082</v>
      </c>
      <c r="B1398" t="s">
        <v>11082</v>
      </c>
      <c r="C1398" t="s">
        <v>10389</v>
      </c>
      <c r="F1398">
        <v>1</v>
      </c>
      <c r="G1398" s="1" t="s">
        <v>1514</v>
      </c>
      <c r="I1398" s="1" t="s">
        <v>11473</v>
      </c>
      <c r="O1398" t="s">
        <v>22</v>
      </c>
    </row>
    <row r="1399" spans="1:15">
      <c r="A1399" t="s">
        <v>7640</v>
      </c>
      <c r="B1399" t="s">
        <v>7640</v>
      </c>
      <c r="C1399" t="s">
        <v>7641</v>
      </c>
      <c r="F1399">
        <v>1</v>
      </c>
      <c r="G1399" s="1" t="s">
        <v>1515</v>
      </c>
      <c r="I1399" s="1" t="s">
        <v>11473</v>
      </c>
      <c r="O1399" t="s">
        <v>22</v>
      </c>
    </row>
    <row r="1400" spans="1:15">
      <c r="A1400" t="s">
        <v>11472</v>
      </c>
      <c r="B1400" t="s">
        <v>11472</v>
      </c>
      <c r="C1400" t="s">
        <v>7641</v>
      </c>
      <c r="F1400">
        <v>1</v>
      </c>
      <c r="G1400" s="1" t="s">
        <v>1516</v>
      </c>
      <c r="I1400" s="1" t="s">
        <v>11473</v>
      </c>
      <c r="O1400" t="s">
        <v>22</v>
      </c>
    </row>
    <row r="1401" spans="1:15">
      <c r="A1401" t="s">
        <v>8964</v>
      </c>
      <c r="B1401" t="s">
        <v>8964</v>
      </c>
      <c r="C1401" t="s">
        <v>8965</v>
      </c>
      <c r="F1401">
        <v>1</v>
      </c>
      <c r="G1401" s="1" t="s">
        <v>1517</v>
      </c>
      <c r="I1401" s="1" t="s">
        <v>11473</v>
      </c>
      <c r="O1401" t="s">
        <v>22</v>
      </c>
    </row>
    <row r="1402" spans="1:15">
      <c r="A1402" t="s">
        <v>6899</v>
      </c>
      <c r="B1402" t="s">
        <v>6899</v>
      </c>
      <c r="C1402" t="s">
        <v>7422</v>
      </c>
      <c r="F1402">
        <v>1</v>
      </c>
      <c r="G1402" s="1" t="s">
        <v>1518</v>
      </c>
      <c r="I1402" s="1" t="s">
        <v>11473</v>
      </c>
      <c r="O1402" t="s">
        <v>22</v>
      </c>
    </row>
    <row r="1403" spans="1:15">
      <c r="A1403" t="s">
        <v>9383</v>
      </c>
      <c r="B1403" t="s">
        <v>9383</v>
      </c>
      <c r="C1403" t="s">
        <v>7422</v>
      </c>
      <c r="F1403">
        <v>1</v>
      </c>
      <c r="G1403" s="1" t="s">
        <v>1519</v>
      </c>
      <c r="I1403" s="1" t="s">
        <v>11473</v>
      </c>
      <c r="O1403" t="s">
        <v>22</v>
      </c>
    </row>
    <row r="1404" spans="1:15">
      <c r="A1404" t="s">
        <v>8830</v>
      </c>
      <c r="B1404" t="s">
        <v>8830</v>
      </c>
      <c r="C1404" t="s">
        <v>8831</v>
      </c>
      <c r="F1404">
        <v>1</v>
      </c>
      <c r="G1404" s="1" t="s">
        <v>1520</v>
      </c>
      <c r="I1404" s="1" t="s">
        <v>11473</v>
      </c>
      <c r="O1404" t="s">
        <v>22</v>
      </c>
    </row>
    <row r="1405" spans="1:15">
      <c r="A1405" t="s">
        <v>11104</v>
      </c>
      <c r="B1405" t="s">
        <v>11104</v>
      </c>
      <c r="C1405" t="s">
        <v>4362</v>
      </c>
      <c r="F1405">
        <v>1</v>
      </c>
      <c r="G1405" s="1" t="s">
        <v>1521</v>
      </c>
      <c r="I1405" s="1" t="s">
        <v>11473</v>
      </c>
      <c r="O1405" t="s">
        <v>22</v>
      </c>
    </row>
    <row r="1406" spans="1:15">
      <c r="A1406" t="s">
        <v>9327</v>
      </c>
      <c r="B1406" t="s">
        <v>9327</v>
      </c>
      <c r="C1406" t="s">
        <v>9328</v>
      </c>
      <c r="F1406">
        <v>1</v>
      </c>
      <c r="G1406" s="1" t="s">
        <v>1522</v>
      </c>
      <c r="I1406" s="1" t="s">
        <v>11473</v>
      </c>
      <c r="O1406" t="s">
        <v>22</v>
      </c>
    </row>
    <row r="1407" spans="1:15">
      <c r="A1407" t="s">
        <v>6408</v>
      </c>
      <c r="B1407" t="s">
        <v>6408</v>
      </c>
      <c r="C1407" t="s">
        <v>5365</v>
      </c>
      <c r="F1407">
        <v>1</v>
      </c>
      <c r="G1407" s="1" t="s">
        <v>1523</v>
      </c>
      <c r="I1407" s="1" t="s">
        <v>11473</v>
      </c>
      <c r="O1407" t="s">
        <v>22</v>
      </c>
    </row>
    <row r="1408" spans="1:15">
      <c r="A1408" t="s">
        <v>6377</v>
      </c>
      <c r="B1408" t="s">
        <v>6377</v>
      </c>
      <c r="C1408" t="s">
        <v>6378</v>
      </c>
      <c r="F1408">
        <v>1</v>
      </c>
      <c r="G1408" s="1" t="s">
        <v>1524</v>
      </c>
      <c r="I1408" s="1" t="s">
        <v>11473</v>
      </c>
      <c r="O1408" t="s">
        <v>22</v>
      </c>
    </row>
    <row r="1409" spans="1:15">
      <c r="A1409" t="s">
        <v>6292</v>
      </c>
      <c r="B1409" t="s">
        <v>6292</v>
      </c>
      <c r="C1409" t="s">
        <v>6293</v>
      </c>
      <c r="F1409">
        <v>1</v>
      </c>
      <c r="G1409" s="1" t="s">
        <v>1525</v>
      </c>
      <c r="I1409" s="1" t="s">
        <v>11473</v>
      </c>
      <c r="O1409" t="s">
        <v>22</v>
      </c>
    </row>
    <row r="1410" spans="1:15">
      <c r="A1410" t="s">
        <v>9935</v>
      </c>
      <c r="B1410" t="s">
        <v>9935</v>
      </c>
      <c r="C1410" t="s">
        <v>9936</v>
      </c>
      <c r="F1410">
        <v>1</v>
      </c>
      <c r="G1410" s="1" t="s">
        <v>1526</v>
      </c>
      <c r="I1410" s="1" t="s">
        <v>11473</v>
      </c>
      <c r="O1410" t="s">
        <v>22</v>
      </c>
    </row>
    <row r="1411" spans="1:15">
      <c r="A1411" t="s">
        <v>6751</v>
      </c>
      <c r="B1411" t="s">
        <v>6751</v>
      </c>
      <c r="C1411" t="s">
        <v>6752</v>
      </c>
      <c r="F1411">
        <v>1</v>
      </c>
      <c r="G1411" s="1" t="s">
        <v>1527</v>
      </c>
      <c r="I1411" s="1" t="s">
        <v>11473</v>
      </c>
      <c r="O1411" t="s">
        <v>22</v>
      </c>
    </row>
    <row r="1412" spans="1:15">
      <c r="A1412" t="s">
        <v>6425</v>
      </c>
      <c r="B1412" t="s">
        <v>6425</v>
      </c>
      <c r="C1412" t="s">
        <v>6426</v>
      </c>
      <c r="F1412">
        <v>1</v>
      </c>
      <c r="G1412" s="1" t="s">
        <v>1528</v>
      </c>
      <c r="I1412" s="1" t="s">
        <v>11473</v>
      </c>
      <c r="O1412" t="s">
        <v>22</v>
      </c>
    </row>
    <row r="1413" spans="1:15">
      <c r="A1413" t="s">
        <v>9239</v>
      </c>
      <c r="B1413" t="s">
        <v>9239</v>
      </c>
      <c r="C1413" t="s">
        <v>6426</v>
      </c>
      <c r="F1413">
        <v>1</v>
      </c>
      <c r="G1413" s="1" t="s">
        <v>1529</v>
      </c>
      <c r="I1413" s="1" t="s">
        <v>11473</v>
      </c>
      <c r="O1413" t="s">
        <v>22</v>
      </c>
    </row>
    <row r="1414" spans="1:15">
      <c r="A1414" t="s">
        <v>7669</v>
      </c>
      <c r="B1414" t="s">
        <v>7669</v>
      </c>
      <c r="C1414" t="s">
        <v>4389</v>
      </c>
      <c r="F1414">
        <v>1</v>
      </c>
      <c r="G1414" s="1" t="s">
        <v>1530</v>
      </c>
      <c r="I1414" s="1" t="s">
        <v>11473</v>
      </c>
      <c r="O1414" t="s">
        <v>22</v>
      </c>
    </row>
    <row r="1415" spans="1:15">
      <c r="A1415" t="s">
        <v>6311</v>
      </c>
      <c r="B1415" t="s">
        <v>6311</v>
      </c>
      <c r="C1415" t="s">
        <v>4260</v>
      </c>
      <c r="F1415">
        <v>1</v>
      </c>
      <c r="G1415" s="1" t="s">
        <v>1531</v>
      </c>
      <c r="I1415" s="1" t="s">
        <v>11473</v>
      </c>
      <c r="O1415" t="s">
        <v>22</v>
      </c>
    </row>
    <row r="1416" spans="1:15">
      <c r="A1416" t="s">
        <v>7627</v>
      </c>
      <c r="B1416" t="s">
        <v>7627</v>
      </c>
      <c r="C1416" t="s">
        <v>4260</v>
      </c>
      <c r="F1416">
        <v>1</v>
      </c>
      <c r="G1416" s="1" t="s">
        <v>1532</v>
      </c>
      <c r="I1416" s="1" t="s">
        <v>11473</v>
      </c>
      <c r="O1416" t="s">
        <v>22</v>
      </c>
    </row>
    <row r="1417" spans="1:15">
      <c r="A1417" t="s">
        <v>7436</v>
      </c>
      <c r="B1417" t="s">
        <v>7436</v>
      </c>
      <c r="C1417" t="s">
        <v>4038</v>
      </c>
      <c r="F1417">
        <v>1</v>
      </c>
      <c r="G1417" s="1" t="s">
        <v>1533</v>
      </c>
      <c r="I1417" s="1" t="s">
        <v>11473</v>
      </c>
      <c r="O1417" t="s">
        <v>22</v>
      </c>
    </row>
    <row r="1418" spans="1:15">
      <c r="A1418" t="s">
        <v>10241</v>
      </c>
      <c r="B1418" t="s">
        <v>10241</v>
      </c>
      <c r="C1418" t="s">
        <v>10242</v>
      </c>
      <c r="F1418">
        <v>1</v>
      </c>
      <c r="G1418" s="1" t="s">
        <v>1534</v>
      </c>
      <c r="I1418" s="1" t="s">
        <v>11473</v>
      </c>
      <c r="O1418" t="s">
        <v>22</v>
      </c>
    </row>
    <row r="1419" spans="1:15">
      <c r="A1419" t="s">
        <v>6421</v>
      </c>
      <c r="B1419" t="s">
        <v>6421</v>
      </c>
      <c r="C1419" t="s">
        <v>6422</v>
      </c>
      <c r="F1419">
        <v>1</v>
      </c>
      <c r="G1419" s="1" t="s">
        <v>1535</v>
      </c>
      <c r="I1419" s="1" t="s">
        <v>11473</v>
      </c>
      <c r="O1419" t="s">
        <v>22</v>
      </c>
    </row>
    <row r="1420" spans="1:15">
      <c r="A1420" t="s">
        <v>8925</v>
      </c>
      <c r="B1420" t="s">
        <v>8925</v>
      </c>
      <c r="C1420" t="s">
        <v>8926</v>
      </c>
      <c r="F1420">
        <v>1</v>
      </c>
      <c r="G1420" s="1" t="s">
        <v>1536</v>
      </c>
      <c r="I1420" s="1" t="s">
        <v>11473</v>
      </c>
      <c r="O1420" t="s">
        <v>22</v>
      </c>
    </row>
    <row r="1421" spans="1:15">
      <c r="A1421" t="s">
        <v>10519</v>
      </c>
      <c r="B1421" t="s">
        <v>10519</v>
      </c>
      <c r="C1421" t="s">
        <v>8926</v>
      </c>
      <c r="F1421">
        <v>1</v>
      </c>
      <c r="G1421" s="1" t="s">
        <v>1537</v>
      </c>
      <c r="I1421" s="1" t="s">
        <v>11473</v>
      </c>
      <c r="O1421" t="s">
        <v>22</v>
      </c>
    </row>
    <row r="1422" spans="1:15">
      <c r="A1422" t="s">
        <v>7209</v>
      </c>
      <c r="B1422" t="s">
        <v>7209</v>
      </c>
      <c r="C1422" t="s">
        <v>5159</v>
      </c>
      <c r="F1422">
        <v>1</v>
      </c>
      <c r="G1422" s="1" t="s">
        <v>1538</v>
      </c>
      <c r="I1422" s="1" t="s">
        <v>11473</v>
      </c>
      <c r="O1422" t="s">
        <v>22</v>
      </c>
    </row>
    <row r="1423" spans="1:15">
      <c r="A1423" t="s">
        <v>6578</v>
      </c>
      <c r="B1423" t="s">
        <v>6578</v>
      </c>
      <c r="C1423" t="s">
        <v>6579</v>
      </c>
      <c r="F1423">
        <v>1</v>
      </c>
      <c r="G1423" s="1" t="s">
        <v>1539</v>
      </c>
      <c r="I1423" s="1" t="s">
        <v>11473</v>
      </c>
      <c r="O1423" t="s">
        <v>22</v>
      </c>
    </row>
    <row r="1424" spans="1:15">
      <c r="A1424" t="s">
        <v>7650</v>
      </c>
      <c r="B1424" t="s">
        <v>7650</v>
      </c>
      <c r="C1424" t="s">
        <v>4039</v>
      </c>
      <c r="F1424">
        <v>1</v>
      </c>
      <c r="G1424" s="1" t="s">
        <v>1540</v>
      </c>
      <c r="I1424" s="1" t="s">
        <v>11473</v>
      </c>
      <c r="O1424" t="s">
        <v>22</v>
      </c>
    </row>
    <row r="1425" spans="1:15">
      <c r="A1425" t="s">
        <v>8101</v>
      </c>
      <c r="B1425" t="s">
        <v>8101</v>
      </c>
      <c r="C1425" t="s">
        <v>8102</v>
      </c>
      <c r="F1425">
        <v>1</v>
      </c>
      <c r="G1425" s="1" t="s">
        <v>1541</v>
      </c>
      <c r="I1425" s="1" t="s">
        <v>11473</v>
      </c>
      <c r="O1425" t="s">
        <v>22</v>
      </c>
    </row>
    <row r="1426" spans="1:15">
      <c r="A1426" t="s">
        <v>5402</v>
      </c>
      <c r="B1426" t="s">
        <v>5402</v>
      </c>
      <c r="C1426" t="s">
        <v>4734</v>
      </c>
      <c r="F1426">
        <v>1</v>
      </c>
      <c r="G1426" s="1" t="s">
        <v>1542</v>
      </c>
      <c r="I1426" s="1" t="s">
        <v>11473</v>
      </c>
      <c r="O1426" t="s">
        <v>22</v>
      </c>
    </row>
    <row r="1427" spans="1:15">
      <c r="A1427" t="s">
        <v>6374</v>
      </c>
      <c r="B1427" t="s">
        <v>6374</v>
      </c>
      <c r="C1427" t="s">
        <v>4360</v>
      </c>
      <c r="F1427">
        <v>1</v>
      </c>
      <c r="G1427" s="1" t="s">
        <v>1543</v>
      </c>
      <c r="I1427" s="1" t="s">
        <v>11473</v>
      </c>
      <c r="O1427" t="s">
        <v>22</v>
      </c>
    </row>
    <row r="1428" spans="1:15">
      <c r="A1428" t="s">
        <v>6461</v>
      </c>
      <c r="B1428" t="s">
        <v>6461</v>
      </c>
      <c r="C1428" t="s">
        <v>4360</v>
      </c>
      <c r="F1428">
        <v>1</v>
      </c>
      <c r="G1428" s="1" t="s">
        <v>1544</v>
      </c>
      <c r="I1428" s="1" t="s">
        <v>11473</v>
      </c>
      <c r="O1428" t="s">
        <v>22</v>
      </c>
    </row>
    <row r="1429" spans="1:15">
      <c r="A1429" t="s">
        <v>8791</v>
      </c>
      <c r="B1429" t="s">
        <v>8791</v>
      </c>
      <c r="C1429" t="s">
        <v>8792</v>
      </c>
      <c r="F1429">
        <v>1</v>
      </c>
      <c r="G1429" s="1" t="s">
        <v>1545</v>
      </c>
      <c r="I1429" s="1" t="s">
        <v>11473</v>
      </c>
      <c r="O1429" t="s">
        <v>22</v>
      </c>
    </row>
    <row r="1430" spans="1:15">
      <c r="A1430" t="s">
        <v>6427</v>
      </c>
      <c r="B1430" t="s">
        <v>6427</v>
      </c>
      <c r="C1430" t="s">
        <v>5266</v>
      </c>
      <c r="F1430">
        <v>1</v>
      </c>
      <c r="G1430" s="1" t="s">
        <v>1546</v>
      </c>
      <c r="I1430" s="1" t="s">
        <v>11473</v>
      </c>
      <c r="O1430" t="s">
        <v>22</v>
      </c>
    </row>
    <row r="1431" spans="1:15">
      <c r="A1431" t="s">
        <v>6021</v>
      </c>
      <c r="B1431" t="s">
        <v>6021</v>
      </c>
      <c r="C1431" t="s">
        <v>6022</v>
      </c>
      <c r="F1431">
        <v>1</v>
      </c>
      <c r="G1431" s="1" t="s">
        <v>1547</v>
      </c>
      <c r="I1431" s="1" t="s">
        <v>11473</v>
      </c>
      <c r="O1431" t="s">
        <v>22</v>
      </c>
    </row>
    <row r="1432" spans="1:15">
      <c r="A1432" t="s">
        <v>11105</v>
      </c>
      <c r="B1432" t="s">
        <v>11105</v>
      </c>
      <c r="C1432" t="s">
        <v>11106</v>
      </c>
      <c r="F1432">
        <v>1</v>
      </c>
      <c r="G1432" s="1" t="s">
        <v>1548</v>
      </c>
      <c r="I1432" s="1" t="s">
        <v>11473</v>
      </c>
      <c r="O1432" t="s">
        <v>22</v>
      </c>
    </row>
    <row r="1433" spans="1:15">
      <c r="A1433" t="s">
        <v>5535</v>
      </c>
      <c r="B1433" t="s">
        <v>5535</v>
      </c>
      <c r="C1433" t="s">
        <v>5536</v>
      </c>
      <c r="F1433">
        <v>1</v>
      </c>
      <c r="G1433" s="1" t="s">
        <v>1549</v>
      </c>
      <c r="I1433" s="1" t="s">
        <v>11473</v>
      </c>
      <c r="O1433" t="s">
        <v>22</v>
      </c>
    </row>
    <row r="1434" spans="1:15">
      <c r="A1434" t="s">
        <v>8891</v>
      </c>
      <c r="B1434" t="s">
        <v>8891</v>
      </c>
      <c r="C1434" t="s">
        <v>5536</v>
      </c>
      <c r="F1434">
        <v>1</v>
      </c>
      <c r="G1434" s="1" t="s">
        <v>1550</v>
      </c>
      <c r="I1434" s="1" t="s">
        <v>11473</v>
      </c>
      <c r="O1434" t="s">
        <v>22</v>
      </c>
    </row>
    <row r="1435" spans="1:15">
      <c r="A1435" t="s">
        <v>6429</v>
      </c>
      <c r="B1435" t="s">
        <v>6429</v>
      </c>
      <c r="C1435" t="s">
        <v>6430</v>
      </c>
      <c r="F1435">
        <v>1</v>
      </c>
      <c r="G1435" s="1" t="s">
        <v>1551</v>
      </c>
      <c r="I1435" s="1" t="s">
        <v>11473</v>
      </c>
      <c r="O1435" t="s">
        <v>22</v>
      </c>
    </row>
    <row r="1436" spans="1:15">
      <c r="A1436" t="s">
        <v>7439</v>
      </c>
      <c r="B1436" t="s">
        <v>7439</v>
      </c>
      <c r="C1436" t="s">
        <v>6430</v>
      </c>
      <c r="F1436">
        <v>1</v>
      </c>
      <c r="G1436" s="1" t="s">
        <v>1552</v>
      </c>
      <c r="I1436" s="1" t="s">
        <v>11473</v>
      </c>
      <c r="O1436" t="s">
        <v>22</v>
      </c>
    </row>
    <row r="1437" spans="1:15">
      <c r="A1437" t="s">
        <v>7632</v>
      </c>
      <c r="B1437" t="s">
        <v>7632</v>
      </c>
      <c r="C1437" t="s">
        <v>4478</v>
      </c>
      <c r="F1437">
        <v>1</v>
      </c>
      <c r="G1437" s="1" t="s">
        <v>1553</v>
      </c>
      <c r="I1437" s="1" t="s">
        <v>11473</v>
      </c>
      <c r="O1437" t="s">
        <v>22</v>
      </c>
    </row>
    <row r="1438" spans="1:15">
      <c r="A1438" t="s">
        <v>7668</v>
      </c>
      <c r="B1438" t="s">
        <v>7668</v>
      </c>
      <c r="C1438" t="s">
        <v>4478</v>
      </c>
      <c r="F1438">
        <v>1</v>
      </c>
      <c r="G1438" s="1" t="s">
        <v>1554</v>
      </c>
      <c r="I1438" s="1" t="s">
        <v>11473</v>
      </c>
      <c r="O1438" t="s">
        <v>22</v>
      </c>
    </row>
    <row r="1439" spans="1:15">
      <c r="A1439" t="s">
        <v>7658</v>
      </c>
      <c r="B1439" t="s">
        <v>7658</v>
      </c>
      <c r="C1439" t="s">
        <v>7659</v>
      </c>
      <c r="F1439">
        <v>1</v>
      </c>
      <c r="G1439" s="1" t="s">
        <v>1555</v>
      </c>
      <c r="I1439" s="1" t="s">
        <v>11473</v>
      </c>
      <c r="O1439" t="s">
        <v>22</v>
      </c>
    </row>
    <row r="1440" spans="1:15">
      <c r="A1440" t="s">
        <v>8360</v>
      </c>
      <c r="B1440" t="s">
        <v>8360</v>
      </c>
      <c r="C1440" t="s">
        <v>7659</v>
      </c>
      <c r="F1440">
        <v>1</v>
      </c>
      <c r="G1440" s="1" t="s">
        <v>1556</v>
      </c>
      <c r="I1440" s="1" t="s">
        <v>11473</v>
      </c>
      <c r="O1440" t="s">
        <v>22</v>
      </c>
    </row>
    <row r="1441" spans="1:15">
      <c r="A1441" t="s">
        <v>9512</v>
      </c>
      <c r="B1441" t="s">
        <v>9512</v>
      </c>
      <c r="C1441" t="s">
        <v>9513</v>
      </c>
      <c r="F1441">
        <v>1</v>
      </c>
      <c r="G1441" s="1" t="s">
        <v>1557</v>
      </c>
      <c r="I1441" s="1" t="s">
        <v>11473</v>
      </c>
      <c r="O1441" t="s">
        <v>22</v>
      </c>
    </row>
    <row r="1442" spans="1:15">
      <c r="A1442" t="s">
        <v>6289</v>
      </c>
      <c r="B1442" t="s">
        <v>6289</v>
      </c>
      <c r="C1442" t="s">
        <v>6290</v>
      </c>
      <c r="F1442">
        <v>1</v>
      </c>
      <c r="G1442" s="1" t="s">
        <v>1558</v>
      </c>
      <c r="I1442" s="1" t="s">
        <v>11473</v>
      </c>
      <c r="O1442" t="s">
        <v>22</v>
      </c>
    </row>
    <row r="1443" spans="1:15">
      <c r="A1443" t="s">
        <v>9678</v>
      </c>
      <c r="B1443" t="s">
        <v>9678</v>
      </c>
      <c r="C1443" t="s">
        <v>4358</v>
      </c>
      <c r="F1443">
        <v>1</v>
      </c>
      <c r="G1443" s="1" t="s">
        <v>1559</v>
      </c>
      <c r="I1443" s="1" t="s">
        <v>11473</v>
      </c>
      <c r="O1443" t="s">
        <v>22</v>
      </c>
    </row>
    <row r="1444" spans="1:15">
      <c r="A1444" t="s">
        <v>5903</v>
      </c>
      <c r="B1444" t="s">
        <v>5903</v>
      </c>
      <c r="C1444" t="s">
        <v>4495</v>
      </c>
      <c r="F1444">
        <v>1</v>
      </c>
      <c r="G1444" s="1" t="s">
        <v>1560</v>
      </c>
      <c r="I1444" s="1" t="s">
        <v>11473</v>
      </c>
      <c r="O1444" t="s">
        <v>22</v>
      </c>
    </row>
    <row r="1445" spans="1:15">
      <c r="A1445" t="s">
        <v>7854</v>
      </c>
      <c r="B1445" t="s">
        <v>7854</v>
      </c>
      <c r="C1445" t="s">
        <v>4495</v>
      </c>
      <c r="F1445">
        <v>1</v>
      </c>
      <c r="G1445" s="1" t="s">
        <v>1561</v>
      </c>
      <c r="I1445" s="1" t="s">
        <v>11473</v>
      </c>
      <c r="O1445" t="s">
        <v>22</v>
      </c>
    </row>
    <row r="1446" spans="1:15">
      <c r="A1446" t="s">
        <v>9574</v>
      </c>
      <c r="B1446" t="s">
        <v>9574</v>
      </c>
      <c r="C1446" t="s">
        <v>9575</v>
      </c>
      <c r="F1446">
        <v>1</v>
      </c>
      <c r="G1446" s="1" t="s">
        <v>1562</v>
      </c>
      <c r="I1446" s="1" t="s">
        <v>11473</v>
      </c>
      <c r="O1446" t="s">
        <v>22</v>
      </c>
    </row>
    <row r="1447" spans="1:15">
      <c r="A1447" t="s">
        <v>6386</v>
      </c>
      <c r="B1447" t="s">
        <v>6386</v>
      </c>
      <c r="C1447" t="s">
        <v>4042</v>
      </c>
      <c r="F1447">
        <v>1</v>
      </c>
      <c r="G1447" s="1" t="s">
        <v>1563</v>
      </c>
      <c r="I1447" s="1" t="s">
        <v>11473</v>
      </c>
      <c r="O1447" t="s">
        <v>22</v>
      </c>
    </row>
    <row r="1448" spans="1:15">
      <c r="A1448" t="s">
        <v>6876</v>
      </c>
      <c r="B1448" t="s">
        <v>6876</v>
      </c>
      <c r="C1448" t="s">
        <v>6877</v>
      </c>
      <c r="F1448">
        <v>1</v>
      </c>
      <c r="G1448" s="1" t="s">
        <v>1564</v>
      </c>
      <c r="I1448" s="1" t="s">
        <v>11473</v>
      </c>
      <c r="O1448" t="s">
        <v>22</v>
      </c>
    </row>
    <row r="1449" spans="1:15">
      <c r="A1449" t="s">
        <v>5827</v>
      </c>
      <c r="B1449" t="s">
        <v>5827</v>
      </c>
      <c r="C1449" t="s">
        <v>5828</v>
      </c>
      <c r="F1449">
        <v>1</v>
      </c>
      <c r="G1449" s="1" t="s">
        <v>1565</v>
      </c>
      <c r="I1449" s="1" t="s">
        <v>11473</v>
      </c>
      <c r="O1449" t="s">
        <v>22</v>
      </c>
    </row>
    <row r="1450" spans="1:15">
      <c r="A1450" t="s">
        <v>6472</v>
      </c>
      <c r="B1450" t="s">
        <v>6472</v>
      </c>
      <c r="C1450" t="s">
        <v>4147</v>
      </c>
      <c r="F1450">
        <v>1</v>
      </c>
      <c r="G1450" s="1" t="s">
        <v>1566</v>
      </c>
      <c r="I1450" s="1" t="s">
        <v>11473</v>
      </c>
      <c r="O1450" t="s">
        <v>22</v>
      </c>
    </row>
    <row r="1451" spans="1:15">
      <c r="A1451" t="s">
        <v>10235</v>
      </c>
      <c r="B1451" t="s">
        <v>10235</v>
      </c>
      <c r="C1451" t="s">
        <v>4147</v>
      </c>
      <c r="F1451">
        <v>1</v>
      </c>
      <c r="G1451" s="1" t="s">
        <v>1567</v>
      </c>
      <c r="I1451" s="1" t="s">
        <v>11473</v>
      </c>
      <c r="O1451" t="s">
        <v>22</v>
      </c>
    </row>
    <row r="1452" spans="1:15">
      <c r="A1452" t="s">
        <v>6417</v>
      </c>
      <c r="B1452" t="s">
        <v>6417</v>
      </c>
      <c r="C1452" t="s">
        <v>6418</v>
      </c>
      <c r="F1452">
        <v>1</v>
      </c>
      <c r="G1452" s="1" t="s">
        <v>1568</v>
      </c>
      <c r="I1452" s="1" t="s">
        <v>11473</v>
      </c>
      <c r="O1452" t="s">
        <v>22</v>
      </c>
    </row>
    <row r="1453" spans="1:15">
      <c r="A1453" t="s">
        <v>9296</v>
      </c>
      <c r="B1453" t="s">
        <v>9296</v>
      </c>
      <c r="C1453" t="s">
        <v>6418</v>
      </c>
      <c r="F1453">
        <v>1</v>
      </c>
      <c r="G1453" s="1" t="s">
        <v>1569</v>
      </c>
      <c r="I1453" s="1" t="s">
        <v>11473</v>
      </c>
      <c r="O1453" t="s">
        <v>22</v>
      </c>
    </row>
    <row r="1454" spans="1:15">
      <c r="A1454" t="s">
        <v>11013</v>
      </c>
      <c r="B1454" t="s">
        <v>11013</v>
      </c>
      <c r="C1454" t="s">
        <v>6418</v>
      </c>
      <c r="F1454">
        <v>1</v>
      </c>
      <c r="G1454" s="1" t="s">
        <v>1570</v>
      </c>
      <c r="I1454" s="1" t="s">
        <v>11473</v>
      </c>
      <c r="O1454" t="s">
        <v>22</v>
      </c>
    </row>
    <row r="1455" spans="1:15">
      <c r="A1455" t="s">
        <v>9108</v>
      </c>
      <c r="B1455" t="s">
        <v>9108</v>
      </c>
      <c r="C1455" t="s">
        <v>9109</v>
      </c>
      <c r="F1455">
        <v>1</v>
      </c>
      <c r="G1455" s="1" t="s">
        <v>1571</v>
      </c>
      <c r="I1455" s="1" t="s">
        <v>11473</v>
      </c>
      <c r="O1455" t="s">
        <v>22</v>
      </c>
    </row>
    <row r="1456" spans="1:15">
      <c r="A1456" t="s">
        <v>7666</v>
      </c>
      <c r="B1456" t="s">
        <v>7666</v>
      </c>
      <c r="C1456" t="s">
        <v>7667</v>
      </c>
      <c r="F1456">
        <v>1</v>
      </c>
      <c r="G1456" s="1" t="s">
        <v>1572</v>
      </c>
      <c r="I1456" s="1" t="s">
        <v>11473</v>
      </c>
      <c r="O1456" t="s">
        <v>22</v>
      </c>
    </row>
    <row r="1457" spans="1:15">
      <c r="A1457" t="s">
        <v>7519</v>
      </c>
      <c r="B1457" t="s">
        <v>7519</v>
      </c>
      <c r="C1457" t="s">
        <v>7520</v>
      </c>
      <c r="F1457">
        <v>1</v>
      </c>
      <c r="G1457" s="1" t="s">
        <v>1573</v>
      </c>
      <c r="I1457" s="1" t="s">
        <v>11473</v>
      </c>
      <c r="O1457" t="s">
        <v>22</v>
      </c>
    </row>
    <row r="1458" spans="1:15">
      <c r="A1458" t="s">
        <v>6457</v>
      </c>
      <c r="B1458" t="s">
        <v>6457</v>
      </c>
      <c r="C1458" t="s">
        <v>6458</v>
      </c>
      <c r="F1458">
        <v>1</v>
      </c>
      <c r="G1458" s="1" t="s">
        <v>1574</v>
      </c>
      <c r="I1458" s="1" t="s">
        <v>11473</v>
      </c>
      <c r="O1458" t="s">
        <v>22</v>
      </c>
    </row>
    <row r="1459" spans="1:15">
      <c r="A1459" t="s">
        <v>10178</v>
      </c>
      <c r="B1459" t="s">
        <v>10178</v>
      </c>
      <c r="C1459" t="s">
        <v>6458</v>
      </c>
      <c r="F1459">
        <v>1</v>
      </c>
      <c r="G1459" s="1" t="s">
        <v>1575</v>
      </c>
      <c r="I1459" s="1" t="s">
        <v>11473</v>
      </c>
      <c r="O1459" t="s">
        <v>22</v>
      </c>
    </row>
    <row r="1460" spans="1:15">
      <c r="A1460" t="s">
        <v>10326</v>
      </c>
      <c r="B1460" t="s">
        <v>10326</v>
      </c>
      <c r="C1460" t="s">
        <v>6458</v>
      </c>
      <c r="F1460">
        <v>1</v>
      </c>
      <c r="G1460" s="1" t="s">
        <v>1576</v>
      </c>
      <c r="I1460" s="1" t="s">
        <v>11473</v>
      </c>
      <c r="O1460" t="s">
        <v>22</v>
      </c>
    </row>
    <row r="1461" spans="1:15">
      <c r="A1461" t="s">
        <v>10492</v>
      </c>
      <c r="B1461" t="s">
        <v>10492</v>
      </c>
      <c r="C1461" t="s">
        <v>6458</v>
      </c>
      <c r="F1461">
        <v>1</v>
      </c>
      <c r="G1461" s="1" t="s">
        <v>1577</v>
      </c>
      <c r="I1461" s="1" t="s">
        <v>11473</v>
      </c>
      <c r="O1461" t="s">
        <v>22</v>
      </c>
    </row>
    <row r="1462" spans="1:15">
      <c r="A1462" t="s">
        <v>10820</v>
      </c>
      <c r="B1462" t="s">
        <v>10820</v>
      </c>
      <c r="C1462" t="s">
        <v>6458</v>
      </c>
      <c r="F1462">
        <v>1</v>
      </c>
      <c r="G1462" s="1" t="s">
        <v>1578</v>
      </c>
      <c r="I1462" s="1" t="s">
        <v>11473</v>
      </c>
      <c r="O1462" t="s">
        <v>22</v>
      </c>
    </row>
    <row r="1463" spans="1:15">
      <c r="A1463" t="s">
        <v>6627</v>
      </c>
      <c r="B1463" t="s">
        <v>6627</v>
      </c>
      <c r="C1463" t="s">
        <v>6628</v>
      </c>
      <c r="F1463">
        <v>1</v>
      </c>
      <c r="G1463" s="1" t="s">
        <v>1579</v>
      </c>
      <c r="I1463" s="1" t="s">
        <v>11473</v>
      </c>
      <c r="O1463" t="s">
        <v>22</v>
      </c>
    </row>
    <row r="1464" spans="1:15">
      <c r="A1464" t="s">
        <v>8563</v>
      </c>
      <c r="B1464" t="s">
        <v>8563</v>
      </c>
      <c r="C1464" t="s">
        <v>6628</v>
      </c>
      <c r="F1464">
        <v>1</v>
      </c>
      <c r="G1464" s="1" t="s">
        <v>1580</v>
      </c>
      <c r="I1464" s="1" t="s">
        <v>11473</v>
      </c>
      <c r="O1464" t="s">
        <v>22</v>
      </c>
    </row>
    <row r="1465" spans="1:15">
      <c r="A1465" t="s">
        <v>8433</v>
      </c>
      <c r="B1465" t="s">
        <v>8433</v>
      </c>
      <c r="C1465" t="s">
        <v>8434</v>
      </c>
      <c r="F1465">
        <v>1</v>
      </c>
      <c r="G1465" s="1" t="s">
        <v>1581</v>
      </c>
      <c r="I1465" s="1" t="s">
        <v>11473</v>
      </c>
      <c r="O1465" t="s">
        <v>22</v>
      </c>
    </row>
    <row r="1466" spans="1:15">
      <c r="A1466" t="s">
        <v>8873</v>
      </c>
      <c r="B1466" t="s">
        <v>8873</v>
      </c>
      <c r="C1466" t="s">
        <v>8434</v>
      </c>
      <c r="F1466">
        <v>1</v>
      </c>
      <c r="G1466" s="1" t="s">
        <v>1582</v>
      </c>
      <c r="I1466" s="1" t="s">
        <v>11473</v>
      </c>
      <c r="O1466" t="s">
        <v>22</v>
      </c>
    </row>
    <row r="1467" spans="1:15">
      <c r="A1467" t="s">
        <v>10534</v>
      </c>
      <c r="B1467" t="s">
        <v>10534</v>
      </c>
      <c r="C1467" t="s">
        <v>4781</v>
      </c>
      <c r="F1467">
        <v>1</v>
      </c>
      <c r="G1467" s="1" t="s">
        <v>1583</v>
      </c>
      <c r="I1467" s="1" t="s">
        <v>11473</v>
      </c>
      <c r="O1467" t="s">
        <v>22</v>
      </c>
    </row>
    <row r="1468" spans="1:15">
      <c r="A1468" t="s">
        <v>8646</v>
      </c>
      <c r="B1468" t="s">
        <v>8646</v>
      </c>
      <c r="C1468" t="s">
        <v>4988</v>
      </c>
      <c r="F1468">
        <v>1</v>
      </c>
      <c r="G1468" s="1" t="s">
        <v>1584</v>
      </c>
      <c r="I1468" s="1" t="s">
        <v>11473</v>
      </c>
      <c r="O1468" t="s">
        <v>22</v>
      </c>
    </row>
    <row r="1469" spans="1:15">
      <c r="A1469" t="s">
        <v>5854</v>
      </c>
      <c r="B1469" t="s">
        <v>5854</v>
      </c>
      <c r="C1469" t="s">
        <v>4023</v>
      </c>
      <c r="F1469">
        <v>1</v>
      </c>
      <c r="G1469" s="1" t="s">
        <v>1585</v>
      </c>
      <c r="I1469" s="1" t="s">
        <v>11473</v>
      </c>
      <c r="O1469" t="s">
        <v>22</v>
      </c>
    </row>
    <row r="1470" spans="1:15">
      <c r="A1470" t="s">
        <v>9432</v>
      </c>
      <c r="B1470" t="s">
        <v>9432</v>
      </c>
      <c r="C1470" t="s">
        <v>4023</v>
      </c>
      <c r="F1470">
        <v>1</v>
      </c>
      <c r="G1470" s="1" t="s">
        <v>1586</v>
      </c>
      <c r="I1470" s="1" t="s">
        <v>11473</v>
      </c>
      <c r="O1470" t="s">
        <v>22</v>
      </c>
    </row>
    <row r="1471" spans="1:15">
      <c r="A1471" t="s">
        <v>6279</v>
      </c>
      <c r="B1471" t="s">
        <v>6279</v>
      </c>
      <c r="C1471" t="s">
        <v>6280</v>
      </c>
      <c r="F1471">
        <v>1</v>
      </c>
      <c r="G1471" s="1" t="s">
        <v>1587</v>
      </c>
      <c r="I1471" s="1" t="s">
        <v>11473</v>
      </c>
      <c r="O1471" t="s">
        <v>22</v>
      </c>
    </row>
    <row r="1472" spans="1:15">
      <c r="A1472" t="s">
        <v>8561</v>
      </c>
      <c r="B1472" t="s">
        <v>8561</v>
      </c>
      <c r="C1472" t="s">
        <v>6280</v>
      </c>
      <c r="F1472">
        <v>1</v>
      </c>
      <c r="G1472" s="1" t="s">
        <v>1588</v>
      </c>
      <c r="I1472" s="1" t="s">
        <v>11473</v>
      </c>
      <c r="O1472" t="s">
        <v>22</v>
      </c>
    </row>
    <row r="1473" spans="1:15">
      <c r="A1473" t="s">
        <v>10634</v>
      </c>
      <c r="B1473" t="s">
        <v>10634</v>
      </c>
      <c r="C1473" t="s">
        <v>5081</v>
      </c>
      <c r="F1473">
        <v>1</v>
      </c>
      <c r="G1473" s="1" t="s">
        <v>1589</v>
      </c>
      <c r="I1473" s="1" t="s">
        <v>11473</v>
      </c>
      <c r="O1473" t="s">
        <v>22</v>
      </c>
    </row>
    <row r="1474" spans="1:15">
      <c r="A1474" t="s">
        <v>10806</v>
      </c>
      <c r="B1474" t="s">
        <v>10806</v>
      </c>
      <c r="C1474" t="s">
        <v>4855</v>
      </c>
      <c r="F1474">
        <v>1</v>
      </c>
      <c r="G1474" s="1" t="s">
        <v>1590</v>
      </c>
      <c r="I1474" s="1" t="s">
        <v>11473</v>
      </c>
      <c r="O1474" t="s">
        <v>22</v>
      </c>
    </row>
    <row r="1475" spans="1:15">
      <c r="A1475" t="s">
        <v>6860</v>
      </c>
      <c r="B1475" t="s">
        <v>6860</v>
      </c>
      <c r="C1475" t="s">
        <v>4736</v>
      </c>
      <c r="F1475">
        <v>1</v>
      </c>
      <c r="G1475" s="1" t="s">
        <v>1591</v>
      </c>
      <c r="I1475" s="1" t="s">
        <v>11473</v>
      </c>
      <c r="O1475" t="s">
        <v>22</v>
      </c>
    </row>
    <row r="1476" spans="1:15">
      <c r="A1476" t="s">
        <v>10618</v>
      </c>
      <c r="B1476" t="s">
        <v>10618</v>
      </c>
      <c r="C1476" t="s">
        <v>4736</v>
      </c>
      <c r="F1476">
        <v>1</v>
      </c>
      <c r="G1476" s="1" t="s">
        <v>1592</v>
      </c>
      <c r="I1476" s="1" t="s">
        <v>11473</v>
      </c>
      <c r="O1476" t="s">
        <v>22</v>
      </c>
    </row>
    <row r="1477" spans="1:15">
      <c r="A1477" t="s">
        <v>6886</v>
      </c>
      <c r="B1477" t="s">
        <v>6886</v>
      </c>
      <c r="C1477" t="s">
        <v>4638</v>
      </c>
      <c r="F1477">
        <v>1</v>
      </c>
      <c r="G1477" s="1" t="s">
        <v>1593</v>
      </c>
      <c r="I1477" s="1" t="s">
        <v>11473</v>
      </c>
      <c r="O1477" t="s">
        <v>22</v>
      </c>
    </row>
    <row r="1478" spans="1:15">
      <c r="A1478" t="s">
        <v>6888</v>
      </c>
      <c r="B1478" t="s">
        <v>6888</v>
      </c>
      <c r="C1478" t="s">
        <v>4558</v>
      </c>
      <c r="F1478">
        <v>1</v>
      </c>
      <c r="G1478" s="1" t="s">
        <v>1594</v>
      </c>
      <c r="I1478" s="1" t="s">
        <v>11473</v>
      </c>
      <c r="O1478" t="s">
        <v>22</v>
      </c>
    </row>
    <row r="1479" spans="1:15">
      <c r="A1479" t="s">
        <v>9005</v>
      </c>
      <c r="B1479" t="s">
        <v>9005</v>
      </c>
      <c r="C1479" t="s">
        <v>4558</v>
      </c>
      <c r="F1479">
        <v>1</v>
      </c>
      <c r="G1479" s="1" t="s">
        <v>1595</v>
      </c>
      <c r="I1479" s="1" t="s">
        <v>11473</v>
      </c>
      <c r="O1479" t="s">
        <v>22</v>
      </c>
    </row>
    <row r="1480" spans="1:15">
      <c r="A1480" t="s">
        <v>8585</v>
      </c>
      <c r="B1480" t="s">
        <v>8585</v>
      </c>
      <c r="C1480" t="s">
        <v>8586</v>
      </c>
      <c r="F1480">
        <v>1</v>
      </c>
      <c r="G1480" s="1" t="s">
        <v>1596</v>
      </c>
      <c r="I1480" s="1" t="s">
        <v>11473</v>
      </c>
      <c r="O1480" t="s">
        <v>22</v>
      </c>
    </row>
    <row r="1481" spans="1:15">
      <c r="A1481" t="s">
        <v>8816</v>
      </c>
      <c r="B1481" t="s">
        <v>8816</v>
      </c>
      <c r="C1481" t="s">
        <v>8586</v>
      </c>
      <c r="F1481">
        <v>1</v>
      </c>
      <c r="G1481" s="1" t="s">
        <v>1597</v>
      </c>
      <c r="I1481" s="1" t="s">
        <v>11473</v>
      </c>
      <c r="O1481" t="s">
        <v>22</v>
      </c>
    </row>
    <row r="1482" spans="1:15">
      <c r="A1482" t="s">
        <v>10075</v>
      </c>
      <c r="B1482" t="s">
        <v>10075</v>
      </c>
      <c r="C1482" t="s">
        <v>8586</v>
      </c>
      <c r="F1482">
        <v>1</v>
      </c>
      <c r="G1482" s="1" t="s">
        <v>1598</v>
      </c>
      <c r="I1482" s="1" t="s">
        <v>11473</v>
      </c>
      <c r="O1482" t="s">
        <v>22</v>
      </c>
    </row>
    <row r="1483" spans="1:15">
      <c r="A1483" t="s">
        <v>10601</v>
      </c>
      <c r="B1483" t="s">
        <v>10601</v>
      </c>
      <c r="C1483" t="s">
        <v>5373</v>
      </c>
      <c r="F1483">
        <v>1</v>
      </c>
      <c r="G1483" s="1" t="s">
        <v>1599</v>
      </c>
      <c r="I1483" s="1" t="s">
        <v>11473</v>
      </c>
      <c r="O1483" t="s">
        <v>22</v>
      </c>
    </row>
    <row r="1484" spans="1:15">
      <c r="A1484" t="s">
        <v>9467</v>
      </c>
      <c r="B1484" t="s">
        <v>9467</v>
      </c>
      <c r="C1484" t="s">
        <v>5370</v>
      </c>
      <c r="F1484">
        <v>1</v>
      </c>
      <c r="G1484" s="1" t="s">
        <v>1600</v>
      </c>
      <c r="I1484" s="1" t="s">
        <v>11473</v>
      </c>
      <c r="O1484" t="s">
        <v>22</v>
      </c>
    </row>
    <row r="1485" spans="1:15">
      <c r="A1485" t="s">
        <v>10906</v>
      </c>
      <c r="B1485" t="s">
        <v>10906</v>
      </c>
      <c r="C1485" t="s">
        <v>5370</v>
      </c>
      <c r="F1485">
        <v>1</v>
      </c>
      <c r="G1485" s="1" t="s">
        <v>1601</v>
      </c>
      <c r="I1485" s="1" t="s">
        <v>11473</v>
      </c>
      <c r="O1485" t="s">
        <v>22</v>
      </c>
    </row>
    <row r="1486" spans="1:15">
      <c r="A1486" t="s">
        <v>6825</v>
      </c>
      <c r="B1486" t="s">
        <v>6825</v>
      </c>
      <c r="C1486" t="s">
        <v>6826</v>
      </c>
      <c r="F1486">
        <v>1</v>
      </c>
      <c r="G1486" s="1" t="s">
        <v>1602</v>
      </c>
      <c r="I1486" s="1" t="s">
        <v>11473</v>
      </c>
      <c r="O1486" t="s">
        <v>22</v>
      </c>
    </row>
    <row r="1487" spans="1:15">
      <c r="A1487" t="s">
        <v>9083</v>
      </c>
      <c r="B1487" t="s">
        <v>9083</v>
      </c>
      <c r="C1487" t="s">
        <v>4639</v>
      </c>
      <c r="F1487">
        <v>1</v>
      </c>
      <c r="G1487" s="1" t="s">
        <v>1603</v>
      </c>
      <c r="I1487" s="1" t="s">
        <v>11473</v>
      </c>
      <c r="O1487" t="s">
        <v>22</v>
      </c>
    </row>
    <row r="1488" spans="1:15">
      <c r="A1488" t="s">
        <v>10371</v>
      </c>
      <c r="B1488" t="s">
        <v>10371</v>
      </c>
      <c r="C1488" t="s">
        <v>4639</v>
      </c>
      <c r="F1488">
        <v>1</v>
      </c>
      <c r="G1488" s="1" t="s">
        <v>1604</v>
      </c>
      <c r="I1488" s="1" t="s">
        <v>11473</v>
      </c>
      <c r="O1488" t="s">
        <v>22</v>
      </c>
    </row>
    <row r="1489" spans="1:15">
      <c r="A1489" t="s">
        <v>10619</v>
      </c>
      <c r="B1489" t="s">
        <v>10619</v>
      </c>
      <c r="C1489" t="s">
        <v>4639</v>
      </c>
      <c r="F1489">
        <v>1</v>
      </c>
      <c r="G1489" s="1" t="s">
        <v>1605</v>
      </c>
      <c r="I1489" s="1" t="s">
        <v>11473</v>
      </c>
      <c r="O1489" t="s">
        <v>22</v>
      </c>
    </row>
    <row r="1490" spans="1:15">
      <c r="A1490" t="s">
        <v>5403</v>
      </c>
      <c r="B1490" t="s">
        <v>5403</v>
      </c>
      <c r="C1490" t="s">
        <v>5404</v>
      </c>
      <c r="F1490">
        <v>1</v>
      </c>
      <c r="G1490" s="1" t="s">
        <v>1606</v>
      </c>
      <c r="I1490" s="1" t="s">
        <v>11473</v>
      </c>
      <c r="O1490" t="s">
        <v>22</v>
      </c>
    </row>
    <row r="1491" spans="1:15">
      <c r="A1491" t="s">
        <v>8564</v>
      </c>
      <c r="B1491" t="s">
        <v>8564</v>
      </c>
      <c r="C1491" t="s">
        <v>5369</v>
      </c>
      <c r="F1491">
        <v>1</v>
      </c>
      <c r="G1491" s="1" t="s">
        <v>1607</v>
      </c>
      <c r="I1491" s="1" t="s">
        <v>11473</v>
      </c>
      <c r="O1491" t="s">
        <v>22</v>
      </c>
    </row>
    <row r="1492" spans="1:15">
      <c r="A1492" t="s">
        <v>9439</v>
      </c>
      <c r="B1492" t="s">
        <v>9439</v>
      </c>
      <c r="C1492" t="s">
        <v>9440</v>
      </c>
      <c r="F1492">
        <v>1</v>
      </c>
      <c r="G1492" s="1" t="s">
        <v>1608</v>
      </c>
      <c r="I1492" s="1" t="s">
        <v>11473</v>
      </c>
      <c r="O1492" t="s">
        <v>22</v>
      </c>
    </row>
    <row r="1493" spans="1:15">
      <c r="A1493" t="s">
        <v>6861</v>
      </c>
      <c r="B1493" t="s">
        <v>6861</v>
      </c>
      <c r="C1493" t="s">
        <v>6862</v>
      </c>
      <c r="F1493">
        <v>1</v>
      </c>
      <c r="G1493" s="1" t="s">
        <v>1609</v>
      </c>
      <c r="I1493" s="1" t="s">
        <v>11473</v>
      </c>
      <c r="O1493" t="s">
        <v>22</v>
      </c>
    </row>
    <row r="1494" spans="1:15">
      <c r="A1494" t="s">
        <v>6863</v>
      </c>
      <c r="B1494" t="s">
        <v>6863</v>
      </c>
      <c r="C1494" t="s">
        <v>6862</v>
      </c>
      <c r="F1494">
        <v>1</v>
      </c>
      <c r="G1494" s="1" t="s">
        <v>1610</v>
      </c>
      <c r="I1494" s="1" t="s">
        <v>11473</v>
      </c>
      <c r="O1494" t="s">
        <v>22</v>
      </c>
    </row>
    <row r="1495" spans="1:15">
      <c r="A1495" t="s">
        <v>6871</v>
      </c>
      <c r="B1495" t="s">
        <v>6871</v>
      </c>
      <c r="C1495" t="s">
        <v>6862</v>
      </c>
      <c r="F1495">
        <v>1</v>
      </c>
      <c r="G1495" s="1" t="s">
        <v>1611</v>
      </c>
      <c r="I1495" s="1" t="s">
        <v>11473</v>
      </c>
      <c r="O1495" t="s">
        <v>22</v>
      </c>
    </row>
    <row r="1496" spans="1:15">
      <c r="A1496" t="s">
        <v>6884</v>
      </c>
      <c r="B1496" t="s">
        <v>6884</v>
      </c>
      <c r="C1496" t="s">
        <v>6862</v>
      </c>
      <c r="F1496">
        <v>1</v>
      </c>
      <c r="G1496" s="1" t="s">
        <v>1612</v>
      </c>
      <c r="I1496" s="1" t="s">
        <v>11473</v>
      </c>
      <c r="O1496" t="s">
        <v>22</v>
      </c>
    </row>
    <row r="1497" spans="1:15">
      <c r="A1497" t="s">
        <v>8559</v>
      </c>
      <c r="B1497" t="s">
        <v>8559</v>
      </c>
      <c r="C1497" t="s">
        <v>6862</v>
      </c>
      <c r="F1497">
        <v>1</v>
      </c>
      <c r="G1497" s="1" t="s">
        <v>1613</v>
      </c>
      <c r="I1497" s="1" t="s">
        <v>11473</v>
      </c>
      <c r="O1497" t="s">
        <v>22</v>
      </c>
    </row>
    <row r="1498" spans="1:15">
      <c r="A1498" t="s">
        <v>10602</v>
      </c>
      <c r="B1498" t="s">
        <v>10602</v>
      </c>
      <c r="C1498" t="s">
        <v>10603</v>
      </c>
      <c r="F1498">
        <v>1</v>
      </c>
      <c r="G1498" s="1" t="s">
        <v>1614</v>
      </c>
      <c r="I1498" s="1" t="s">
        <v>11473</v>
      </c>
      <c r="O1498" t="s">
        <v>22</v>
      </c>
    </row>
    <row r="1499" spans="1:15">
      <c r="A1499" t="s">
        <v>5855</v>
      </c>
      <c r="B1499" t="s">
        <v>5855</v>
      </c>
      <c r="C1499" t="s">
        <v>5856</v>
      </c>
      <c r="F1499">
        <v>1</v>
      </c>
      <c r="G1499" s="1" t="s">
        <v>1615</v>
      </c>
      <c r="I1499" s="1" t="s">
        <v>11473</v>
      </c>
      <c r="O1499" t="s">
        <v>22</v>
      </c>
    </row>
    <row r="1500" spans="1:15">
      <c r="A1500" t="s">
        <v>8575</v>
      </c>
      <c r="B1500" t="s">
        <v>8575</v>
      </c>
      <c r="C1500" t="s">
        <v>8576</v>
      </c>
      <c r="F1500">
        <v>1</v>
      </c>
      <c r="G1500" s="1" t="s">
        <v>1616</v>
      </c>
      <c r="I1500" s="1" t="s">
        <v>11473</v>
      </c>
      <c r="O1500" t="s">
        <v>22</v>
      </c>
    </row>
    <row r="1501" spans="1:15">
      <c r="A1501" t="s">
        <v>5847</v>
      </c>
      <c r="B1501" t="s">
        <v>5847</v>
      </c>
      <c r="C1501" t="s">
        <v>4750</v>
      </c>
      <c r="F1501">
        <v>1</v>
      </c>
      <c r="G1501" s="1" t="s">
        <v>1617</v>
      </c>
      <c r="I1501" s="1" t="s">
        <v>11473</v>
      </c>
      <c r="O1501" t="s">
        <v>22</v>
      </c>
    </row>
    <row r="1502" spans="1:15">
      <c r="A1502" t="s">
        <v>8642</v>
      </c>
      <c r="B1502" t="s">
        <v>8642</v>
      </c>
      <c r="C1502" t="s">
        <v>8643</v>
      </c>
      <c r="F1502">
        <v>1</v>
      </c>
      <c r="G1502" s="1" t="s">
        <v>1618</v>
      </c>
      <c r="I1502" s="1" t="s">
        <v>11473</v>
      </c>
      <c r="O1502" t="s">
        <v>22</v>
      </c>
    </row>
    <row r="1503" spans="1:15">
      <c r="A1503" t="s">
        <v>10620</v>
      </c>
      <c r="B1503" t="s">
        <v>10620</v>
      </c>
      <c r="C1503" t="s">
        <v>10621</v>
      </c>
      <c r="F1503">
        <v>1</v>
      </c>
      <c r="G1503" s="1" t="s">
        <v>1619</v>
      </c>
      <c r="I1503" s="1" t="s">
        <v>11473</v>
      </c>
      <c r="O1503" t="s">
        <v>22</v>
      </c>
    </row>
    <row r="1504" spans="1:15">
      <c r="A1504" t="s">
        <v>10113</v>
      </c>
      <c r="B1504" t="s">
        <v>10113</v>
      </c>
      <c r="C1504" t="s">
        <v>10114</v>
      </c>
      <c r="F1504">
        <v>1</v>
      </c>
      <c r="G1504" s="1" t="s">
        <v>1620</v>
      </c>
      <c r="I1504" s="1" t="s">
        <v>11473</v>
      </c>
      <c r="O1504" t="s">
        <v>22</v>
      </c>
    </row>
    <row r="1505" spans="1:15">
      <c r="A1505" t="s">
        <v>5848</v>
      </c>
      <c r="B1505" t="s">
        <v>5848</v>
      </c>
      <c r="C1505" t="s">
        <v>5849</v>
      </c>
      <c r="F1505">
        <v>1</v>
      </c>
      <c r="G1505" s="1" t="s">
        <v>1621</v>
      </c>
      <c r="I1505" s="1" t="s">
        <v>11473</v>
      </c>
      <c r="O1505" t="s">
        <v>22</v>
      </c>
    </row>
    <row r="1506" spans="1:15">
      <c r="A1506" t="s">
        <v>10644</v>
      </c>
      <c r="B1506" t="s">
        <v>10644</v>
      </c>
      <c r="C1506" t="s">
        <v>10645</v>
      </c>
      <c r="F1506">
        <v>1</v>
      </c>
      <c r="G1506" s="1" t="s">
        <v>1622</v>
      </c>
      <c r="I1506" s="1" t="s">
        <v>11473</v>
      </c>
      <c r="O1506" t="s">
        <v>22</v>
      </c>
    </row>
    <row r="1507" spans="1:15">
      <c r="A1507" t="s">
        <v>6170</v>
      </c>
      <c r="B1507" t="s">
        <v>6170</v>
      </c>
      <c r="C1507" t="s">
        <v>6171</v>
      </c>
      <c r="F1507">
        <v>1</v>
      </c>
      <c r="G1507" s="1" t="s">
        <v>1623</v>
      </c>
      <c r="I1507" s="1" t="s">
        <v>11473</v>
      </c>
      <c r="O1507" t="s">
        <v>22</v>
      </c>
    </row>
    <row r="1508" spans="1:15">
      <c r="A1508" t="s">
        <v>6878</v>
      </c>
      <c r="B1508" t="s">
        <v>6878</v>
      </c>
      <c r="C1508" t="s">
        <v>6171</v>
      </c>
      <c r="F1508">
        <v>1</v>
      </c>
      <c r="G1508" s="1" t="s">
        <v>1624</v>
      </c>
      <c r="I1508" s="1" t="s">
        <v>11473</v>
      </c>
      <c r="O1508" t="s">
        <v>22</v>
      </c>
    </row>
    <row r="1509" spans="1:15">
      <c r="A1509" t="s">
        <v>8562</v>
      </c>
      <c r="B1509" t="s">
        <v>8562</v>
      </c>
      <c r="C1509" t="s">
        <v>6171</v>
      </c>
      <c r="F1509">
        <v>1</v>
      </c>
      <c r="G1509" s="1" t="s">
        <v>1625</v>
      </c>
      <c r="I1509" s="1" t="s">
        <v>11473</v>
      </c>
      <c r="O1509" t="s">
        <v>22</v>
      </c>
    </row>
    <row r="1510" spans="1:15">
      <c r="A1510" t="s">
        <v>6866</v>
      </c>
      <c r="B1510" t="s">
        <v>6866</v>
      </c>
      <c r="C1510" t="s">
        <v>4747</v>
      </c>
      <c r="F1510">
        <v>1</v>
      </c>
      <c r="G1510" s="1" t="s">
        <v>1626</v>
      </c>
      <c r="I1510" s="1" t="s">
        <v>11473</v>
      </c>
      <c r="O1510" t="s">
        <v>22</v>
      </c>
    </row>
    <row r="1511" spans="1:15">
      <c r="A1511" t="s">
        <v>9682</v>
      </c>
      <c r="B1511" t="s">
        <v>9682</v>
      </c>
      <c r="C1511" t="s">
        <v>4747</v>
      </c>
      <c r="F1511">
        <v>1</v>
      </c>
      <c r="G1511" s="1" t="s">
        <v>1627</v>
      </c>
      <c r="I1511" s="1" t="s">
        <v>11473</v>
      </c>
      <c r="O1511" t="s">
        <v>22</v>
      </c>
    </row>
    <row r="1512" spans="1:15">
      <c r="A1512" t="s">
        <v>8526</v>
      </c>
      <c r="B1512" t="s">
        <v>8526</v>
      </c>
      <c r="C1512" t="s">
        <v>5009</v>
      </c>
      <c r="F1512">
        <v>1</v>
      </c>
      <c r="G1512" s="1" t="s">
        <v>1628</v>
      </c>
      <c r="I1512" s="1" t="s">
        <v>11473</v>
      </c>
      <c r="O1512" t="s">
        <v>22</v>
      </c>
    </row>
    <row r="1513" spans="1:15">
      <c r="A1513" t="s">
        <v>10624</v>
      </c>
      <c r="B1513" t="s">
        <v>10624</v>
      </c>
      <c r="C1513" t="s">
        <v>5009</v>
      </c>
      <c r="F1513">
        <v>1</v>
      </c>
      <c r="G1513" s="1" t="s">
        <v>1629</v>
      </c>
      <c r="I1513" s="1" t="s">
        <v>11473</v>
      </c>
      <c r="O1513" t="s">
        <v>22</v>
      </c>
    </row>
    <row r="1514" spans="1:15">
      <c r="A1514" t="s">
        <v>6881</v>
      </c>
      <c r="B1514" t="s">
        <v>6881</v>
      </c>
      <c r="C1514" t="s">
        <v>6882</v>
      </c>
      <c r="F1514">
        <v>1</v>
      </c>
      <c r="G1514" s="1" t="s">
        <v>1630</v>
      </c>
      <c r="I1514" s="1" t="s">
        <v>11473</v>
      </c>
      <c r="O1514" t="s">
        <v>22</v>
      </c>
    </row>
    <row r="1515" spans="1:15">
      <c r="A1515" t="s">
        <v>7518</v>
      </c>
      <c r="B1515" t="s">
        <v>7518</v>
      </c>
      <c r="C1515" t="s">
        <v>4640</v>
      </c>
      <c r="F1515">
        <v>1</v>
      </c>
      <c r="G1515" s="1" t="s">
        <v>1631</v>
      </c>
      <c r="I1515" s="1" t="s">
        <v>11473</v>
      </c>
      <c r="O1515" t="s">
        <v>22</v>
      </c>
    </row>
    <row r="1516" spans="1:15">
      <c r="A1516" t="s">
        <v>9309</v>
      </c>
      <c r="B1516" t="s">
        <v>9309</v>
      </c>
      <c r="C1516" t="s">
        <v>4640</v>
      </c>
      <c r="F1516">
        <v>1</v>
      </c>
      <c r="G1516" s="1" t="s">
        <v>1632</v>
      </c>
      <c r="I1516" s="1" t="s">
        <v>11473</v>
      </c>
      <c r="O1516" t="s">
        <v>22</v>
      </c>
    </row>
    <row r="1517" spans="1:15">
      <c r="A1517" t="s">
        <v>10595</v>
      </c>
      <c r="B1517" t="s">
        <v>10595</v>
      </c>
      <c r="C1517" t="s">
        <v>4640</v>
      </c>
      <c r="F1517">
        <v>1</v>
      </c>
      <c r="G1517" s="1" t="s">
        <v>1633</v>
      </c>
      <c r="I1517" s="1" t="s">
        <v>11473</v>
      </c>
      <c r="O1517" t="s">
        <v>22</v>
      </c>
    </row>
    <row r="1518" spans="1:15">
      <c r="A1518" t="s">
        <v>10642</v>
      </c>
      <c r="B1518" t="s">
        <v>10642</v>
      </c>
      <c r="C1518" t="s">
        <v>4640</v>
      </c>
      <c r="F1518">
        <v>1</v>
      </c>
      <c r="G1518" s="1" t="s">
        <v>1634</v>
      </c>
      <c r="I1518" s="1" t="s">
        <v>11473</v>
      </c>
      <c r="O1518" t="s">
        <v>22</v>
      </c>
    </row>
    <row r="1519" spans="1:15">
      <c r="A1519" t="s">
        <v>10632</v>
      </c>
      <c r="B1519" t="s">
        <v>10632</v>
      </c>
      <c r="C1519" t="s">
        <v>10633</v>
      </c>
      <c r="F1519">
        <v>1</v>
      </c>
      <c r="G1519" s="1" t="s">
        <v>1635</v>
      </c>
      <c r="I1519" s="1" t="s">
        <v>11473</v>
      </c>
      <c r="O1519" t="s">
        <v>22</v>
      </c>
    </row>
    <row r="1520" spans="1:15">
      <c r="A1520" t="s">
        <v>6870</v>
      </c>
      <c r="B1520" t="s">
        <v>6870</v>
      </c>
      <c r="C1520" t="s">
        <v>4742</v>
      </c>
      <c r="F1520">
        <v>1</v>
      </c>
      <c r="G1520" s="1" t="s">
        <v>1636</v>
      </c>
      <c r="I1520" s="1" t="s">
        <v>11473</v>
      </c>
      <c r="O1520" t="s">
        <v>22</v>
      </c>
    </row>
    <row r="1521" spans="1:15">
      <c r="A1521" t="s">
        <v>5852</v>
      </c>
      <c r="B1521" t="s">
        <v>5852</v>
      </c>
      <c r="C1521" t="s">
        <v>5853</v>
      </c>
      <c r="F1521">
        <v>1</v>
      </c>
      <c r="G1521" s="1" t="s">
        <v>1637</v>
      </c>
      <c r="I1521" s="1" t="s">
        <v>11473</v>
      </c>
      <c r="O1521" t="s">
        <v>22</v>
      </c>
    </row>
    <row r="1522" spans="1:15">
      <c r="A1522" t="s">
        <v>9453</v>
      </c>
      <c r="B1522" t="s">
        <v>9453</v>
      </c>
      <c r="C1522" t="s">
        <v>9454</v>
      </c>
      <c r="F1522">
        <v>1</v>
      </c>
      <c r="G1522" s="1" t="s">
        <v>1638</v>
      </c>
      <c r="I1522" s="1" t="s">
        <v>11473</v>
      </c>
      <c r="O1522" t="s">
        <v>22</v>
      </c>
    </row>
    <row r="1523" spans="1:15">
      <c r="A1523" t="s">
        <v>10612</v>
      </c>
      <c r="B1523" t="s">
        <v>10612</v>
      </c>
      <c r="C1523" t="s">
        <v>4641</v>
      </c>
      <c r="F1523">
        <v>1</v>
      </c>
      <c r="G1523" s="1" t="s">
        <v>1639</v>
      </c>
      <c r="I1523" s="1" t="s">
        <v>11473</v>
      </c>
      <c r="O1523" t="s">
        <v>22</v>
      </c>
    </row>
    <row r="1524" spans="1:15">
      <c r="A1524" t="s">
        <v>8554</v>
      </c>
      <c r="B1524" t="s">
        <v>8554</v>
      </c>
      <c r="C1524" t="s">
        <v>8555</v>
      </c>
      <c r="F1524">
        <v>1</v>
      </c>
      <c r="G1524" s="1" t="s">
        <v>1640</v>
      </c>
      <c r="I1524" s="1" t="s">
        <v>11473</v>
      </c>
      <c r="O1524" t="s">
        <v>22</v>
      </c>
    </row>
    <row r="1525" spans="1:15">
      <c r="A1525" t="s">
        <v>5850</v>
      </c>
      <c r="B1525" t="s">
        <v>5850</v>
      </c>
      <c r="C1525" t="s">
        <v>5851</v>
      </c>
      <c r="F1525">
        <v>1</v>
      </c>
      <c r="G1525" s="1" t="s">
        <v>1641</v>
      </c>
      <c r="I1525" s="1" t="s">
        <v>11473</v>
      </c>
      <c r="O1525" t="s">
        <v>22</v>
      </c>
    </row>
    <row r="1526" spans="1:15">
      <c r="A1526" t="s">
        <v>6447</v>
      </c>
      <c r="B1526" t="s">
        <v>6447</v>
      </c>
      <c r="C1526" t="s">
        <v>6448</v>
      </c>
      <c r="F1526">
        <v>1</v>
      </c>
      <c r="G1526" s="1" t="s">
        <v>1642</v>
      </c>
      <c r="I1526" s="1" t="s">
        <v>11473</v>
      </c>
      <c r="O1526" t="s">
        <v>22</v>
      </c>
    </row>
    <row r="1527" spans="1:15">
      <c r="A1527" t="s">
        <v>11469</v>
      </c>
      <c r="B1527" t="s">
        <v>11469</v>
      </c>
      <c r="C1527" t="s">
        <v>6448</v>
      </c>
      <c r="F1527">
        <v>1</v>
      </c>
      <c r="G1527" s="1" t="s">
        <v>1643</v>
      </c>
      <c r="I1527" s="1" t="s">
        <v>11473</v>
      </c>
      <c r="O1527" t="s">
        <v>22</v>
      </c>
    </row>
    <row r="1528" spans="1:15">
      <c r="A1528" t="s">
        <v>5845</v>
      </c>
      <c r="B1528" t="s">
        <v>5845</v>
      </c>
      <c r="C1528" t="s">
        <v>5846</v>
      </c>
      <c r="F1528">
        <v>1</v>
      </c>
      <c r="G1528" s="1" t="s">
        <v>1644</v>
      </c>
      <c r="I1528" s="1" t="s">
        <v>11473</v>
      </c>
      <c r="O1528" t="s">
        <v>22</v>
      </c>
    </row>
    <row r="1529" spans="1:15">
      <c r="A1529" t="s">
        <v>10447</v>
      </c>
      <c r="B1529" t="s">
        <v>10447</v>
      </c>
      <c r="C1529" t="s">
        <v>10448</v>
      </c>
      <c r="F1529">
        <v>1</v>
      </c>
      <c r="G1529" s="1" t="s">
        <v>1645</v>
      </c>
      <c r="I1529" s="1" t="s">
        <v>11473</v>
      </c>
      <c r="O1529" t="s">
        <v>22</v>
      </c>
    </row>
    <row r="1530" spans="1:15">
      <c r="A1530" t="s">
        <v>6073</v>
      </c>
      <c r="B1530" t="s">
        <v>6073</v>
      </c>
      <c r="C1530" t="s">
        <v>6074</v>
      </c>
      <c r="F1530">
        <v>1</v>
      </c>
      <c r="G1530" s="1" t="s">
        <v>1646</v>
      </c>
      <c r="I1530" s="1" t="s">
        <v>11473</v>
      </c>
      <c r="O1530" t="s">
        <v>22</v>
      </c>
    </row>
    <row r="1531" spans="1:15">
      <c r="A1531" t="s">
        <v>7119</v>
      </c>
      <c r="B1531" t="s">
        <v>7119</v>
      </c>
      <c r="C1531" t="s">
        <v>6074</v>
      </c>
      <c r="F1531">
        <v>1</v>
      </c>
      <c r="G1531" s="1" t="s">
        <v>1647</v>
      </c>
      <c r="I1531" s="1" t="s">
        <v>11473</v>
      </c>
      <c r="O1531" t="s">
        <v>22</v>
      </c>
    </row>
    <row r="1532" spans="1:15">
      <c r="A1532" t="s">
        <v>8545</v>
      </c>
      <c r="B1532" t="s">
        <v>8545</v>
      </c>
      <c r="C1532" t="s">
        <v>6074</v>
      </c>
      <c r="F1532">
        <v>1</v>
      </c>
      <c r="G1532" s="1" t="s">
        <v>1648</v>
      </c>
      <c r="I1532" s="1" t="s">
        <v>11473</v>
      </c>
      <c r="O1532" t="s">
        <v>22</v>
      </c>
    </row>
    <row r="1533" spans="1:15">
      <c r="A1533" t="s">
        <v>8546</v>
      </c>
      <c r="B1533" t="s">
        <v>8546</v>
      </c>
      <c r="C1533" t="s">
        <v>6074</v>
      </c>
      <c r="F1533">
        <v>1</v>
      </c>
      <c r="G1533" s="1" t="s">
        <v>1649</v>
      </c>
      <c r="I1533" s="1" t="s">
        <v>11473</v>
      </c>
      <c r="O1533" t="s">
        <v>22</v>
      </c>
    </row>
    <row r="1534" spans="1:15">
      <c r="A1534" t="s">
        <v>9445</v>
      </c>
      <c r="B1534" t="s">
        <v>9445</v>
      </c>
      <c r="C1534" t="s">
        <v>9447</v>
      </c>
      <c r="F1534">
        <v>1</v>
      </c>
      <c r="G1534" s="1" t="s">
        <v>1650</v>
      </c>
      <c r="I1534" s="1" t="s">
        <v>11473</v>
      </c>
      <c r="O1534" t="s">
        <v>22</v>
      </c>
    </row>
    <row r="1535" spans="1:15">
      <c r="A1535" t="s">
        <v>9830</v>
      </c>
      <c r="B1535" t="s">
        <v>9830</v>
      </c>
      <c r="C1535" t="s">
        <v>5357</v>
      </c>
      <c r="F1535">
        <v>1</v>
      </c>
      <c r="G1535" s="1" t="s">
        <v>1651</v>
      </c>
      <c r="I1535" s="1" t="s">
        <v>11473</v>
      </c>
      <c r="O1535" t="s">
        <v>22</v>
      </c>
    </row>
    <row r="1536" spans="1:15">
      <c r="A1536" t="s">
        <v>10609</v>
      </c>
      <c r="B1536" t="s">
        <v>10609</v>
      </c>
      <c r="C1536" t="s">
        <v>10610</v>
      </c>
      <c r="F1536">
        <v>1</v>
      </c>
      <c r="G1536" s="1" t="s">
        <v>1652</v>
      </c>
      <c r="I1536" s="1" t="s">
        <v>11473</v>
      </c>
      <c r="O1536" t="s">
        <v>22</v>
      </c>
    </row>
    <row r="1537" spans="1:15">
      <c r="A1537" t="s">
        <v>8541</v>
      </c>
      <c r="B1537" t="s">
        <v>8541</v>
      </c>
      <c r="C1537" t="s">
        <v>8542</v>
      </c>
      <c r="F1537">
        <v>1</v>
      </c>
      <c r="G1537" s="1" t="s">
        <v>1653</v>
      </c>
      <c r="I1537" s="1" t="s">
        <v>11473</v>
      </c>
      <c r="O1537" t="s">
        <v>22</v>
      </c>
    </row>
    <row r="1538" spans="1:15">
      <c r="A1538" t="s">
        <v>8584</v>
      </c>
      <c r="B1538" t="s">
        <v>8584</v>
      </c>
      <c r="C1538" t="s">
        <v>4740</v>
      </c>
      <c r="F1538">
        <v>1</v>
      </c>
      <c r="G1538" s="1" t="s">
        <v>1654</v>
      </c>
      <c r="I1538" s="1" t="s">
        <v>11473</v>
      </c>
      <c r="O1538" t="s">
        <v>22</v>
      </c>
    </row>
    <row r="1539" spans="1:15">
      <c r="A1539" t="s">
        <v>10637</v>
      </c>
      <c r="B1539" t="s">
        <v>10637</v>
      </c>
      <c r="C1539" t="s">
        <v>4740</v>
      </c>
      <c r="F1539">
        <v>1</v>
      </c>
      <c r="G1539" s="1" t="s">
        <v>1655</v>
      </c>
      <c r="I1539" s="1" t="s">
        <v>11473</v>
      </c>
      <c r="O1539" t="s">
        <v>22</v>
      </c>
    </row>
    <row r="1540" spans="1:15">
      <c r="A1540" t="s">
        <v>10597</v>
      </c>
      <c r="B1540" t="s">
        <v>10597</v>
      </c>
      <c r="C1540" t="s">
        <v>10598</v>
      </c>
      <c r="F1540">
        <v>1</v>
      </c>
      <c r="G1540" s="1" t="s">
        <v>1656</v>
      </c>
      <c r="I1540" s="1" t="s">
        <v>11473</v>
      </c>
      <c r="O1540" t="s">
        <v>22</v>
      </c>
    </row>
    <row r="1541" spans="1:15">
      <c r="A1541" t="s">
        <v>8548</v>
      </c>
      <c r="B1541" t="s">
        <v>8548</v>
      </c>
      <c r="C1541" t="s">
        <v>8549</v>
      </c>
      <c r="F1541">
        <v>1</v>
      </c>
      <c r="G1541" s="1" t="s">
        <v>1657</v>
      </c>
      <c r="I1541" s="1" t="s">
        <v>11473</v>
      </c>
      <c r="O1541" t="s">
        <v>22</v>
      </c>
    </row>
    <row r="1542" spans="1:15">
      <c r="A1542" t="s">
        <v>8547</v>
      </c>
      <c r="B1542" t="s">
        <v>8547</v>
      </c>
      <c r="C1542" t="s">
        <v>4182</v>
      </c>
      <c r="F1542">
        <v>1</v>
      </c>
      <c r="G1542" s="1" t="s">
        <v>1658</v>
      </c>
      <c r="I1542" s="1" t="s">
        <v>11473</v>
      </c>
      <c r="O1542" t="s">
        <v>22</v>
      </c>
    </row>
    <row r="1543" spans="1:15">
      <c r="A1543" t="s">
        <v>6847</v>
      </c>
      <c r="B1543" t="s">
        <v>6847</v>
      </c>
      <c r="C1543" t="s">
        <v>6848</v>
      </c>
      <c r="F1543">
        <v>1</v>
      </c>
      <c r="G1543" s="1" t="s">
        <v>1659</v>
      </c>
      <c r="I1543" s="1" t="s">
        <v>11473</v>
      </c>
      <c r="O1543" t="s">
        <v>22</v>
      </c>
    </row>
    <row r="1544" spans="1:15">
      <c r="A1544" t="s">
        <v>8565</v>
      </c>
      <c r="B1544" t="s">
        <v>8565</v>
      </c>
      <c r="C1544" t="s">
        <v>5000</v>
      </c>
      <c r="F1544">
        <v>1</v>
      </c>
      <c r="G1544" s="1" t="s">
        <v>1660</v>
      </c>
      <c r="I1544" s="1" t="s">
        <v>11473</v>
      </c>
      <c r="O1544" t="s">
        <v>22</v>
      </c>
    </row>
    <row r="1545" spans="1:15">
      <c r="A1545" t="s">
        <v>6340</v>
      </c>
      <c r="B1545" t="s">
        <v>6340</v>
      </c>
      <c r="C1545" t="s">
        <v>6341</v>
      </c>
      <c r="F1545">
        <v>1</v>
      </c>
      <c r="G1545" s="1" t="s">
        <v>1661</v>
      </c>
      <c r="I1545" s="1" t="s">
        <v>11473</v>
      </c>
      <c r="O1545" t="s">
        <v>22</v>
      </c>
    </row>
    <row r="1546" spans="1:15">
      <c r="A1546" t="s">
        <v>9437</v>
      </c>
      <c r="B1546" t="s">
        <v>9437</v>
      </c>
      <c r="C1546" t="s">
        <v>6341</v>
      </c>
      <c r="F1546">
        <v>1</v>
      </c>
      <c r="G1546" s="1" t="s">
        <v>1662</v>
      </c>
      <c r="I1546" s="1" t="s">
        <v>11473</v>
      </c>
      <c r="O1546" t="s">
        <v>22</v>
      </c>
    </row>
    <row r="1547" spans="1:15">
      <c r="A1547" t="s">
        <v>10336</v>
      </c>
      <c r="B1547" t="s">
        <v>10336</v>
      </c>
      <c r="C1547" t="s">
        <v>4453</v>
      </c>
      <c r="F1547">
        <v>1</v>
      </c>
      <c r="G1547" s="1" t="s">
        <v>1663</v>
      </c>
      <c r="I1547" s="1" t="s">
        <v>11473</v>
      </c>
      <c r="O1547" t="s">
        <v>22</v>
      </c>
    </row>
    <row r="1548" spans="1:15">
      <c r="A1548" t="s">
        <v>8581</v>
      </c>
      <c r="B1548" t="s">
        <v>8581</v>
      </c>
      <c r="C1548" t="s">
        <v>4454</v>
      </c>
      <c r="F1548">
        <v>1</v>
      </c>
      <c r="G1548" s="1" t="s">
        <v>1664</v>
      </c>
      <c r="I1548" s="1" t="s">
        <v>11473</v>
      </c>
      <c r="O1548" t="s">
        <v>22</v>
      </c>
    </row>
    <row r="1549" spans="1:15">
      <c r="A1549" t="s">
        <v>8543</v>
      </c>
      <c r="B1549" t="s">
        <v>8543</v>
      </c>
      <c r="C1549" t="s">
        <v>8544</v>
      </c>
      <c r="F1549">
        <v>1</v>
      </c>
      <c r="G1549" s="1" t="s">
        <v>1665</v>
      </c>
      <c r="I1549" s="1" t="s">
        <v>11473</v>
      </c>
      <c r="O1549" t="s">
        <v>22</v>
      </c>
    </row>
    <row r="1550" spans="1:15">
      <c r="A1550" t="s">
        <v>9020</v>
      </c>
      <c r="B1550" t="s">
        <v>9020</v>
      </c>
      <c r="C1550" t="s">
        <v>9021</v>
      </c>
      <c r="F1550">
        <v>1</v>
      </c>
      <c r="G1550" s="1" t="s">
        <v>1666</v>
      </c>
      <c r="I1550" s="1" t="s">
        <v>11473</v>
      </c>
      <c r="O1550" t="s">
        <v>22</v>
      </c>
    </row>
    <row r="1551" spans="1:15">
      <c r="A1551" t="s">
        <v>6986</v>
      </c>
      <c r="B1551" t="s">
        <v>6986</v>
      </c>
      <c r="C1551" t="s">
        <v>6987</v>
      </c>
      <c r="F1551">
        <v>1</v>
      </c>
      <c r="G1551" s="1" t="s">
        <v>1667</v>
      </c>
      <c r="I1551" s="1" t="s">
        <v>11473</v>
      </c>
      <c r="O1551" t="s">
        <v>22</v>
      </c>
    </row>
    <row r="1552" spans="1:15">
      <c r="A1552" t="s">
        <v>10641</v>
      </c>
      <c r="B1552" t="s">
        <v>10641</v>
      </c>
      <c r="C1552" t="s">
        <v>6987</v>
      </c>
      <c r="F1552">
        <v>1</v>
      </c>
      <c r="G1552" s="1" t="s">
        <v>1668</v>
      </c>
      <c r="I1552" s="1" t="s">
        <v>11473</v>
      </c>
      <c r="O1552" t="s">
        <v>22</v>
      </c>
    </row>
    <row r="1553" spans="1:15">
      <c r="A1553" t="s">
        <v>6850</v>
      </c>
      <c r="B1553" t="s">
        <v>6850</v>
      </c>
      <c r="C1553" t="s">
        <v>6851</v>
      </c>
      <c r="F1553">
        <v>1</v>
      </c>
      <c r="G1553" s="1" t="s">
        <v>1669</v>
      </c>
      <c r="I1553" s="1" t="s">
        <v>11473</v>
      </c>
      <c r="O1553" t="s">
        <v>22</v>
      </c>
    </row>
    <row r="1554" spans="1:15">
      <c r="A1554" t="s">
        <v>6867</v>
      </c>
      <c r="B1554" t="s">
        <v>6867</v>
      </c>
      <c r="C1554" t="s">
        <v>6868</v>
      </c>
      <c r="F1554">
        <v>1</v>
      </c>
      <c r="G1554" s="1" t="s">
        <v>1670</v>
      </c>
      <c r="I1554" s="1" t="s">
        <v>11473</v>
      </c>
      <c r="O1554" t="s">
        <v>22</v>
      </c>
    </row>
    <row r="1555" spans="1:15">
      <c r="A1555" t="s">
        <v>8583</v>
      </c>
      <c r="B1555" t="s">
        <v>8583</v>
      </c>
      <c r="C1555" t="s">
        <v>6868</v>
      </c>
      <c r="F1555">
        <v>1</v>
      </c>
      <c r="G1555" s="1" t="s">
        <v>1671</v>
      </c>
      <c r="I1555" s="1" t="s">
        <v>11473</v>
      </c>
      <c r="O1555" t="s">
        <v>22</v>
      </c>
    </row>
    <row r="1556" spans="1:15">
      <c r="A1556" t="s">
        <v>5558</v>
      </c>
      <c r="B1556" t="s">
        <v>5558</v>
      </c>
      <c r="C1556" t="s">
        <v>5559</v>
      </c>
      <c r="F1556">
        <v>1</v>
      </c>
      <c r="G1556" s="1" t="s">
        <v>1672</v>
      </c>
      <c r="I1556" s="1" t="s">
        <v>11473</v>
      </c>
      <c r="O1556" t="s">
        <v>22</v>
      </c>
    </row>
    <row r="1557" spans="1:15">
      <c r="A1557" t="s">
        <v>10631</v>
      </c>
      <c r="B1557" t="s">
        <v>10631</v>
      </c>
      <c r="C1557" t="s">
        <v>4555</v>
      </c>
      <c r="F1557">
        <v>1</v>
      </c>
      <c r="G1557" s="1" t="s">
        <v>1673</v>
      </c>
      <c r="I1557" s="1" t="s">
        <v>11473</v>
      </c>
      <c r="O1557" t="s">
        <v>22</v>
      </c>
    </row>
    <row r="1558" spans="1:15">
      <c r="A1558" t="s">
        <v>8539</v>
      </c>
      <c r="B1558" t="s">
        <v>8539</v>
      </c>
      <c r="C1558" t="s">
        <v>8540</v>
      </c>
      <c r="F1558">
        <v>1</v>
      </c>
      <c r="G1558" s="1" t="s">
        <v>1674</v>
      </c>
      <c r="I1558" s="1" t="s">
        <v>11473</v>
      </c>
      <c r="O1558" t="s">
        <v>22</v>
      </c>
    </row>
    <row r="1559" spans="1:15">
      <c r="A1559" t="s">
        <v>6849</v>
      </c>
      <c r="B1559" t="s">
        <v>6849</v>
      </c>
      <c r="C1559" t="s">
        <v>4898</v>
      </c>
      <c r="F1559">
        <v>1</v>
      </c>
      <c r="G1559" s="1" t="s">
        <v>1675</v>
      </c>
      <c r="I1559" s="1" t="s">
        <v>11473</v>
      </c>
      <c r="O1559" t="s">
        <v>22</v>
      </c>
    </row>
    <row r="1560" spans="1:15">
      <c r="A1560" t="s">
        <v>6857</v>
      </c>
      <c r="B1560" t="s">
        <v>6857</v>
      </c>
      <c r="C1560" t="s">
        <v>4370</v>
      </c>
      <c r="F1560">
        <v>1</v>
      </c>
      <c r="G1560" s="1" t="s">
        <v>1676</v>
      </c>
      <c r="I1560" s="1" t="s">
        <v>11473</v>
      </c>
      <c r="O1560" t="s">
        <v>22</v>
      </c>
    </row>
    <row r="1561" spans="1:15">
      <c r="A1561" t="s">
        <v>10638</v>
      </c>
      <c r="B1561" t="s">
        <v>10638</v>
      </c>
      <c r="C1561" t="s">
        <v>4370</v>
      </c>
      <c r="F1561">
        <v>1</v>
      </c>
      <c r="G1561" s="1" t="s">
        <v>1677</v>
      </c>
      <c r="I1561" s="1" t="s">
        <v>11473</v>
      </c>
      <c r="O1561" t="s">
        <v>22</v>
      </c>
    </row>
    <row r="1562" spans="1:15">
      <c r="A1562" t="s">
        <v>6856</v>
      </c>
      <c r="B1562" t="s">
        <v>6856</v>
      </c>
      <c r="C1562" t="s">
        <v>4562</v>
      </c>
      <c r="F1562">
        <v>1</v>
      </c>
      <c r="G1562" s="1" t="s">
        <v>1678</v>
      </c>
      <c r="I1562" s="1" t="s">
        <v>11473</v>
      </c>
      <c r="O1562" t="s">
        <v>22</v>
      </c>
    </row>
    <row r="1563" spans="1:15">
      <c r="A1563" t="s">
        <v>8536</v>
      </c>
      <c r="B1563" t="s">
        <v>8536</v>
      </c>
      <c r="C1563" t="s">
        <v>8537</v>
      </c>
      <c r="F1563">
        <v>1</v>
      </c>
      <c r="G1563" s="1" t="s">
        <v>1679</v>
      </c>
      <c r="I1563" s="1" t="s">
        <v>11473</v>
      </c>
      <c r="O1563" t="s">
        <v>22</v>
      </c>
    </row>
    <row r="1564" spans="1:15">
      <c r="A1564" t="s">
        <v>8587</v>
      </c>
      <c r="B1564" t="s">
        <v>8587</v>
      </c>
      <c r="C1564" t="s">
        <v>4563</v>
      </c>
      <c r="F1564">
        <v>1</v>
      </c>
      <c r="G1564" s="1" t="s">
        <v>1680</v>
      </c>
      <c r="I1564" s="1" t="s">
        <v>11473</v>
      </c>
      <c r="O1564" t="s">
        <v>22</v>
      </c>
    </row>
    <row r="1565" spans="1:15">
      <c r="A1565" t="s">
        <v>10613</v>
      </c>
      <c r="B1565" t="s">
        <v>10613</v>
      </c>
      <c r="C1565" t="s">
        <v>10614</v>
      </c>
      <c r="F1565">
        <v>1</v>
      </c>
      <c r="G1565" s="1" t="s">
        <v>1681</v>
      </c>
      <c r="I1565" s="1" t="s">
        <v>11473</v>
      </c>
      <c r="O1565" t="s">
        <v>22</v>
      </c>
    </row>
    <row r="1566" spans="1:15">
      <c r="A1566" t="s">
        <v>8571</v>
      </c>
      <c r="B1566" t="s">
        <v>8571</v>
      </c>
      <c r="C1566" t="s">
        <v>8572</v>
      </c>
      <c r="F1566">
        <v>1</v>
      </c>
      <c r="G1566" s="1" t="s">
        <v>1682</v>
      </c>
      <c r="I1566" s="1" t="s">
        <v>11473</v>
      </c>
      <c r="O1566" t="s">
        <v>22</v>
      </c>
    </row>
    <row r="1567" spans="1:15">
      <c r="A1567" t="s">
        <v>9463</v>
      </c>
      <c r="B1567" t="s">
        <v>9463</v>
      </c>
      <c r="C1567" t="s">
        <v>8572</v>
      </c>
      <c r="F1567">
        <v>1</v>
      </c>
      <c r="G1567" s="1" t="s">
        <v>1683</v>
      </c>
      <c r="I1567" s="1" t="s">
        <v>11473</v>
      </c>
      <c r="O1567" t="s">
        <v>22</v>
      </c>
    </row>
    <row r="1568" spans="1:15">
      <c r="A1568" t="s">
        <v>10888</v>
      </c>
      <c r="B1568" t="s">
        <v>10888</v>
      </c>
      <c r="C1568" t="s">
        <v>10889</v>
      </c>
      <c r="F1568">
        <v>1</v>
      </c>
      <c r="G1568" s="1" t="s">
        <v>1684</v>
      </c>
      <c r="I1568" s="1" t="s">
        <v>11473</v>
      </c>
      <c r="O1568" t="s">
        <v>22</v>
      </c>
    </row>
    <row r="1569" spans="1:15">
      <c r="A1569" t="s">
        <v>8551</v>
      </c>
      <c r="B1569" t="s">
        <v>8551</v>
      </c>
      <c r="C1569" t="s">
        <v>8552</v>
      </c>
      <c r="F1569">
        <v>1</v>
      </c>
      <c r="G1569" s="1" t="s">
        <v>1685</v>
      </c>
      <c r="I1569" s="1" t="s">
        <v>11473</v>
      </c>
      <c r="O1569" t="s">
        <v>22</v>
      </c>
    </row>
    <row r="1570" spans="1:15">
      <c r="A1570" t="s">
        <v>8530</v>
      </c>
      <c r="B1570" t="s">
        <v>8530</v>
      </c>
      <c r="C1570" t="s">
        <v>4559</v>
      </c>
      <c r="F1570">
        <v>1</v>
      </c>
      <c r="G1570" s="1" t="s">
        <v>1686</v>
      </c>
      <c r="I1570" s="1" t="s">
        <v>11473</v>
      </c>
      <c r="O1570" t="s">
        <v>22</v>
      </c>
    </row>
    <row r="1571" spans="1:15">
      <c r="A1571" t="s">
        <v>8538</v>
      </c>
      <c r="B1571" t="s">
        <v>8538</v>
      </c>
      <c r="C1571" t="s">
        <v>5368</v>
      </c>
      <c r="F1571">
        <v>1</v>
      </c>
      <c r="G1571" s="1" t="s">
        <v>1687</v>
      </c>
      <c r="I1571" s="1" t="s">
        <v>11473</v>
      </c>
      <c r="O1571" t="s">
        <v>22</v>
      </c>
    </row>
    <row r="1572" spans="1:15">
      <c r="A1572" t="s">
        <v>6883</v>
      </c>
      <c r="B1572" t="s">
        <v>6883</v>
      </c>
      <c r="C1572" t="s">
        <v>4452</v>
      </c>
      <c r="F1572">
        <v>1</v>
      </c>
      <c r="G1572" s="1" t="s">
        <v>1688</v>
      </c>
      <c r="I1572" s="1" t="s">
        <v>11473</v>
      </c>
      <c r="O1572" t="s">
        <v>22</v>
      </c>
    </row>
    <row r="1573" spans="1:15">
      <c r="A1573" t="s">
        <v>8534</v>
      </c>
      <c r="B1573" t="s">
        <v>8534</v>
      </c>
      <c r="C1573" t="s">
        <v>4452</v>
      </c>
      <c r="F1573">
        <v>1</v>
      </c>
      <c r="G1573" s="1" t="s">
        <v>1689</v>
      </c>
      <c r="I1573" s="1" t="s">
        <v>11473</v>
      </c>
      <c r="O1573" t="s">
        <v>22</v>
      </c>
    </row>
    <row r="1574" spans="1:15">
      <c r="A1574" t="s">
        <v>8566</v>
      </c>
      <c r="B1574" t="s">
        <v>8566</v>
      </c>
      <c r="C1574" t="s">
        <v>4452</v>
      </c>
      <c r="F1574">
        <v>1</v>
      </c>
      <c r="G1574" s="1" t="s">
        <v>1690</v>
      </c>
      <c r="I1574" s="1" t="s">
        <v>11473</v>
      </c>
      <c r="O1574" t="s">
        <v>22</v>
      </c>
    </row>
    <row r="1575" spans="1:15">
      <c r="A1575" t="s">
        <v>10755</v>
      </c>
      <c r="B1575" t="s">
        <v>10755</v>
      </c>
      <c r="C1575" t="s">
        <v>10756</v>
      </c>
      <c r="F1575">
        <v>1</v>
      </c>
      <c r="G1575" s="1" t="s">
        <v>1691</v>
      </c>
      <c r="I1575" s="1" t="s">
        <v>11473</v>
      </c>
      <c r="O1575" t="s">
        <v>22</v>
      </c>
    </row>
    <row r="1576" spans="1:15">
      <c r="A1576" t="s">
        <v>6505</v>
      </c>
      <c r="B1576" t="s">
        <v>6505</v>
      </c>
      <c r="C1576" t="s">
        <v>6506</v>
      </c>
      <c r="F1576">
        <v>1</v>
      </c>
      <c r="G1576" s="1" t="s">
        <v>1692</v>
      </c>
      <c r="I1576" s="1" t="s">
        <v>11473</v>
      </c>
      <c r="O1576" t="s">
        <v>22</v>
      </c>
    </row>
    <row r="1577" spans="1:15">
      <c r="A1577" t="s">
        <v>7483</v>
      </c>
      <c r="B1577" t="s">
        <v>7483</v>
      </c>
      <c r="C1577" t="s">
        <v>6506</v>
      </c>
      <c r="F1577">
        <v>1</v>
      </c>
      <c r="G1577" s="1" t="s">
        <v>1693</v>
      </c>
      <c r="I1577" s="1" t="s">
        <v>11473</v>
      </c>
      <c r="O1577" t="s">
        <v>22</v>
      </c>
    </row>
    <row r="1578" spans="1:15">
      <c r="A1578" t="s">
        <v>9215</v>
      </c>
      <c r="B1578" t="s">
        <v>9215</v>
      </c>
      <c r="C1578" t="s">
        <v>9252</v>
      </c>
      <c r="F1578">
        <v>1</v>
      </c>
      <c r="G1578" s="1" t="s">
        <v>1694</v>
      </c>
      <c r="I1578" s="1" t="s">
        <v>11473</v>
      </c>
      <c r="O1578" t="s">
        <v>22</v>
      </c>
    </row>
    <row r="1579" spans="1:15">
      <c r="A1579" t="s">
        <v>10147</v>
      </c>
      <c r="B1579" t="s">
        <v>10147</v>
      </c>
      <c r="C1579" t="s">
        <v>9252</v>
      </c>
      <c r="F1579">
        <v>1</v>
      </c>
      <c r="G1579" s="1" t="s">
        <v>1695</v>
      </c>
      <c r="I1579" s="1" t="s">
        <v>11473</v>
      </c>
      <c r="O1579" t="s">
        <v>22</v>
      </c>
    </row>
    <row r="1580" spans="1:15">
      <c r="A1580" t="s">
        <v>10205</v>
      </c>
      <c r="B1580" t="s">
        <v>10205</v>
      </c>
      <c r="C1580" t="s">
        <v>9252</v>
      </c>
      <c r="F1580">
        <v>1</v>
      </c>
      <c r="G1580" s="1" t="s">
        <v>1696</v>
      </c>
      <c r="I1580" s="1" t="s">
        <v>11473</v>
      </c>
      <c r="O1580" t="s">
        <v>22</v>
      </c>
    </row>
    <row r="1581" spans="1:15">
      <c r="A1581" t="s">
        <v>10288</v>
      </c>
      <c r="B1581" t="s">
        <v>10288</v>
      </c>
      <c r="C1581" t="s">
        <v>9252</v>
      </c>
      <c r="F1581">
        <v>1</v>
      </c>
      <c r="G1581" s="1" t="s">
        <v>1697</v>
      </c>
      <c r="I1581" s="1" t="s">
        <v>11473</v>
      </c>
      <c r="O1581" t="s">
        <v>22</v>
      </c>
    </row>
    <row r="1582" spans="1:15">
      <c r="A1582" t="s">
        <v>5577</v>
      </c>
      <c r="B1582" t="s">
        <v>5577</v>
      </c>
      <c r="C1582" t="s">
        <v>4681</v>
      </c>
      <c r="F1582">
        <v>1</v>
      </c>
      <c r="G1582" s="1" t="s">
        <v>1698</v>
      </c>
      <c r="I1582" s="1" t="s">
        <v>11473</v>
      </c>
      <c r="O1582" t="s">
        <v>22</v>
      </c>
    </row>
    <row r="1583" spans="1:15">
      <c r="A1583" t="s">
        <v>6200</v>
      </c>
      <c r="B1583" t="s">
        <v>6200</v>
      </c>
      <c r="C1583" t="s">
        <v>4681</v>
      </c>
      <c r="F1583">
        <v>1</v>
      </c>
      <c r="G1583" s="1" t="s">
        <v>1699</v>
      </c>
      <c r="I1583" s="1" t="s">
        <v>11473</v>
      </c>
      <c r="O1583" t="s">
        <v>22</v>
      </c>
    </row>
    <row r="1584" spans="1:15">
      <c r="A1584" t="s">
        <v>6212</v>
      </c>
      <c r="B1584" t="s">
        <v>6212</v>
      </c>
      <c r="C1584" t="s">
        <v>6213</v>
      </c>
      <c r="F1584">
        <v>1</v>
      </c>
      <c r="G1584" s="1" t="s">
        <v>1700</v>
      </c>
      <c r="I1584" s="1" t="s">
        <v>11473</v>
      </c>
      <c r="O1584" t="s">
        <v>22</v>
      </c>
    </row>
    <row r="1585" spans="1:15">
      <c r="A1585" t="s">
        <v>6047</v>
      </c>
      <c r="B1585" t="s">
        <v>6047</v>
      </c>
      <c r="C1585" t="s">
        <v>6048</v>
      </c>
      <c r="F1585">
        <v>1</v>
      </c>
      <c r="G1585" s="1" t="s">
        <v>1701</v>
      </c>
      <c r="I1585" s="1" t="s">
        <v>11473</v>
      </c>
      <c r="O1585" t="s">
        <v>22</v>
      </c>
    </row>
    <row r="1586" spans="1:15">
      <c r="A1586" t="s">
        <v>6725</v>
      </c>
      <c r="B1586" t="s">
        <v>6725</v>
      </c>
      <c r="C1586" t="s">
        <v>5396</v>
      </c>
      <c r="F1586">
        <v>1</v>
      </c>
      <c r="G1586" s="1" t="s">
        <v>1702</v>
      </c>
      <c r="I1586" s="1" t="s">
        <v>11473</v>
      </c>
      <c r="O1586" t="s">
        <v>22</v>
      </c>
    </row>
    <row r="1587" spans="1:15">
      <c r="A1587" t="s">
        <v>6928</v>
      </c>
      <c r="B1587" t="s">
        <v>6928</v>
      </c>
      <c r="C1587" t="s">
        <v>5396</v>
      </c>
      <c r="F1587">
        <v>1</v>
      </c>
      <c r="G1587" s="1" t="s">
        <v>1703</v>
      </c>
      <c r="I1587" s="1" t="s">
        <v>11473</v>
      </c>
      <c r="O1587" t="s">
        <v>22</v>
      </c>
    </row>
    <row r="1588" spans="1:15">
      <c r="A1588" t="s">
        <v>9253</v>
      </c>
      <c r="B1588" t="s">
        <v>9253</v>
      </c>
      <c r="C1588" t="s">
        <v>5396</v>
      </c>
      <c r="F1588">
        <v>1</v>
      </c>
      <c r="G1588" s="1" t="s">
        <v>1704</v>
      </c>
      <c r="I1588" s="1" t="s">
        <v>11473</v>
      </c>
      <c r="O1588" t="s">
        <v>22</v>
      </c>
    </row>
    <row r="1589" spans="1:15">
      <c r="A1589" t="s">
        <v>9613</v>
      </c>
      <c r="B1589" t="s">
        <v>9613</v>
      </c>
      <c r="C1589" t="s">
        <v>5396</v>
      </c>
      <c r="F1589">
        <v>1</v>
      </c>
      <c r="G1589" s="1" t="s">
        <v>1705</v>
      </c>
      <c r="I1589" s="1" t="s">
        <v>11473</v>
      </c>
      <c r="O1589" t="s">
        <v>22</v>
      </c>
    </row>
    <row r="1590" spans="1:15">
      <c r="A1590" t="s">
        <v>9234</v>
      </c>
      <c r="B1590" t="s">
        <v>9234</v>
      </c>
      <c r="C1590" t="s">
        <v>9235</v>
      </c>
      <c r="F1590">
        <v>1</v>
      </c>
      <c r="G1590" s="1" t="s">
        <v>1706</v>
      </c>
      <c r="I1590" s="1" t="s">
        <v>11473</v>
      </c>
      <c r="O1590" t="s">
        <v>22</v>
      </c>
    </row>
    <row r="1591" spans="1:15">
      <c r="A1591" t="s">
        <v>7052</v>
      </c>
      <c r="B1591" t="s">
        <v>7052</v>
      </c>
      <c r="C1591" t="s">
        <v>4248</v>
      </c>
      <c r="F1591">
        <v>1</v>
      </c>
      <c r="G1591" s="1" t="s">
        <v>1707</v>
      </c>
      <c r="I1591" s="1" t="s">
        <v>11473</v>
      </c>
      <c r="O1591" t="s">
        <v>22</v>
      </c>
    </row>
    <row r="1592" spans="1:15">
      <c r="A1592" t="s">
        <v>8393</v>
      </c>
      <c r="B1592" t="s">
        <v>8393</v>
      </c>
      <c r="C1592" t="s">
        <v>4248</v>
      </c>
      <c r="F1592">
        <v>1</v>
      </c>
      <c r="G1592" s="1" t="s">
        <v>1708</v>
      </c>
      <c r="I1592" s="1" t="s">
        <v>11473</v>
      </c>
      <c r="O1592" t="s">
        <v>22</v>
      </c>
    </row>
    <row r="1593" spans="1:15">
      <c r="A1593" t="s">
        <v>6207</v>
      </c>
      <c r="B1593" t="s">
        <v>6207</v>
      </c>
      <c r="C1593" t="s">
        <v>6208</v>
      </c>
      <c r="F1593">
        <v>1</v>
      </c>
      <c r="G1593" s="1" t="s">
        <v>1709</v>
      </c>
      <c r="I1593" s="1" t="s">
        <v>11473</v>
      </c>
      <c r="O1593" t="s">
        <v>22</v>
      </c>
    </row>
    <row r="1594" spans="1:15">
      <c r="A1594" t="s">
        <v>8898</v>
      </c>
      <c r="B1594" t="s">
        <v>8898</v>
      </c>
      <c r="C1594" t="s">
        <v>6208</v>
      </c>
      <c r="F1594">
        <v>1</v>
      </c>
      <c r="G1594" s="1" t="s">
        <v>1710</v>
      </c>
      <c r="I1594" s="1" t="s">
        <v>11473</v>
      </c>
      <c r="O1594" t="s">
        <v>22</v>
      </c>
    </row>
    <row r="1595" spans="1:15">
      <c r="A1595" t="s">
        <v>7140</v>
      </c>
      <c r="B1595" t="s">
        <v>7140</v>
      </c>
      <c r="C1595" t="s">
        <v>7141</v>
      </c>
      <c r="F1595">
        <v>1</v>
      </c>
      <c r="G1595" s="1" t="s">
        <v>1711</v>
      </c>
      <c r="I1595" s="1" t="s">
        <v>11473</v>
      </c>
      <c r="O1595" t="s">
        <v>22</v>
      </c>
    </row>
    <row r="1596" spans="1:15">
      <c r="A1596" t="s">
        <v>9149</v>
      </c>
      <c r="B1596" t="s">
        <v>9149</v>
      </c>
      <c r="C1596" t="s">
        <v>5277</v>
      </c>
      <c r="F1596">
        <v>1</v>
      </c>
      <c r="G1596" s="1" t="s">
        <v>1712</v>
      </c>
      <c r="I1596" s="1" t="s">
        <v>11473</v>
      </c>
      <c r="O1596" t="s">
        <v>22</v>
      </c>
    </row>
    <row r="1597" spans="1:15">
      <c r="A1597" t="s">
        <v>6051</v>
      </c>
      <c r="B1597" t="s">
        <v>6051</v>
      </c>
      <c r="C1597" t="s">
        <v>4710</v>
      </c>
      <c r="F1597">
        <v>1</v>
      </c>
      <c r="G1597" s="1" t="s">
        <v>1713</v>
      </c>
      <c r="I1597" s="1" t="s">
        <v>11473</v>
      </c>
      <c r="O1597" t="s">
        <v>22</v>
      </c>
    </row>
    <row r="1598" spans="1:15">
      <c r="A1598" t="s">
        <v>10285</v>
      </c>
      <c r="B1598" t="s">
        <v>10285</v>
      </c>
      <c r="C1598" t="s">
        <v>4710</v>
      </c>
      <c r="F1598">
        <v>1</v>
      </c>
      <c r="G1598" s="1" t="s">
        <v>1714</v>
      </c>
      <c r="I1598" s="1" t="s">
        <v>11473</v>
      </c>
      <c r="O1598" t="s">
        <v>22</v>
      </c>
    </row>
    <row r="1599" spans="1:15">
      <c r="A1599" t="s">
        <v>8569</v>
      </c>
      <c r="B1599" t="s">
        <v>8569</v>
      </c>
      <c r="C1599" t="s">
        <v>4463</v>
      </c>
      <c r="F1599">
        <v>1</v>
      </c>
      <c r="G1599" s="1" t="s">
        <v>1715</v>
      </c>
      <c r="I1599" s="1" t="s">
        <v>11473</v>
      </c>
      <c r="O1599" t="s">
        <v>22</v>
      </c>
    </row>
    <row r="1600" spans="1:15">
      <c r="A1600" t="s">
        <v>6210</v>
      </c>
      <c r="B1600" t="s">
        <v>6210</v>
      </c>
      <c r="C1600" t="s">
        <v>6211</v>
      </c>
      <c r="F1600">
        <v>1</v>
      </c>
      <c r="G1600" s="1" t="s">
        <v>1716</v>
      </c>
      <c r="I1600" s="1" t="s">
        <v>11473</v>
      </c>
      <c r="O1600" t="s">
        <v>22</v>
      </c>
    </row>
    <row r="1601" spans="1:15">
      <c r="A1601" t="s">
        <v>7894</v>
      </c>
      <c r="B1601" t="s">
        <v>7894</v>
      </c>
      <c r="C1601" t="s">
        <v>6211</v>
      </c>
      <c r="F1601">
        <v>1</v>
      </c>
      <c r="G1601" s="1" t="s">
        <v>1717</v>
      </c>
      <c r="I1601" s="1" t="s">
        <v>11473</v>
      </c>
      <c r="O1601" t="s">
        <v>22</v>
      </c>
    </row>
    <row r="1602" spans="1:15">
      <c r="A1602" t="s">
        <v>9820</v>
      </c>
      <c r="B1602" t="s">
        <v>9820</v>
      </c>
      <c r="C1602" t="s">
        <v>6211</v>
      </c>
      <c r="F1602">
        <v>1</v>
      </c>
      <c r="G1602" s="1" t="s">
        <v>1718</v>
      </c>
      <c r="I1602" s="1" t="s">
        <v>11473</v>
      </c>
      <c r="O1602" t="s">
        <v>22</v>
      </c>
    </row>
    <row r="1603" spans="1:15">
      <c r="A1603" t="s">
        <v>8717</v>
      </c>
      <c r="B1603" t="s">
        <v>8717</v>
      </c>
      <c r="C1603" t="s">
        <v>4746</v>
      </c>
      <c r="F1603">
        <v>1</v>
      </c>
      <c r="G1603" s="1" t="s">
        <v>1719</v>
      </c>
      <c r="I1603" s="1" t="s">
        <v>11473</v>
      </c>
      <c r="O1603" t="s">
        <v>22</v>
      </c>
    </row>
    <row r="1604" spans="1:15">
      <c r="A1604" t="s">
        <v>8697</v>
      </c>
      <c r="B1604" t="s">
        <v>8697</v>
      </c>
      <c r="C1604" t="s">
        <v>4679</v>
      </c>
      <c r="F1604">
        <v>1</v>
      </c>
      <c r="G1604" s="1" t="s">
        <v>1720</v>
      </c>
      <c r="I1604" s="1" t="s">
        <v>11473</v>
      </c>
      <c r="O1604" t="s">
        <v>22</v>
      </c>
    </row>
    <row r="1605" spans="1:15">
      <c r="A1605" t="s">
        <v>5565</v>
      </c>
      <c r="B1605" t="s">
        <v>5565</v>
      </c>
      <c r="C1605" t="s">
        <v>5070</v>
      </c>
      <c r="F1605">
        <v>1</v>
      </c>
      <c r="G1605" s="1" t="s">
        <v>1721</v>
      </c>
      <c r="I1605" s="1" t="s">
        <v>11473</v>
      </c>
      <c r="O1605" t="s">
        <v>22</v>
      </c>
    </row>
    <row r="1606" spans="1:15">
      <c r="A1606" t="s">
        <v>10450</v>
      </c>
      <c r="B1606" t="s">
        <v>10450</v>
      </c>
      <c r="C1606" t="s">
        <v>5070</v>
      </c>
      <c r="F1606">
        <v>1</v>
      </c>
      <c r="G1606" s="1" t="s">
        <v>1722</v>
      </c>
      <c r="I1606" s="1" t="s">
        <v>11473</v>
      </c>
      <c r="O1606" t="s">
        <v>22</v>
      </c>
    </row>
    <row r="1607" spans="1:15">
      <c r="A1607" t="s">
        <v>6031</v>
      </c>
      <c r="B1607" t="s">
        <v>6031</v>
      </c>
      <c r="C1607" t="s">
        <v>4597</v>
      </c>
      <c r="F1607">
        <v>1</v>
      </c>
      <c r="G1607" s="1" t="s">
        <v>1723</v>
      </c>
      <c r="I1607" s="1" t="s">
        <v>11473</v>
      </c>
      <c r="O1607" t="s">
        <v>22</v>
      </c>
    </row>
    <row r="1608" spans="1:15">
      <c r="A1608" t="s">
        <v>8920</v>
      </c>
      <c r="B1608" t="s">
        <v>8920</v>
      </c>
      <c r="C1608" t="s">
        <v>4597</v>
      </c>
      <c r="F1608">
        <v>1</v>
      </c>
      <c r="G1608" s="1" t="s">
        <v>1724</v>
      </c>
      <c r="I1608" s="1" t="s">
        <v>11473</v>
      </c>
      <c r="O1608" t="s">
        <v>22</v>
      </c>
    </row>
    <row r="1609" spans="1:15">
      <c r="A1609" t="s">
        <v>7068</v>
      </c>
      <c r="B1609" t="s">
        <v>7068</v>
      </c>
      <c r="C1609" t="s">
        <v>4596</v>
      </c>
      <c r="F1609">
        <v>1</v>
      </c>
      <c r="G1609" s="1" t="s">
        <v>1725</v>
      </c>
      <c r="I1609" s="1" t="s">
        <v>11473</v>
      </c>
      <c r="O1609" t="s">
        <v>22</v>
      </c>
    </row>
    <row r="1610" spans="1:15">
      <c r="A1610" t="s">
        <v>8267</v>
      </c>
      <c r="B1610" t="s">
        <v>8267</v>
      </c>
      <c r="C1610" t="s">
        <v>8268</v>
      </c>
      <c r="F1610">
        <v>1</v>
      </c>
      <c r="G1610" s="1" t="s">
        <v>1726</v>
      </c>
      <c r="I1610" s="1" t="s">
        <v>11473</v>
      </c>
      <c r="O1610" t="s">
        <v>22</v>
      </c>
    </row>
    <row r="1611" spans="1:15">
      <c r="A1611" t="s">
        <v>6723</v>
      </c>
      <c r="B1611" t="s">
        <v>6723</v>
      </c>
      <c r="C1611" t="s">
        <v>6724</v>
      </c>
      <c r="F1611">
        <v>1</v>
      </c>
      <c r="G1611" s="1" t="s">
        <v>1727</v>
      </c>
      <c r="I1611" s="1" t="s">
        <v>11473</v>
      </c>
      <c r="O1611" t="s">
        <v>22</v>
      </c>
    </row>
    <row r="1612" spans="1:15">
      <c r="A1612" t="s">
        <v>10081</v>
      </c>
      <c r="B1612" t="s">
        <v>10081</v>
      </c>
      <c r="C1612" t="s">
        <v>10082</v>
      </c>
      <c r="F1612">
        <v>1</v>
      </c>
      <c r="G1612" s="1" t="s">
        <v>1728</v>
      </c>
      <c r="I1612" s="1" t="s">
        <v>11473</v>
      </c>
      <c r="O1612" t="s">
        <v>22</v>
      </c>
    </row>
    <row r="1613" spans="1:15">
      <c r="A1613" t="s">
        <v>5513</v>
      </c>
      <c r="B1613" t="s">
        <v>5513</v>
      </c>
      <c r="C1613" t="s">
        <v>5514</v>
      </c>
      <c r="F1613">
        <v>1</v>
      </c>
      <c r="G1613" s="1" t="s">
        <v>1729</v>
      </c>
      <c r="I1613" s="1" t="s">
        <v>11473</v>
      </c>
      <c r="O1613" t="s">
        <v>22</v>
      </c>
    </row>
    <row r="1614" spans="1:15">
      <c r="A1614" t="s">
        <v>6404</v>
      </c>
      <c r="B1614" t="s">
        <v>6404</v>
      </c>
      <c r="C1614" t="s">
        <v>5514</v>
      </c>
      <c r="F1614">
        <v>1</v>
      </c>
      <c r="G1614" s="1" t="s">
        <v>1730</v>
      </c>
      <c r="I1614" s="1" t="s">
        <v>11473</v>
      </c>
      <c r="O1614" t="s">
        <v>22</v>
      </c>
    </row>
    <row r="1615" spans="1:15">
      <c r="A1615" t="s">
        <v>5556</v>
      </c>
      <c r="B1615" t="s">
        <v>5556</v>
      </c>
      <c r="C1615" t="s">
        <v>5557</v>
      </c>
      <c r="F1615">
        <v>1</v>
      </c>
      <c r="G1615" s="1" t="s">
        <v>1731</v>
      </c>
      <c r="I1615" s="1" t="s">
        <v>11473</v>
      </c>
      <c r="O1615" t="s">
        <v>22</v>
      </c>
    </row>
    <row r="1616" spans="1:15">
      <c r="A1616" t="s">
        <v>7683</v>
      </c>
      <c r="B1616" t="s">
        <v>7683</v>
      </c>
      <c r="C1616" t="s">
        <v>5557</v>
      </c>
      <c r="F1616">
        <v>1</v>
      </c>
      <c r="G1616" s="1" t="s">
        <v>1732</v>
      </c>
      <c r="I1616" s="1" t="s">
        <v>11473</v>
      </c>
      <c r="O1616" t="s">
        <v>22</v>
      </c>
    </row>
    <row r="1617" spans="1:15">
      <c r="A1617" t="s">
        <v>10381</v>
      </c>
      <c r="B1617" t="s">
        <v>10381</v>
      </c>
      <c r="C1617" t="s">
        <v>4714</v>
      </c>
      <c r="F1617">
        <v>1</v>
      </c>
      <c r="G1617" s="1" t="s">
        <v>1733</v>
      </c>
      <c r="I1617" s="1" t="s">
        <v>11473</v>
      </c>
      <c r="O1617" t="s">
        <v>22</v>
      </c>
    </row>
    <row r="1618" spans="1:15">
      <c r="A1618" t="s">
        <v>10122</v>
      </c>
      <c r="B1618" t="s">
        <v>10122</v>
      </c>
      <c r="C1618" t="s">
        <v>5030</v>
      </c>
      <c r="F1618">
        <v>1</v>
      </c>
      <c r="G1618" s="1" t="s">
        <v>1734</v>
      </c>
      <c r="I1618" s="1" t="s">
        <v>11473</v>
      </c>
      <c r="O1618" t="s">
        <v>22</v>
      </c>
    </row>
    <row r="1619" spans="1:15">
      <c r="A1619" t="s">
        <v>10237</v>
      </c>
      <c r="B1619" t="s">
        <v>10237</v>
      </c>
      <c r="C1619" t="s">
        <v>5030</v>
      </c>
      <c r="F1619">
        <v>1</v>
      </c>
      <c r="G1619" s="1" t="s">
        <v>1735</v>
      </c>
      <c r="I1619" s="1" t="s">
        <v>11473</v>
      </c>
      <c r="O1619" t="s">
        <v>22</v>
      </c>
    </row>
    <row r="1620" spans="1:15">
      <c r="A1620" t="s">
        <v>10717</v>
      </c>
      <c r="B1620" t="s">
        <v>10717</v>
      </c>
      <c r="C1620" t="s">
        <v>5030</v>
      </c>
      <c r="F1620">
        <v>1</v>
      </c>
      <c r="G1620" s="1" t="s">
        <v>1736</v>
      </c>
      <c r="I1620" s="1" t="s">
        <v>11473</v>
      </c>
      <c r="O1620" t="s">
        <v>22</v>
      </c>
    </row>
    <row r="1621" spans="1:15">
      <c r="A1621" t="s">
        <v>11447</v>
      </c>
      <c r="B1621" t="s">
        <v>11447</v>
      </c>
      <c r="C1621" t="s">
        <v>5030</v>
      </c>
      <c r="F1621">
        <v>1</v>
      </c>
      <c r="G1621" s="1" t="s">
        <v>1737</v>
      </c>
      <c r="I1621" s="1" t="s">
        <v>11473</v>
      </c>
      <c r="O1621" t="s">
        <v>22</v>
      </c>
    </row>
    <row r="1622" spans="1:15">
      <c r="A1622" t="s">
        <v>8247</v>
      </c>
      <c r="B1622" t="s">
        <v>8247</v>
      </c>
      <c r="C1622" t="s">
        <v>8248</v>
      </c>
      <c r="F1622">
        <v>1</v>
      </c>
      <c r="G1622" s="1" t="s">
        <v>1738</v>
      </c>
      <c r="I1622" s="1" t="s">
        <v>11473</v>
      </c>
      <c r="O1622" t="s">
        <v>22</v>
      </c>
    </row>
    <row r="1623" spans="1:15">
      <c r="A1623" t="s">
        <v>6214</v>
      </c>
      <c r="B1623" t="s">
        <v>6214</v>
      </c>
      <c r="C1623" t="s">
        <v>6215</v>
      </c>
      <c r="F1623">
        <v>1</v>
      </c>
      <c r="G1623" s="1" t="s">
        <v>1739</v>
      </c>
      <c r="I1623" s="1" t="s">
        <v>11473</v>
      </c>
      <c r="O1623" t="s">
        <v>22</v>
      </c>
    </row>
    <row r="1624" spans="1:15">
      <c r="A1624" t="s">
        <v>6243</v>
      </c>
      <c r="B1624" t="s">
        <v>6243</v>
      </c>
      <c r="C1624" t="s">
        <v>4712</v>
      </c>
      <c r="F1624">
        <v>1</v>
      </c>
      <c r="G1624" s="1" t="s">
        <v>1740</v>
      </c>
      <c r="I1624" s="1" t="s">
        <v>11473</v>
      </c>
      <c r="O1624" t="s">
        <v>22</v>
      </c>
    </row>
    <row r="1625" spans="1:15">
      <c r="A1625" t="s">
        <v>7805</v>
      </c>
      <c r="B1625" t="s">
        <v>7805</v>
      </c>
      <c r="C1625" t="s">
        <v>4712</v>
      </c>
      <c r="F1625">
        <v>1</v>
      </c>
      <c r="G1625" s="1" t="s">
        <v>1741</v>
      </c>
      <c r="I1625" s="1" t="s">
        <v>11473</v>
      </c>
      <c r="O1625" t="s">
        <v>22</v>
      </c>
    </row>
    <row r="1626" spans="1:15">
      <c r="A1626" t="s">
        <v>9675</v>
      </c>
      <c r="B1626" t="s">
        <v>9675</v>
      </c>
      <c r="C1626" t="s">
        <v>4712</v>
      </c>
      <c r="F1626">
        <v>1</v>
      </c>
      <c r="G1626" s="1" t="s">
        <v>1742</v>
      </c>
      <c r="I1626" s="1" t="s">
        <v>11473</v>
      </c>
      <c r="O1626" t="s">
        <v>22</v>
      </c>
    </row>
    <row r="1627" spans="1:15">
      <c r="A1627" t="s">
        <v>5664</v>
      </c>
      <c r="B1627" t="s">
        <v>5664</v>
      </c>
      <c r="C1627" t="s">
        <v>5665</v>
      </c>
      <c r="F1627">
        <v>1</v>
      </c>
      <c r="G1627" s="1" t="s">
        <v>1743</v>
      </c>
      <c r="I1627" s="1" t="s">
        <v>11473</v>
      </c>
      <c r="O1627" t="s">
        <v>22</v>
      </c>
    </row>
    <row r="1628" spans="1:15">
      <c r="A1628" t="s">
        <v>7053</v>
      </c>
      <c r="B1628" t="s">
        <v>7053</v>
      </c>
      <c r="C1628" t="s">
        <v>5665</v>
      </c>
      <c r="F1628">
        <v>1</v>
      </c>
      <c r="G1628" s="1" t="s">
        <v>1744</v>
      </c>
      <c r="I1628" s="1" t="s">
        <v>11473</v>
      </c>
      <c r="O1628" t="s">
        <v>22</v>
      </c>
    </row>
    <row r="1629" spans="1:15">
      <c r="A1629" t="s">
        <v>8755</v>
      </c>
      <c r="B1629" t="s">
        <v>8755</v>
      </c>
      <c r="C1629" t="s">
        <v>4646</v>
      </c>
      <c r="F1629">
        <v>1</v>
      </c>
      <c r="G1629" s="1" t="s">
        <v>1745</v>
      </c>
      <c r="I1629" s="1" t="s">
        <v>11473</v>
      </c>
      <c r="O1629" t="s">
        <v>22</v>
      </c>
    </row>
    <row r="1630" spans="1:15">
      <c r="A1630" t="s">
        <v>9380</v>
      </c>
      <c r="B1630" t="s">
        <v>9380</v>
      </c>
      <c r="C1630" t="s">
        <v>4646</v>
      </c>
      <c r="F1630">
        <v>1</v>
      </c>
      <c r="G1630" s="1" t="s">
        <v>1746</v>
      </c>
      <c r="I1630" s="1" t="s">
        <v>11473</v>
      </c>
      <c r="O1630" t="s">
        <v>22</v>
      </c>
    </row>
    <row r="1631" spans="1:15">
      <c r="A1631" t="s">
        <v>9746</v>
      </c>
      <c r="B1631" t="s">
        <v>9746</v>
      </c>
      <c r="C1631" t="s">
        <v>9747</v>
      </c>
      <c r="F1631">
        <v>1</v>
      </c>
      <c r="G1631" s="1" t="s">
        <v>1747</v>
      </c>
      <c r="I1631" s="1" t="s">
        <v>11473</v>
      </c>
      <c r="O1631" t="s">
        <v>22</v>
      </c>
    </row>
    <row r="1632" spans="1:15">
      <c r="A1632" t="s">
        <v>8450</v>
      </c>
      <c r="B1632" t="s">
        <v>8450</v>
      </c>
      <c r="C1632" t="s">
        <v>4815</v>
      </c>
      <c r="F1632">
        <v>1</v>
      </c>
      <c r="G1632" s="1" t="s">
        <v>1748</v>
      </c>
      <c r="I1632" s="1" t="s">
        <v>11473</v>
      </c>
      <c r="O1632" t="s">
        <v>22</v>
      </c>
    </row>
    <row r="1633" spans="1:15">
      <c r="A1633" t="s">
        <v>9172</v>
      </c>
      <c r="B1633" t="s">
        <v>9172</v>
      </c>
      <c r="C1633" t="s">
        <v>9173</v>
      </c>
      <c r="F1633">
        <v>1</v>
      </c>
      <c r="G1633" s="1" t="s">
        <v>1749</v>
      </c>
      <c r="I1633" s="1" t="s">
        <v>11473</v>
      </c>
      <c r="O1633" t="s">
        <v>22</v>
      </c>
    </row>
    <row r="1634" spans="1:15">
      <c r="A1634" t="s">
        <v>5569</v>
      </c>
      <c r="B1634" t="s">
        <v>5569</v>
      </c>
      <c r="C1634" t="s">
        <v>5570</v>
      </c>
      <c r="F1634">
        <v>1</v>
      </c>
      <c r="G1634" s="1" t="s">
        <v>1750</v>
      </c>
      <c r="I1634" s="1" t="s">
        <v>11473</v>
      </c>
      <c r="O1634" t="s">
        <v>22</v>
      </c>
    </row>
    <row r="1635" spans="1:15">
      <c r="A1635" t="s">
        <v>7792</v>
      </c>
      <c r="B1635" t="s">
        <v>7792</v>
      </c>
      <c r="C1635" t="s">
        <v>5570</v>
      </c>
      <c r="F1635">
        <v>1</v>
      </c>
      <c r="G1635" s="1" t="s">
        <v>1751</v>
      </c>
      <c r="I1635" s="1" t="s">
        <v>11473</v>
      </c>
      <c r="O1635" t="s">
        <v>22</v>
      </c>
    </row>
    <row r="1636" spans="1:15">
      <c r="A1636" t="s">
        <v>7392</v>
      </c>
      <c r="B1636" t="s">
        <v>7392</v>
      </c>
      <c r="C1636" t="s">
        <v>4241</v>
      </c>
      <c r="F1636">
        <v>1</v>
      </c>
      <c r="G1636" s="1" t="s">
        <v>1752</v>
      </c>
      <c r="I1636" s="1" t="s">
        <v>11473</v>
      </c>
      <c r="O1636" t="s">
        <v>22</v>
      </c>
    </row>
    <row r="1637" spans="1:15">
      <c r="A1637" t="s">
        <v>6218</v>
      </c>
      <c r="B1637" t="s">
        <v>6218</v>
      </c>
      <c r="C1637" t="s">
        <v>4250</v>
      </c>
      <c r="F1637">
        <v>1</v>
      </c>
      <c r="G1637" s="1" t="s">
        <v>1753</v>
      </c>
      <c r="I1637" s="1" t="s">
        <v>11473</v>
      </c>
      <c r="O1637" t="s">
        <v>22</v>
      </c>
    </row>
    <row r="1638" spans="1:15">
      <c r="A1638" t="s">
        <v>6345</v>
      </c>
      <c r="B1638" t="s">
        <v>6345</v>
      </c>
      <c r="C1638" t="s">
        <v>4250</v>
      </c>
      <c r="F1638">
        <v>1</v>
      </c>
      <c r="G1638" s="1" t="s">
        <v>1754</v>
      </c>
      <c r="I1638" s="1" t="s">
        <v>11473</v>
      </c>
      <c r="O1638" t="s">
        <v>22</v>
      </c>
    </row>
    <row r="1639" spans="1:15">
      <c r="A1639" t="s">
        <v>8567</v>
      </c>
      <c r="B1639" t="s">
        <v>8567</v>
      </c>
      <c r="C1639" t="s">
        <v>8568</v>
      </c>
      <c r="F1639">
        <v>1</v>
      </c>
      <c r="G1639" s="1" t="s">
        <v>1755</v>
      </c>
      <c r="I1639" s="1" t="s">
        <v>11473</v>
      </c>
      <c r="O1639" t="s">
        <v>22</v>
      </c>
    </row>
    <row r="1640" spans="1:15">
      <c r="A1640" t="s">
        <v>11110</v>
      </c>
      <c r="B1640" t="s">
        <v>11110</v>
      </c>
      <c r="C1640" t="s">
        <v>11111</v>
      </c>
      <c r="F1640">
        <v>1</v>
      </c>
      <c r="G1640" s="1" t="s">
        <v>1756</v>
      </c>
      <c r="I1640" s="1" t="s">
        <v>11473</v>
      </c>
      <c r="O1640" t="s">
        <v>22</v>
      </c>
    </row>
    <row r="1641" spans="1:15">
      <c r="A1641" t="s">
        <v>9907</v>
      </c>
      <c r="B1641" t="s">
        <v>9907</v>
      </c>
      <c r="C1641" t="s">
        <v>9908</v>
      </c>
      <c r="F1641">
        <v>1</v>
      </c>
      <c r="G1641" s="1" t="s">
        <v>1757</v>
      </c>
      <c r="I1641" s="1" t="s">
        <v>11473</v>
      </c>
      <c r="O1641" t="s">
        <v>22</v>
      </c>
    </row>
    <row r="1642" spans="1:15">
      <c r="A1642" t="s">
        <v>10367</v>
      </c>
      <c r="B1642" t="s">
        <v>10367</v>
      </c>
      <c r="C1642" t="s">
        <v>10368</v>
      </c>
      <c r="F1642">
        <v>1</v>
      </c>
      <c r="G1642" s="1" t="s">
        <v>1758</v>
      </c>
      <c r="I1642" s="1" t="s">
        <v>11473</v>
      </c>
      <c r="O1642" t="s">
        <v>22</v>
      </c>
    </row>
    <row r="1643" spans="1:15">
      <c r="A1643" t="s">
        <v>6451</v>
      </c>
      <c r="B1643" t="s">
        <v>6451</v>
      </c>
      <c r="C1643" t="s">
        <v>6452</v>
      </c>
      <c r="F1643">
        <v>1</v>
      </c>
      <c r="G1643" s="1" t="s">
        <v>1759</v>
      </c>
      <c r="I1643" s="1" t="s">
        <v>11473</v>
      </c>
      <c r="O1643" t="s">
        <v>22</v>
      </c>
    </row>
    <row r="1644" spans="1:15">
      <c r="A1644" t="s">
        <v>9635</v>
      </c>
      <c r="B1644" t="s">
        <v>9635</v>
      </c>
      <c r="C1644" t="s">
        <v>9636</v>
      </c>
      <c r="F1644">
        <v>1</v>
      </c>
      <c r="G1644" s="1" t="s">
        <v>1760</v>
      </c>
      <c r="I1644" s="1" t="s">
        <v>11473</v>
      </c>
      <c r="O1644" t="s">
        <v>22</v>
      </c>
    </row>
    <row r="1645" spans="1:15">
      <c r="A1645" t="s">
        <v>10286</v>
      </c>
      <c r="B1645" t="s">
        <v>10286</v>
      </c>
      <c r="C1645" t="s">
        <v>10287</v>
      </c>
      <c r="F1645">
        <v>1</v>
      </c>
      <c r="G1645" s="1" t="s">
        <v>1761</v>
      </c>
      <c r="I1645" s="1" t="s">
        <v>11473</v>
      </c>
      <c r="O1645" t="s">
        <v>22</v>
      </c>
    </row>
    <row r="1646" spans="1:15">
      <c r="A1646" t="s">
        <v>5466</v>
      </c>
      <c r="B1646" t="s">
        <v>5466</v>
      </c>
      <c r="C1646" t="s">
        <v>5467</v>
      </c>
      <c r="F1646">
        <v>1</v>
      </c>
      <c r="G1646" s="1" t="s">
        <v>1762</v>
      </c>
      <c r="I1646" s="1" t="s">
        <v>11473</v>
      </c>
      <c r="O1646" t="s">
        <v>22</v>
      </c>
    </row>
    <row r="1647" spans="1:15">
      <c r="A1647" t="s">
        <v>5418</v>
      </c>
      <c r="B1647" t="s">
        <v>5418</v>
      </c>
      <c r="C1647" t="s">
        <v>5394</v>
      </c>
      <c r="F1647">
        <v>1</v>
      </c>
      <c r="G1647" s="1" t="s">
        <v>1763</v>
      </c>
      <c r="I1647" s="1" t="s">
        <v>11473</v>
      </c>
      <c r="O1647" t="s">
        <v>22</v>
      </c>
    </row>
    <row r="1648" spans="1:15">
      <c r="A1648" t="s">
        <v>9372</v>
      </c>
      <c r="B1648" t="s">
        <v>9372</v>
      </c>
      <c r="C1648" t="s">
        <v>5394</v>
      </c>
      <c r="F1648">
        <v>1</v>
      </c>
      <c r="G1648" s="1" t="s">
        <v>1764</v>
      </c>
      <c r="I1648" s="1" t="s">
        <v>11473</v>
      </c>
      <c r="O1648" t="s">
        <v>22</v>
      </c>
    </row>
    <row r="1649" spans="1:15">
      <c r="A1649" t="s">
        <v>10297</v>
      </c>
      <c r="B1649" t="s">
        <v>10297</v>
      </c>
      <c r="C1649" t="s">
        <v>5394</v>
      </c>
      <c r="F1649">
        <v>1</v>
      </c>
      <c r="G1649" s="1" t="s">
        <v>1765</v>
      </c>
      <c r="I1649" s="1" t="s">
        <v>11473</v>
      </c>
      <c r="O1649" t="s">
        <v>22</v>
      </c>
    </row>
    <row r="1650" spans="1:15">
      <c r="A1650" t="s">
        <v>9139</v>
      </c>
      <c r="B1650" t="s">
        <v>9139</v>
      </c>
      <c r="C1650" t="s">
        <v>9140</v>
      </c>
      <c r="F1650">
        <v>1</v>
      </c>
      <c r="G1650" s="1" t="s">
        <v>1766</v>
      </c>
      <c r="I1650" s="1" t="s">
        <v>11473</v>
      </c>
      <c r="O1650" t="s">
        <v>22</v>
      </c>
    </row>
    <row r="1651" spans="1:15">
      <c r="A1651" t="s">
        <v>9527</v>
      </c>
      <c r="B1651" t="s">
        <v>9527</v>
      </c>
      <c r="C1651" t="s">
        <v>4621</v>
      </c>
      <c r="F1651">
        <v>1</v>
      </c>
      <c r="G1651" s="1" t="s">
        <v>1767</v>
      </c>
      <c r="I1651" s="1" t="s">
        <v>11473</v>
      </c>
      <c r="O1651" t="s">
        <v>22</v>
      </c>
    </row>
    <row r="1652" spans="1:15">
      <c r="A1652" t="s">
        <v>7174</v>
      </c>
      <c r="B1652" t="s">
        <v>7174</v>
      </c>
      <c r="C1652" t="s">
        <v>4869</v>
      </c>
      <c r="F1652">
        <v>1</v>
      </c>
      <c r="G1652" s="1" t="s">
        <v>1768</v>
      </c>
      <c r="I1652" s="1" t="s">
        <v>11473</v>
      </c>
      <c r="O1652" t="s">
        <v>22</v>
      </c>
    </row>
    <row r="1653" spans="1:15">
      <c r="A1653" t="s">
        <v>6244</v>
      </c>
      <c r="B1653" t="s">
        <v>6244</v>
      </c>
      <c r="C1653" t="s">
        <v>4938</v>
      </c>
      <c r="F1653">
        <v>1</v>
      </c>
      <c r="G1653" s="1" t="s">
        <v>1769</v>
      </c>
      <c r="I1653" s="1" t="s">
        <v>11473</v>
      </c>
      <c r="O1653" t="s">
        <v>22</v>
      </c>
    </row>
    <row r="1654" spans="1:15">
      <c r="A1654" t="s">
        <v>8416</v>
      </c>
      <c r="B1654" t="s">
        <v>8416</v>
      </c>
      <c r="C1654" t="s">
        <v>4938</v>
      </c>
      <c r="F1654">
        <v>1</v>
      </c>
      <c r="G1654" s="1" t="s">
        <v>1770</v>
      </c>
      <c r="I1654" s="1" t="s">
        <v>11473</v>
      </c>
      <c r="O1654" t="s">
        <v>22</v>
      </c>
    </row>
    <row r="1655" spans="1:15">
      <c r="A1655" t="s">
        <v>9435</v>
      </c>
      <c r="B1655" t="s">
        <v>9435</v>
      </c>
      <c r="C1655" t="s">
        <v>4938</v>
      </c>
      <c r="F1655">
        <v>1</v>
      </c>
      <c r="G1655" s="1" t="s">
        <v>1771</v>
      </c>
      <c r="I1655" s="1" t="s">
        <v>11473</v>
      </c>
      <c r="O1655" t="s">
        <v>22</v>
      </c>
    </row>
    <row r="1656" spans="1:15">
      <c r="A1656" t="s">
        <v>10282</v>
      </c>
      <c r="B1656" t="s">
        <v>10282</v>
      </c>
      <c r="C1656" t="s">
        <v>4938</v>
      </c>
      <c r="F1656">
        <v>1</v>
      </c>
      <c r="G1656" s="1" t="s">
        <v>1772</v>
      </c>
      <c r="I1656" s="1" t="s">
        <v>11473</v>
      </c>
      <c r="O1656" t="s">
        <v>22</v>
      </c>
    </row>
    <row r="1657" spans="1:15">
      <c r="A1657" t="s">
        <v>10736</v>
      </c>
      <c r="B1657" t="s">
        <v>10736</v>
      </c>
      <c r="C1657" t="s">
        <v>4938</v>
      </c>
      <c r="F1657">
        <v>1</v>
      </c>
      <c r="G1657" s="1" t="s">
        <v>1773</v>
      </c>
      <c r="I1657" s="1" t="s">
        <v>11473</v>
      </c>
      <c r="O1657" t="s">
        <v>22</v>
      </c>
    </row>
    <row r="1658" spans="1:15">
      <c r="A1658" t="s">
        <v>7445</v>
      </c>
      <c r="B1658" t="s">
        <v>7445</v>
      </c>
      <c r="C1658" t="s">
        <v>7446</v>
      </c>
      <c r="F1658">
        <v>1</v>
      </c>
      <c r="G1658" s="1" t="s">
        <v>1774</v>
      </c>
      <c r="I1658" s="1" t="s">
        <v>11473</v>
      </c>
      <c r="O1658" t="s">
        <v>22</v>
      </c>
    </row>
    <row r="1659" spans="1:15">
      <c r="A1659" t="s">
        <v>10494</v>
      </c>
      <c r="B1659" t="s">
        <v>10494</v>
      </c>
      <c r="C1659" t="s">
        <v>4046</v>
      </c>
      <c r="F1659">
        <v>1</v>
      </c>
      <c r="G1659" s="1" t="s">
        <v>1775</v>
      </c>
      <c r="I1659" s="1" t="s">
        <v>11473</v>
      </c>
      <c r="O1659" t="s">
        <v>22</v>
      </c>
    </row>
    <row r="1660" spans="1:15">
      <c r="A1660" t="s">
        <v>7461</v>
      </c>
      <c r="B1660" t="s">
        <v>7461</v>
      </c>
      <c r="C1660" t="s">
        <v>9</v>
      </c>
      <c r="F1660">
        <v>1</v>
      </c>
      <c r="G1660" s="1" t="s">
        <v>1776</v>
      </c>
      <c r="I1660" s="1" t="s">
        <v>11473</v>
      </c>
      <c r="O1660" t="s">
        <v>22</v>
      </c>
    </row>
    <row r="1661" spans="1:15">
      <c r="A1661" t="s">
        <v>6842</v>
      </c>
      <c r="B1661" t="s">
        <v>6842</v>
      </c>
      <c r="C1661" t="s">
        <v>4693</v>
      </c>
      <c r="F1661">
        <v>1</v>
      </c>
      <c r="G1661" s="1" t="s">
        <v>1777</v>
      </c>
      <c r="I1661" s="1" t="s">
        <v>11473</v>
      </c>
      <c r="O1661" t="s">
        <v>22</v>
      </c>
    </row>
    <row r="1662" spans="1:15">
      <c r="A1662" t="s">
        <v>9643</v>
      </c>
      <c r="B1662" t="s">
        <v>9643</v>
      </c>
      <c r="C1662" t="s">
        <v>4693</v>
      </c>
      <c r="F1662">
        <v>1</v>
      </c>
      <c r="G1662" s="1" t="s">
        <v>1778</v>
      </c>
      <c r="I1662" s="1" t="s">
        <v>11473</v>
      </c>
      <c r="O1662" t="s">
        <v>22</v>
      </c>
    </row>
    <row r="1663" spans="1:15">
      <c r="A1663" t="s">
        <v>6705</v>
      </c>
      <c r="B1663" t="s">
        <v>6705</v>
      </c>
      <c r="C1663" t="s">
        <v>6706</v>
      </c>
      <c r="F1663">
        <v>1</v>
      </c>
      <c r="G1663" s="1" t="s">
        <v>1779</v>
      </c>
      <c r="I1663" s="1" t="s">
        <v>11473</v>
      </c>
      <c r="O1663" t="s">
        <v>22</v>
      </c>
    </row>
    <row r="1664" spans="1:15">
      <c r="A1664" t="s">
        <v>7662</v>
      </c>
      <c r="B1664" t="s">
        <v>7662</v>
      </c>
      <c r="C1664" t="s">
        <v>7663</v>
      </c>
      <c r="F1664">
        <v>1</v>
      </c>
      <c r="G1664" s="1" t="s">
        <v>1780</v>
      </c>
      <c r="I1664" s="1" t="s">
        <v>11473</v>
      </c>
      <c r="O1664" t="s">
        <v>22</v>
      </c>
    </row>
    <row r="1665" spans="1:15">
      <c r="A1665" t="s">
        <v>9292</v>
      </c>
      <c r="B1665" t="s">
        <v>9292</v>
      </c>
      <c r="C1665" t="s">
        <v>9293</v>
      </c>
      <c r="F1665">
        <v>1</v>
      </c>
      <c r="G1665" s="1" t="s">
        <v>1781</v>
      </c>
      <c r="I1665" s="1" t="s">
        <v>11473</v>
      </c>
      <c r="O1665" t="s">
        <v>22</v>
      </c>
    </row>
    <row r="1666" spans="1:15">
      <c r="A1666" t="s">
        <v>7479</v>
      </c>
      <c r="B1666" t="s">
        <v>7479</v>
      </c>
      <c r="C1666" t="s">
        <v>7480</v>
      </c>
      <c r="F1666">
        <v>1</v>
      </c>
      <c r="G1666" s="1" t="s">
        <v>1782</v>
      </c>
      <c r="I1666" s="1" t="s">
        <v>11473</v>
      </c>
      <c r="O1666" t="s">
        <v>22</v>
      </c>
    </row>
    <row r="1667" spans="1:15">
      <c r="A1667" t="s">
        <v>9294</v>
      </c>
      <c r="B1667" t="s">
        <v>9294</v>
      </c>
      <c r="C1667" t="s">
        <v>9295</v>
      </c>
      <c r="F1667">
        <v>1</v>
      </c>
      <c r="G1667" s="1" t="s">
        <v>1783</v>
      </c>
      <c r="I1667" s="1" t="s">
        <v>11473</v>
      </c>
      <c r="O1667" t="s">
        <v>22</v>
      </c>
    </row>
    <row r="1668" spans="1:15">
      <c r="A1668" t="s">
        <v>6201</v>
      </c>
      <c r="B1668" t="s">
        <v>6201</v>
      </c>
      <c r="C1668" t="s">
        <v>6202</v>
      </c>
      <c r="F1668">
        <v>1</v>
      </c>
      <c r="G1668" s="1" t="s">
        <v>1784</v>
      </c>
      <c r="I1668" s="1" t="s">
        <v>11473</v>
      </c>
      <c r="O1668" t="s">
        <v>22</v>
      </c>
    </row>
    <row r="1669" spans="1:15">
      <c r="A1669" t="s">
        <v>4706</v>
      </c>
      <c r="B1669" t="s">
        <v>4706</v>
      </c>
      <c r="C1669" t="s">
        <v>4625</v>
      </c>
      <c r="F1669">
        <v>1</v>
      </c>
      <c r="G1669" s="1" t="s">
        <v>1785</v>
      </c>
      <c r="I1669" s="1" t="s">
        <v>11473</v>
      </c>
      <c r="O1669" t="s">
        <v>22</v>
      </c>
    </row>
    <row r="1670" spans="1:15">
      <c r="A1670" t="s">
        <v>6219</v>
      </c>
      <c r="B1670" t="s">
        <v>6219</v>
      </c>
      <c r="C1670" t="s">
        <v>6220</v>
      </c>
      <c r="F1670">
        <v>1</v>
      </c>
      <c r="G1670" s="1" t="s">
        <v>1786</v>
      </c>
      <c r="I1670" s="1" t="s">
        <v>11473</v>
      </c>
      <c r="O1670" t="s">
        <v>22</v>
      </c>
    </row>
    <row r="1671" spans="1:15">
      <c r="A1671" t="s">
        <v>10068</v>
      </c>
      <c r="B1671" t="s">
        <v>10068</v>
      </c>
      <c r="C1671" t="s">
        <v>6220</v>
      </c>
      <c r="F1671">
        <v>1</v>
      </c>
      <c r="G1671" s="1" t="s">
        <v>1787</v>
      </c>
      <c r="I1671" s="1" t="s">
        <v>11473</v>
      </c>
      <c r="O1671" t="s">
        <v>22</v>
      </c>
    </row>
    <row r="1672" spans="1:15">
      <c r="A1672" t="s">
        <v>11254</v>
      </c>
      <c r="B1672" t="s">
        <v>11254</v>
      </c>
      <c r="C1672" t="s">
        <v>6220</v>
      </c>
      <c r="F1672">
        <v>1</v>
      </c>
      <c r="G1672" s="1" t="s">
        <v>1788</v>
      </c>
      <c r="I1672" s="1" t="s">
        <v>11473</v>
      </c>
      <c r="O1672" t="s">
        <v>22</v>
      </c>
    </row>
    <row r="1673" spans="1:15">
      <c r="A1673" t="s">
        <v>8302</v>
      </c>
      <c r="B1673" t="s">
        <v>8302</v>
      </c>
      <c r="C1673" t="s">
        <v>8303</v>
      </c>
      <c r="F1673">
        <v>1</v>
      </c>
      <c r="G1673" s="1" t="s">
        <v>1789</v>
      </c>
      <c r="I1673" s="1" t="s">
        <v>11473</v>
      </c>
      <c r="O1673" t="s">
        <v>22</v>
      </c>
    </row>
    <row r="1674" spans="1:15">
      <c r="A1674" t="s">
        <v>11049</v>
      </c>
      <c r="B1674" t="s">
        <v>11049</v>
      </c>
      <c r="C1674" t="s">
        <v>8303</v>
      </c>
      <c r="F1674">
        <v>1</v>
      </c>
      <c r="G1674" s="1" t="s">
        <v>1790</v>
      </c>
      <c r="I1674" s="1" t="s">
        <v>11473</v>
      </c>
      <c r="O1674" t="s">
        <v>22</v>
      </c>
    </row>
    <row r="1675" spans="1:15">
      <c r="A1675" t="s">
        <v>6149</v>
      </c>
      <c r="B1675" t="s">
        <v>6149</v>
      </c>
      <c r="C1675" t="s">
        <v>6150</v>
      </c>
      <c r="F1675">
        <v>1</v>
      </c>
      <c r="G1675" s="1" t="s">
        <v>1791</v>
      </c>
      <c r="I1675" s="1" t="s">
        <v>11473</v>
      </c>
      <c r="O1675" t="s">
        <v>22</v>
      </c>
    </row>
    <row r="1676" spans="1:15">
      <c r="A1676" t="s">
        <v>5413</v>
      </c>
      <c r="B1676" t="s">
        <v>5413</v>
      </c>
      <c r="C1676" t="s">
        <v>5414</v>
      </c>
      <c r="F1676">
        <v>1</v>
      </c>
      <c r="G1676" s="1" t="s">
        <v>1792</v>
      </c>
      <c r="I1676" s="1" t="s">
        <v>11473</v>
      </c>
      <c r="O1676" t="s">
        <v>22</v>
      </c>
    </row>
    <row r="1677" spans="1:15">
      <c r="A1677" t="s">
        <v>9150</v>
      </c>
      <c r="B1677" t="s">
        <v>9150</v>
      </c>
      <c r="C1677" t="s">
        <v>5414</v>
      </c>
      <c r="F1677">
        <v>1</v>
      </c>
      <c r="G1677" s="1" t="s">
        <v>1793</v>
      </c>
      <c r="I1677" s="1" t="s">
        <v>11473</v>
      </c>
      <c r="O1677" t="s">
        <v>22</v>
      </c>
    </row>
    <row r="1678" spans="1:15">
      <c r="A1678" t="s">
        <v>5763</v>
      </c>
      <c r="B1678" t="s">
        <v>5763</v>
      </c>
      <c r="C1678" t="s">
        <v>5764</v>
      </c>
      <c r="F1678">
        <v>1</v>
      </c>
      <c r="G1678" s="1" t="s">
        <v>1794</v>
      </c>
      <c r="I1678" s="1" t="s">
        <v>11473</v>
      </c>
      <c r="O1678" t="s">
        <v>22</v>
      </c>
    </row>
    <row r="1679" spans="1:15">
      <c r="A1679" t="s">
        <v>9177</v>
      </c>
      <c r="B1679" t="s">
        <v>9177</v>
      </c>
      <c r="C1679" t="s">
        <v>5764</v>
      </c>
      <c r="F1679">
        <v>1</v>
      </c>
      <c r="G1679" s="1" t="s">
        <v>1795</v>
      </c>
      <c r="I1679" s="1" t="s">
        <v>11473</v>
      </c>
      <c r="O1679" t="s">
        <v>22</v>
      </c>
    </row>
    <row r="1680" spans="1:15">
      <c r="A1680" t="s">
        <v>10067</v>
      </c>
      <c r="B1680" t="s">
        <v>10067</v>
      </c>
      <c r="C1680" t="s">
        <v>5764</v>
      </c>
      <c r="F1680">
        <v>1</v>
      </c>
      <c r="G1680" s="1" t="s">
        <v>1796</v>
      </c>
      <c r="I1680" s="1" t="s">
        <v>11473</v>
      </c>
      <c r="O1680" t="s">
        <v>22</v>
      </c>
    </row>
    <row r="1681" spans="1:15">
      <c r="A1681" t="s">
        <v>7491</v>
      </c>
      <c r="B1681" t="s">
        <v>7491</v>
      </c>
      <c r="C1681" t="s">
        <v>7492</v>
      </c>
      <c r="F1681">
        <v>1</v>
      </c>
      <c r="G1681" s="1" t="s">
        <v>1797</v>
      </c>
      <c r="I1681" s="1" t="s">
        <v>11473</v>
      </c>
      <c r="O1681" t="s">
        <v>22</v>
      </c>
    </row>
    <row r="1682" spans="1:15">
      <c r="A1682" t="s">
        <v>9925</v>
      </c>
      <c r="B1682" t="s">
        <v>9925</v>
      </c>
      <c r="C1682" t="s">
        <v>4689</v>
      </c>
      <c r="F1682">
        <v>1</v>
      </c>
      <c r="G1682" s="1" t="s">
        <v>1798</v>
      </c>
      <c r="I1682" s="1" t="s">
        <v>11473</v>
      </c>
      <c r="O1682" t="s">
        <v>22</v>
      </c>
    </row>
    <row r="1683" spans="1:15">
      <c r="A1683" t="s">
        <v>10264</v>
      </c>
      <c r="B1683" t="s">
        <v>10264</v>
      </c>
      <c r="C1683" t="s">
        <v>4689</v>
      </c>
      <c r="F1683">
        <v>1</v>
      </c>
      <c r="G1683" s="1" t="s">
        <v>1799</v>
      </c>
      <c r="I1683" s="1" t="s">
        <v>11473</v>
      </c>
      <c r="O1683" t="s">
        <v>22</v>
      </c>
    </row>
    <row r="1684" spans="1:15">
      <c r="A1684" t="s">
        <v>7390</v>
      </c>
      <c r="B1684" t="s">
        <v>7390</v>
      </c>
      <c r="C1684" t="s">
        <v>7391</v>
      </c>
      <c r="F1684">
        <v>1</v>
      </c>
      <c r="G1684" s="1" t="s">
        <v>1800</v>
      </c>
      <c r="I1684" s="1" t="s">
        <v>11473</v>
      </c>
      <c r="O1684" t="s">
        <v>22</v>
      </c>
    </row>
    <row r="1685" spans="1:15">
      <c r="A1685" t="s">
        <v>7379</v>
      </c>
      <c r="B1685" t="s">
        <v>7379</v>
      </c>
      <c r="C1685" t="s">
        <v>7380</v>
      </c>
      <c r="F1685">
        <v>1</v>
      </c>
      <c r="G1685" s="1" t="s">
        <v>1801</v>
      </c>
      <c r="I1685" s="1" t="s">
        <v>11473</v>
      </c>
      <c r="O1685" t="s">
        <v>22</v>
      </c>
    </row>
    <row r="1686" spans="1:15">
      <c r="A1686" t="s">
        <v>9893</v>
      </c>
      <c r="B1686" t="s">
        <v>9893</v>
      </c>
      <c r="C1686" t="s">
        <v>5153</v>
      </c>
      <c r="F1686">
        <v>1</v>
      </c>
      <c r="G1686" s="1" t="s">
        <v>1802</v>
      </c>
      <c r="I1686" s="1" t="s">
        <v>11473</v>
      </c>
      <c r="O1686" t="s">
        <v>22</v>
      </c>
    </row>
    <row r="1687" spans="1:15">
      <c r="A1687" t="s">
        <v>7370</v>
      </c>
      <c r="B1687" t="s">
        <v>7370</v>
      </c>
      <c r="C1687" t="s">
        <v>4900</v>
      </c>
      <c r="F1687">
        <v>1</v>
      </c>
      <c r="G1687" s="1" t="s">
        <v>1803</v>
      </c>
      <c r="I1687" s="1" t="s">
        <v>11473</v>
      </c>
      <c r="O1687" t="s">
        <v>22</v>
      </c>
    </row>
    <row r="1688" spans="1:15">
      <c r="A1688" t="s">
        <v>9119</v>
      </c>
      <c r="B1688" t="s">
        <v>9119</v>
      </c>
      <c r="C1688" t="s">
        <v>5330</v>
      </c>
      <c r="F1688">
        <v>1</v>
      </c>
      <c r="G1688" s="1" t="s">
        <v>1804</v>
      </c>
      <c r="I1688" s="1" t="s">
        <v>11473</v>
      </c>
      <c r="O1688" t="s">
        <v>22</v>
      </c>
    </row>
    <row r="1689" spans="1:15">
      <c r="A1689" t="s">
        <v>6221</v>
      </c>
      <c r="B1689" t="s">
        <v>6221</v>
      </c>
      <c r="C1689" t="s">
        <v>6222</v>
      </c>
      <c r="F1689">
        <v>1</v>
      </c>
      <c r="G1689" s="1" t="s">
        <v>1805</v>
      </c>
      <c r="I1689" s="1" t="s">
        <v>11473</v>
      </c>
      <c r="O1689" t="s">
        <v>22</v>
      </c>
    </row>
    <row r="1690" spans="1:15">
      <c r="A1690" t="s">
        <v>7047</v>
      </c>
      <c r="B1690" t="s">
        <v>7047</v>
      </c>
      <c r="C1690" t="s">
        <v>7048</v>
      </c>
      <c r="F1690">
        <v>1</v>
      </c>
      <c r="G1690" s="1" t="s">
        <v>1806</v>
      </c>
      <c r="I1690" s="1" t="s">
        <v>11473</v>
      </c>
      <c r="O1690" t="s">
        <v>22</v>
      </c>
    </row>
    <row r="1691" spans="1:15">
      <c r="A1691" t="s">
        <v>6233</v>
      </c>
      <c r="B1691" t="s">
        <v>6233</v>
      </c>
      <c r="C1691" t="s">
        <v>6234</v>
      </c>
      <c r="F1691">
        <v>1</v>
      </c>
      <c r="G1691" s="1" t="s">
        <v>1807</v>
      </c>
      <c r="I1691" s="1" t="s">
        <v>11473</v>
      </c>
      <c r="O1691" t="s">
        <v>22</v>
      </c>
    </row>
    <row r="1692" spans="1:15">
      <c r="A1692" t="s">
        <v>7743</v>
      </c>
      <c r="B1692" t="s">
        <v>7743</v>
      </c>
      <c r="C1692" t="s">
        <v>6234</v>
      </c>
      <c r="F1692">
        <v>1</v>
      </c>
      <c r="G1692" s="1" t="s">
        <v>1808</v>
      </c>
      <c r="I1692" s="1" t="s">
        <v>11473</v>
      </c>
      <c r="O1692" t="s">
        <v>22</v>
      </c>
    </row>
    <row r="1693" spans="1:15">
      <c r="A1693" t="s">
        <v>5670</v>
      </c>
      <c r="B1693" t="s">
        <v>5670</v>
      </c>
      <c r="C1693" t="s">
        <v>5671</v>
      </c>
      <c r="F1693">
        <v>1</v>
      </c>
      <c r="G1693" s="1" t="s">
        <v>1809</v>
      </c>
      <c r="I1693" s="1" t="s">
        <v>11473</v>
      </c>
      <c r="O1693" t="s">
        <v>22</v>
      </c>
    </row>
    <row r="1694" spans="1:15">
      <c r="A1694" t="s">
        <v>6482</v>
      </c>
      <c r="B1694" t="s">
        <v>6482</v>
      </c>
      <c r="C1694" t="s">
        <v>5671</v>
      </c>
      <c r="F1694">
        <v>1</v>
      </c>
      <c r="G1694" s="1" t="s">
        <v>1810</v>
      </c>
      <c r="I1694" s="1" t="s">
        <v>11473</v>
      </c>
      <c r="O1694" t="s">
        <v>22</v>
      </c>
    </row>
    <row r="1695" spans="1:15">
      <c r="A1695" t="s">
        <v>6030</v>
      </c>
      <c r="B1695" t="s">
        <v>6030</v>
      </c>
      <c r="C1695" t="s">
        <v>4702</v>
      </c>
      <c r="F1695">
        <v>1</v>
      </c>
      <c r="G1695" s="1" t="s">
        <v>1811</v>
      </c>
      <c r="I1695" s="1" t="s">
        <v>11473</v>
      </c>
      <c r="O1695" t="s">
        <v>22</v>
      </c>
    </row>
    <row r="1696" spans="1:15">
      <c r="A1696" t="s">
        <v>6247</v>
      </c>
      <c r="B1696" t="s">
        <v>6247</v>
      </c>
      <c r="C1696" t="s">
        <v>4702</v>
      </c>
      <c r="F1696">
        <v>1</v>
      </c>
      <c r="G1696" s="1" t="s">
        <v>1812</v>
      </c>
      <c r="I1696" s="1" t="s">
        <v>11473</v>
      </c>
      <c r="O1696" t="s">
        <v>22</v>
      </c>
    </row>
    <row r="1697" spans="1:15">
      <c r="A1697" t="s">
        <v>11256</v>
      </c>
      <c r="B1697" t="s">
        <v>11256</v>
      </c>
      <c r="C1697" t="s">
        <v>11257</v>
      </c>
      <c r="F1697">
        <v>1</v>
      </c>
      <c r="G1697" s="1" t="s">
        <v>1813</v>
      </c>
      <c r="I1697" s="1" t="s">
        <v>11473</v>
      </c>
      <c r="O1697" t="s">
        <v>22</v>
      </c>
    </row>
    <row r="1698" spans="1:15">
      <c r="A1698" t="s">
        <v>5734</v>
      </c>
      <c r="B1698" t="s">
        <v>5734</v>
      </c>
      <c r="C1698" t="s">
        <v>4181</v>
      </c>
      <c r="F1698">
        <v>1</v>
      </c>
      <c r="G1698" s="1" t="s">
        <v>1814</v>
      </c>
      <c r="I1698" s="1" t="s">
        <v>11473</v>
      </c>
      <c r="O1698" t="s">
        <v>22</v>
      </c>
    </row>
    <row r="1699" spans="1:15">
      <c r="A1699" t="s">
        <v>6043</v>
      </c>
      <c r="B1699" t="s">
        <v>6043</v>
      </c>
      <c r="C1699" t="s">
        <v>4181</v>
      </c>
      <c r="F1699">
        <v>1</v>
      </c>
      <c r="G1699" s="1" t="s">
        <v>1815</v>
      </c>
      <c r="I1699" s="1" t="s">
        <v>11473</v>
      </c>
      <c r="O1699" t="s">
        <v>22</v>
      </c>
    </row>
    <row r="1700" spans="1:15">
      <c r="A1700" t="s">
        <v>5562</v>
      </c>
      <c r="B1700" t="s">
        <v>5562</v>
      </c>
      <c r="C1700" t="s">
        <v>4100</v>
      </c>
      <c r="F1700">
        <v>1</v>
      </c>
      <c r="G1700" s="1" t="s">
        <v>1816</v>
      </c>
      <c r="I1700" s="1" t="s">
        <v>11473</v>
      </c>
      <c r="O1700" t="s">
        <v>22</v>
      </c>
    </row>
    <row r="1701" spans="1:15">
      <c r="A1701" t="s">
        <v>8083</v>
      </c>
      <c r="B1701" t="s">
        <v>8083</v>
      </c>
      <c r="C1701" t="s">
        <v>4505</v>
      </c>
      <c r="F1701">
        <v>1</v>
      </c>
      <c r="G1701" s="1" t="s">
        <v>1817</v>
      </c>
      <c r="I1701" s="1" t="s">
        <v>11473</v>
      </c>
      <c r="O1701" t="s">
        <v>22</v>
      </c>
    </row>
    <row r="1702" spans="1:15">
      <c r="A1702" t="s">
        <v>6704</v>
      </c>
      <c r="B1702" t="s">
        <v>6704</v>
      </c>
      <c r="C1702" t="s">
        <v>4644</v>
      </c>
      <c r="F1702">
        <v>1</v>
      </c>
      <c r="G1702" s="1" t="s">
        <v>1818</v>
      </c>
      <c r="I1702" s="1" t="s">
        <v>11473</v>
      </c>
      <c r="O1702" t="s">
        <v>22</v>
      </c>
    </row>
    <row r="1703" spans="1:15">
      <c r="A1703" t="s">
        <v>7785</v>
      </c>
      <c r="B1703" t="s">
        <v>7785</v>
      </c>
      <c r="C1703" t="s">
        <v>7786</v>
      </c>
      <c r="F1703">
        <v>1</v>
      </c>
      <c r="G1703" s="1" t="s">
        <v>1819</v>
      </c>
      <c r="I1703" s="1" t="s">
        <v>11473</v>
      </c>
      <c r="O1703" t="s">
        <v>22</v>
      </c>
    </row>
    <row r="1704" spans="1:15">
      <c r="A1704" t="s">
        <v>10710</v>
      </c>
      <c r="B1704" t="s">
        <v>10710</v>
      </c>
      <c r="C1704" t="s">
        <v>7786</v>
      </c>
      <c r="F1704">
        <v>1</v>
      </c>
      <c r="G1704" s="1" t="s">
        <v>1820</v>
      </c>
      <c r="I1704" s="1" t="s">
        <v>11473</v>
      </c>
      <c r="O1704" t="s">
        <v>22</v>
      </c>
    </row>
    <row r="1705" spans="1:15">
      <c r="A1705" t="s">
        <v>7676</v>
      </c>
      <c r="B1705" t="s">
        <v>7676</v>
      </c>
      <c r="C1705" t="s">
        <v>4355</v>
      </c>
      <c r="F1705">
        <v>1</v>
      </c>
      <c r="G1705" s="1" t="s">
        <v>1821</v>
      </c>
      <c r="I1705" s="1" t="s">
        <v>11473</v>
      </c>
      <c r="O1705" t="s">
        <v>22</v>
      </c>
    </row>
    <row r="1706" spans="1:15">
      <c r="A1706" t="s">
        <v>6028</v>
      </c>
      <c r="B1706" t="s">
        <v>6028</v>
      </c>
      <c r="C1706" t="s">
        <v>6029</v>
      </c>
      <c r="F1706">
        <v>1</v>
      </c>
      <c r="G1706" s="1" t="s">
        <v>1822</v>
      </c>
      <c r="I1706" s="1" t="s">
        <v>11473</v>
      </c>
      <c r="O1706" t="s">
        <v>22</v>
      </c>
    </row>
    <row r="1707" spans="1:15">
      <c r="A1707" t="s">
        <v>5600</v>
      </c>
      <c r="B1707" t="s">
        <v>5600</v>
      </c>
      <c r="C1707" t="s">
        <v>5601</v>
      </c>
      <c r="F1707">
        <v>1</v>
      </c>
      <c r="G1707" s="1" t="s">
        <v>1823</v>
      </c>
      <c r="I1707" s="1" t="s">
        <v>11473</v>
      </c>
      <c r="O1707" t="s">
        <v>22</v>
      </c>
    </row>
    <row r="1708" spans="1:15">
      <c r="A1708" t="s">
        <v>8297</v>
      </c>
      <c r="B1708" t="s">
        <v>8297</v>
      </c>
      <c r="C1708" t="s">
        <v>8298</v>
      </c>
      <c r="F1708">
        <v>1</v>
      </c>
      <c r="G1708" s="1" t="s">
        <v>1824</v>
      </c>
      <c r="I1708" s="1" t="s">
        <v>11473</v>
      </c>
      <c r="O1708" t="s">
        <v>22</v>
      </c>
    </row>
    <row r="1709" spans="1:15">
      <c r="A1709" t="s">
        <v>8895</v>
      </c>
      <c r="B1709" t="s">
        <v>8895</v>
      </c>
      <c r="C1709" t="s">
        <v>8298</v>
      </c>
      <c r="F1709">
        <v>1</v>
      </c>
      <c r="G1709" s="1" t="s">
        <v>1825</v>
      </c>
      <c r="I1709" s="1" t="s">
        <v>11473</v>
      </c>
      <c r="O1709" t="s">
        <v>22</v>
      </c>
    </row>
    <row r="1710" spans="1:15">
      <c r="A1710" t="s">
        <v>7560</v>
      </c>
      <c r="B1710" t="s">
        <v>7560</v>
      </c>
      <c r="C1710" t="s">
        <v>7561</v>
      </c>
      <c r="F1710">
        <v>1</v>
      </c>
      <c r="G1710" s="1" t="s">
        <v>1826</v>
      </c>
      <c r="I1710" s="1" t="s">
        <v>11473</v>
      </c>
      <c r="O1710" t="s">
        <v>22</v>
      </c>
    </row>
    <row r="1711" spans="1:15">
      <c r="A1711" t="s">
        <v>6203</v>
      </c>
      <c r="B1711" t="s">
        <v>6203</v>
      </c>
      <c r="C1711" t="s">
        <v>6204</v>
      </c>
      <c r="F1711">
        <v>1</v>
      </c>
      <c r="G1711" s="1" t="s">
        <v>1827</v>
      </c>
      <c r="I1711" s="1" t="s">
        <v>11473</v>
      </c>
      <c r="O1711" t="s">
        <v>22</v>
      </c>
    </row>
    <row r="1712" spans="1:15">
      <c r="A1712" t="s">
        <v>8266</v>
      </c>
      <c r="B1712" t="s">
        <v>8266</v>
      </c>
      <c r="C1712" t="s">
        <v>4720</v>
      </c>
      <c r="F1712">
        <v>1</v>
      </c>
      <c r="G1712" s="1" t="s">
        <v>1828</v>
      </c>
      <c r="I1712" s="1" t="s">
        <v>11473</v>
      </c>
      <c r="O1712" t="s">
        <v>22</v>
      </c>
    </row>
    <row r="1713" spans="1:15">
      <c r="A1713" t="s">
        <v>9061</v>
      </c>
      <c r="B1713" t="s">
        <v>9061</v>
      </c>
      <c r="C1713" t="s">
        <v>4720</v>
      </c>
      <c r="F1713">
        <v>1</v>
      </c>
      <c r="G1713" s="1" t="s">
        <v>1829</v>
      </c>
      <c r="I1713" s="1" t="s">
        <v>11473</v>
      </c>
      <c r="O1713" t="s">
        <v>22</v>
      </c>
    </row>
    <row r="1714" spans="1:15">
      <c r="A1714" t="s">
        <v>7377</v>
      </c>
      <c r="B1714" t="s">
        <v>7377</v>
      </c>
      <c r="C1714" t="s">
        <v>4699</v>
      </c>
      <c r="F1714">
        <v>1</v>
      </c>
      <c r="G1714" s="1" t="s">
        <v>1830</v>
      </c>
      <c r="I1714" s="1" t="s">
        <v>11473</v>
      </c>
      <c r="O1714" t="s">
        <v>22</v>
      </c>
    </row>
    <row r="1715" spans="1:15">
      <c r="A1715" t="s">
        <v>10229</v>
      </c>
      <c r="B1715" t="s">
        <v>10229</v>
      </c>
      <c r="C1715" t="s">
        <v>10230</v>
      </c>
      <c r="F1715">
        <v>1</v>
      </c>
      <c r="G1715" s="1" t="s">
        <v>1831</v>
      </c>
      <c r="I1715" s="1" t="s">
        <v>11473</v>
      </c>
      <c r="O1715" t="s">
        <v>22</v>
      </c>
    </row>
    <row r="1716" spans="1:15">
      <c r="A1716" t="s">
        <v>9869</v>
      </c>
      <c r="B1716" t="s">
        <v>9869</v>
      </c>
      <c r="C1716" t="s">
        <v>4243</v>
      </c>
      <c r="F1716">
        <v>1</v>
      </c>
      <c r="G1716" s="1" t="s">
        <v>1832</v>
      </c>
      <c r="I1716" s="1" t="s">
        <v>11473</v>
      </c>
      <c r="O1716" t="s">
        <v>22</v>
      </c>
    </row>
    <row r="1717" spans="1:15">
      <c r="A1717" t="s">
        <v>7081</v>
      </c>
      <c r="B1717" t="s">
        <v>7081</v>
      </c>
      <c r="C1717" t="s">
        <v>4907</v>
      </c>
      <c r="F1717">
        <v>1</v>
      </c>
      <c r="G1717" s="1" t="s">
        <v>1833</v>
      </c>
      <c r="I1717" s="1" t="s">
        <v>11473</v>
      </c>
      <c r="O1717" t="s">
        <v>22</v>
      </c>
    </row>
    <row r="1718" spans="1:15">
      <c r="A1718" t="s">
        <v>11047</v>
      </c>
      <c r="B1718" t="s">
        <v>11047</v>
      </c>
      <c r="C1718" t="s">
        <v>11048</v>
      </c>
      <c r="F1718">
        <v>1</v>
      </c>
      <c r="G1718" s="1" t="s">
        <v>1834</v>
      </c>
      <c r="I1718" s="1" t="s">
        <v>11473</v>
      </c>
      <c r="O1718" t="s">
        <v>22</v>
      </c>
    </row>
    <row r="1719" spans="1:15">
      <c r="A1719" t="s">
        <v>6205</v>
      </c>
      <c r="B1719" t="s">
        <v>6205</v>
      </c>
      <c r="C1719" t="s">
        <v>4276</v>
      </c>
      <c r="F1719">
        <v>1</v>
      </c>
      <c r="G1719" s="1" t="s">
        <v>1835</v>
      </c>
      <c r="I1719" s="1" t="s">
        <v>11473</v>
      </c>
      <c r="O1719" t="s">
        <v>22</v>
      </c>
    </row>
    <row r="1720" spans="1:15">
      <c r="A1720" t="s">
        <v>10747</v>
      </c>
      <c r="B1720" t="s">
        <v>10747</v>
      </c>
      <c r="C1720" t="s">
        <v>5186</v>
      </c>
      <c r="F1720">
        <v>1</v>
      </c>
      <c r="G1720" s="1" t="s">
        <v>1836</v>
      </c>
      <c r="I1720" s="1" t="s">
        <v>11473</v>
      </c>
      <c r="O1720" t="s">
        <v>22</v>
      </c>
    </row>
    <row r="1721" spans="1:15">
      <c r="A1721" t="s">
        <v>5872</v>
      </c>
      <c r="B1721" t="s">
        <v>5872</v>
      </c>
      <c r="C1721" t="s">
        <v>4672</v>
      </c>
      <c r="F1721">
        <v>1</v>
      </c>
      <c r="G1721" s="1" t="s">
        <v>1837</v>
      </c>
      <c r="I1721" s="1" t="s">
        <v>11473</v>
      </c>
      <c r="O1721" t="s">
        <v>22</v>
      </c>
    </row>
    <row r="1722" spans="1:15">
      <c r="A1722" t="s">
        <v>5998</v>
      </c>
      <c r="B1722" t="s">
        <v>5998</v>
      </c>
      <c r="C1722" t="s">
        <v>4672</v>
      </c>
      <c r="F1722">
        <v>1</v>
      </c>
      <c r="G1722" s="1" t="s">
        <v>1838</v>
      </c>
      <c r="I1722" s="1" t="s">
        <v>11473</v>
      </c>
      <c r="O1722" t="s">
        <v>22</v>
      </c>
    </row>
    <row r="1723" spans="1:15">
      <c r="A1723" t="s">
        <v>9196</v>
      </c>
      <c r="B1723" t="s">
        <v>9196</v>
      </c>
      <c r="C1723" t="s">
        <v>4672</v>
      </c>
      <c r="F1723">
        <v>1</v>
      </c>
      <c r="G1723" s="1" t="s">
        <v>1839</v>
      </c>
      <c r="I1723" s="1" t="s">
        <v>11473</v>
      </c>
      <c r="O1723" t="s">
        <v>22</v>
      </c>
    </row>
    <row r="1724" spans="1:15">
      <c r="A1724" t="s">
        <v>9952</v>
      </c>
      <c r="B1724" t="s">
        <v>9952</v>
      </c>
      <c r="C1724" t="s">
        <v>4672</v>
      </c>
      <c r="F1724">
        <v>1</v>
      </c>
      <c r="G1724" s="1" t="s">
        <v>1840</v>
      </c>
      <c r="I1724" s="1" t="s">
        <v>11473</v>
      </c>
      <c r="O1724" t="s">
        <v>22</v>
      </c>
    </row>
    <row r="1725" spans="1:15">
      <c r="A1725" t="s">
        <v>9398</v>
      </c>
      <c r="B1725" t="s">
        <v>9398</v>
      </c>
      <c r="C1725" t="s">
        <v>5329</v>
      </c>
      <c r="F1725">
        <v>1</v>
      </c>
      <c r="G1725" s="1" t="s">
        <v>1841</v>
      </c>
      <c r="I1725" s="1" t="s">
        <v>11473</v>
      </c>
      <c r="O1725" t="s">
        <v>22</v>
      </c>
    </row>
    <row r="1726" spans="1:15">
      <c r="A1726" t="s">
        <v>11145</v>
      </c>
      <c r="B1726" t="s">
        <v>11145</v>
      </c>
      <c r="C1726" t="s">
        <v>11146</v>
      </c>
      <c r="F1726">
        <v>1</v>
      </c>
      <c r="G1726" s="1" t="s">
        <v>1842</v>
      </c>
      <c r="I1726" s="1" t="s">
        <v>11473</v>
      </c>
      <c r="O1726" t="s">
        <v>22</v>
      </c>
    </row>
    <row r="1727" spans="1:15">
      <c r="A1727" t="s">
        <v>6045</v>
      </c>
      <c r="B1727" t="s">
        <v>6045</v>
      </c>
      <c r="C1727" t="s">
        <v>4155</v>
      </c>
      <c r="F1727">
        <v>1</v>
      </c>
      <c r="G1727" s="1" t="s">
        <v>1843</v>
      </c>
      <c r="I1727" s="1" t="s">
        <v>11473</v>
      </c>
      <c r="O1727" t="s">
        <v>22</v>
      </c>
    </row>
    <row r="1728" spans="1:15">
      <c r="A1728" t="s">
        <v>7258</v>
      </c>
      <c r="B1728" t="s">
        <v>7258</v>
      </c>
      <c r="C1728" t="s">
        <v>4155</v>
      </c>
      <c r="F1728">
        <v>1</v>
      </c>
      <c r="G1728" s="1" t="s">
        <v>1844</v>
      </c>
      <c r="I1728" s="1" t="s">
        <v>11473</v>
      </c>
      <c r="O1728" t="s">
        <v>22</v>
      </c>
    </row>
    <row r="1729" spans="1:15">
      <c r="A1729" t="s">
        <v>8990</v>
      </c>
      <c r="B1729" t="s">
        <v>8990</v>
      </c>
      <c r="C1729" t="s">
        <v>4155</v>
      </c>
      <c r="F1729">
        <v>1</v>
      </c>
      <c r="G1729" s="1" t="s">
        <v>1845</v>
      </c>
      <c r="I1729" s="1" t="s">
        <v>11473</v>
      </c>
      <c r="O1729" t="s">
        <v>22</v>
      </c>
    </row>
    <row r="1730" spans="1:15">
      <c r="A1730" t="s">
        <v>10183</v>
      </c>
      <c r="B1730" t="s">
        <v>10183</v>
      </c>
      <c r="C1730" t="s">
        <v>4155</v>
      </c>
      <c r="F1730">
        <v>1</v>
      </c>
      <c r="G1730" s="1" t="s">
        <v>1846</v>
      </c>
      <c r="I1730" s="1" t="s">
        <v>11473</v>
      </c>
      <c r="O1730" t="s">
        <v>22</v>
      </c>
    </row>
    <row r="1731" spans="1:15">
      <c r="A1731" t="s">
        <v>11014</v>
      </c>
      <c r="B1731" t="s">
        <v>11014</v>
      </c>
      <c r="C1731" t="s">
        <v>4150</v>
      </c>
      <c r="F1731">
        <v>1</v>
      </c>
      <c r="G1731" s="1" t="s">
        <v>1847</v>
      </c>
      <c r="I1731" s="1" t="s">
        <v>11473</v>
      </c>
      <c r="O1731" t="s">
        <v>22</v>
      </c>
    </row>
    <row r="1732" spans="1:15">
      <c r="A1732" t="s">
        <v>5560</v>
      </c>
      <c r="B1732" t="s">
        <v>5560</v>
      </c>
      <c r="C1732" t="s">
        <v>4600</v>
      </c>
      <c r="F1732">
        <v>1</v>
      </c>
      <c r="G1732" s="1" t="s">
        <v>1848</v>
      </c>
      <c r="I1732" s="1" t="s">
        <v>11473</v>
      </c>
      <c r="O1732" t="s">
        <v>22</v>
      </c>
    </row>
    <row r="1733" spans="1:15">
      <c r="A1733" t="s">
        <v>7374</v>
      </c>
      <c r="B1733" t="s">
        <v>7374</v>
      </c>
      <c r="C1733" t="s">
        <v>4600</v>
      </c>
      <c r="F1733">
        <v>1</v>
      </c>
      <c r="G1733" s="1" t="s">
        <v>1849</v>
      </c>
      <c r="I1733" s="1" t="s">
        <v>11473</v>
      </c>
      <c r="O1733" t="s">
        <v>22</v>
      </c>
    </row>
    <row r="1734" spans="1:15">
      <c r="A1734" t="s">
        <v>9085</v>
      </c>
      <c r="B1734" t="s">
        <v>9085</v>
      </c>
      <c r="C1734" t="s">
        <v>4600</v>
      </c>
      <c r="F1734">
        <v>1</v>
      </c>
      <c r="G1734" s="1" t="s">
        <v>1850</v>
      </c>
      <c r="I1734" s="1" t="s">
        <v>11473</v>
      </c>
      <c r="O1734" t="s">
        <v>22</v>
      </c>
    </row>
    <row r="1735" spans="1:15">
      <c r="A1735" t="s">
        <v>5487</v>
      </c>
      <c r="B1735" t="s">
        <v>5487</v>
      </c>
      <c r="C1735" t="s">
        <v>4193</v>
      </c>
      <c r="F1735">
        <v>1</v>
      </c>
      <c r="G1735" s="1" t="s">
        <v>1851</v>
      </c>
      <c r="I1735" s="1" t="s">
        <v>11473</v>
      </c>
      <c r="O1735" t="s">
        <v>22</v>
      </c>
    </row>
    <row r="1736" spans="1:15">
      <c r="A1736" t="s">
        <v>6615</v>
      </c>
      <c r="B1736" t="s">
        <v>6615</v>
      </c>
      <c r="C1736" t="s">
        <v>4193</v>
      </c>
      <c r="F1736">
        <v>1</v>
      </c>
      <c r="G1736" s="1" t="s">
        <v>1852</v>
      </c>
      <c r="I1736" s="1" t="s">
        <v>11473</v>
      </c>
      <c r="O1736" t="s">
        <v>22</v>
      </c>
    </row>
    <row r="1737" spans="1:15">
      <c r="A1737" t="s">
        <v>9923</v>
      </c>
      <c r="B1737" t="s">
        <v>9923</v>
      </c>
      <c r="C1737" t="s">
        <v>4193</v>
      </c>
      <c r="F1737">
        <v>1</v>
      </c>
      <c r="G1737" s="1" t="s">
        <v>1853</v>
      </c>
      <c r="I1737" s="1" t="s">
        <v>11473</v>
      </c>
      <c r="O1737" t="s">
        <v>22</v>
      </c>
    </row>
    <row r="1738" spans="1:15">
      <c r="A1738" t="s">
        <v>10616</v>
      </c>
      <c r="B1738" t="s">
        <v>10616</v>
      </c>
      <c r="C1738" t="s">
        <v>4193</v>
      </c>
      <c r="F1738">
        <v>1</v>
      </c>
      <c r="G1738" s="1" t="s">
        <v>1854</v>
      </c>
      <c r="I1738" s="1" t="s">
        <v>11473</v>
      </c>
      <c r="O1738" t="s">
        <v>22</v>
      </c>
    </row>
    <row r="1739" spans="1:15">
      <c r="A1739" t="s">
        <v>7387</v>
      </c>
      <c r="B1739" t="s">
        <v>7387</v>
      </c>
      <c r="C1739" t="s">
        <v>8</v>
      </c>
      <c r="F1739">
        <v>1</v>
      </c>
      <c r="G1739" s="1" t="s">
        <v>1855</v>
      </c>
      <c r="I1739" s="1" t="s">
        <v>11473</v>
      </c>
      <c r="O1739" t="s">
        <v>22</v>
      </c>
    </row>
    <row r="1740" spans="1:15">
      <c r="A1740" t="s">
        <v>11045</v>
      </c>
      <c r="B1740" t="s">
        <v>11045</v>
      </c>
      <c r="C1740" t="s">
        <v>8</v>
      </c>
      <c r="F1740">
        <v>1</v>
      </c>
      <c r="G1740" s="1" t="s">
        <v>1856</v>
      </c>
      <c r="I1740" s="1" t="s">
        <v>11473</v>
      </c>
      <c r="O1740" t="s">
        <v>22</v>
      </c>
    </row>
    <row r="1741" spans="1:15">
      <c r="A1741" t="s">
        <v>5572</v>
      </c>
      <c r="B1741" t="s">
        <v>5572</v>
      </c>
      <c r="C1741" t="s">
        <v>4107</v>
      </c>
      <c r="F1741">
        <v>1</v>
      </c>
      <c r="G1741" s="1" t="s">
        <v>1857</v>
      </c>
      <c r="I1741" s="1" t="s">
        <v>11473</v>
      </c>
      <c r="O1741" t="s">
        <v>22</v>
      </c>
    </row>
    <row r="1742" spans="1:15">
      <c r="A1742" t="s">
        <v>7494</v>
      </c>
      <c r="B1742" t="s">
        <v>7494</v>
      </c>
      <c r="C1742" t="s">
        <v>7495</v>
      </c>
      <c r="F1742">
        <v>1</v>
      </c>
      <c r="G1742" s="1" t="s">
        <v>1858</v>
      </c>
      <c r="I1742" s="1" t="s">
        <v>11473</v>
      </c>
      <c r="O1742" t="s">
        <v>22</v>
      </c>
    </row>
    <row r="1743" spans="1:15">
      <c r="A1743" t="s">
        <v>6227</v>
      </c>
      <c r="B1743" t="s">
        <v>6227</v>
      </c>
      <c r="C1743" t="s">
        <v>6228</v>
      </c>
      <c r="F1743">
        <v>1</v>
      </c>
      <c r="G1743" s="1" t="s">
        <v>1859</v>
      </c>
      <c r="I1743" s="1" t="s">
        <v>11473</v>
      </c>
      <c r="O1743" t="s">
        <v>22</v>
      </c>
    </row>
    <row r="1744" spans="1:15">
      <c r="A1744" t="s">
        <v>9116</v>
      </c>
      <c r="B1744" t="s">
        <v>9116</v>
      </c>
      <c r="C1744" t="s">
        <v>6228</v>
      </c>
      <c r="F1744">
        <v>1</v>
      </c>
      <c r="G1744" s="1" t="s">
        <v>1860</v>
      </c>
      <c r="I1744" s="1" t="s">
        <v>11473</v>
      </c>
      <c r="O1744" t="s">
        <v>22</v>
      </c>
    </row>
    <row r="1745" spans="1:15">
      <c r="A1745" t="s">
        <v>9479</v>
      </c>
      <c r="B1745" t="s">
        <v>9479</v>
      </c>
      <c r="C1745" t="s">
        <v>6228</v>
      </c>
      <c r="F1745">
        <v>1</v>
      </c>
      <c r="G1745" s="1" t="s">
        <v>1861</v>
      </c>
      <c r="I1745" s="1" t="s">
        <v>11473</v>
      </c>
      <c r="O1745" t="s">
        <v>22</v>
      </c>
    </row>
    <row r="1746" spans="1:15">
      <c r="A1746" t="s">
        <v>6230</v>
      </c>
      <c r="B1746" t="s">
        <v>6230</v>
      </c>
      <c r="C1746" t="s">
        <v>4534</v>
      </c>
      <c r="F1746">
        <v>1</v>
      </c>
      <c r="G1746" s="1" t="s">
        <v>1862</v>
      </c>
      <c r="I1746" s="1" t="s">
        <v>11473</v>
      </c>
      <c r="O1746" t="s">
        <v>22</v>
      </c>
    </row>
    <row r="1747" spans="1:15">
      <c r="A1747" t="s">
        <v>7917</v>
      </c>
      <c r="B1747" t="s">
        <v>7917</v>
      </c>
      <c r="C1747" t="s">
        <v>7918</v>
      </c>
      <c r="F1747">
        <v>1</v>
      </c>
      <c r="G1747" s="1" t="s">
        <v>1863</v>
      </c>
      <c r="I1747" s="1" t="s">
        <v>11473</v>
      </c>
      <c r="O1747" t="s">
        <v>22</v>
      </c>
    </row>
    <row r="1748" spans="1:15">
      <c r="A1748" t="s">
        <v>11260</v>
      </c>
      <c r="B1748" t="s">
        <v>11260</v>
      </c>
      <c r="C1748" t="s">
        <v>5182</v>
      </c>
      <c r="F1748">
        <v>1</v>
      </c>
      <c r="G1748" s="1" t="s">
        <v>1864</v>
      </c>
      <c r="I1748" s="1" t="s">
        <v>11473</v>
      </c>
      <c r="O1748" t="s">
        <v>22</v>
      </c>
    </row>
    <row r="1749" spans="1:15">
      <c r="A1749" t="s">
        <v>5439</v>
      </c>
      <c r="B1749" t="s">
        <v>5439</v>
      </c>
      <c r="C1749" t="s">
        <v>4109</v>
      </c>
      <c r="F1749">
        <v>1</v>
      </c>
      <c r="G1749" s="1" t="s">
        <v>1865</v>
      </c>
      <c r="I1749" s="1" t="s">
        <v>11473</v>
      </c>
      <c r="O1749" t="s">
        <v>22</v>
      </c>
    </row>
    <row r="1750" spans="1:15">
      <c r="A1750" t="s">
        <v>9133</v>
      </c>
      <c r="B1750" t="s">
        <v>9133</v>
      </c>
      <c r="C1750" t="s">
        <v>4109</v>
      </c>
      <c r="F1750">
        <v>1</v>
      </c>
      <c r="G1750" s="1" t="s">
        <v>1866</v>
      </c>
      <c r="I1750" s="1" t="s">
        <v>11473</v>
      </c>
      <c r="O1750" t="s">
        <v>22</v>
      </c>
    </row>
    <row r="1751" spans="1:15">
      <c r="A1751" t="s">
        <v>9854</v>
      </c>
      <c r="B1751" t="s">
        <v>9854</v>
      </c>
      <c r="C1751" t="s">
        <v>4109</v>
      </c>
      <c r="F1751">
        <v>1</v>
      </c>
      <c r="G1751" s="1" t="s">
        <v>1867</v>
      </c>
      <c r="I1751" s="1" t="s">
        <v>11473</v>
      </c>
      <c r="O1751" t="s">
        <v>22</v>
      </c>
    </row>
    <row r="1752" spans="1:15">
      <c r="A1752" t="s">
        <v>11173</v>
      </c>
      <c r="B1752" t="s">
        <v>11173</v>
      </c>
      <c r="C1752" t="s">
        <v>4109</v>
      </c>
      <c r="F1752">
        <v>1</v>
      </c>
      <c r="G1752" s="1" t="s">
        <v>1868</v>
      </c>
      <c r="I1752" s="1" t="s">
        <v>11473</v>
      </c>
      <c r="O1752" t="s">
        <v>22</v>
      </c>
    </row>
    <row r="1753" spans="1:15">
      <c r="A1753" t="s">
        <v>5573</v>
      </c>
      <c r="B1753" t="s">
        <v>5573</v>
      </c>
      <c r="C1753" t="s">
        <v>5229</v>
      </c>
      <c r="F1753">
        <v>1</v>
      </c>
      <c r="G1753" s="1" t="s">
        <v>1869</v>
      </c>
      <c r="I1753" s="1" t="s">
        <v>11473</v>
      </c>
      <c r="O1753" t="s">
        <v>22</v>
      </c>
    </row>
    <row r="1754" spans="1:15">
      <c r="A1754" t="s">
        <v>6070</v>
      </c>
      <c r="B1754" t="s">
        <v>6070</v>
      </c>
      <c r="C1754" t="s">
        <v>5229</v>
      </c>
      <c r="F1754">
        <v>1</v>
      </c>
      <c r="G1754" s="1" t="s">
        <v>1870</v>
      </c>
      <c r="I1754" s="1" t="s">
        <v>11473</v>
      </c>
      <c r="O1754" t="s">
        <v>22</v>
      </c>
    </row>
    <row r="1755" spans="1:15">
      <c r="A1755" t="s">
        <v>10397</v>
      </c>
      <c r="B1755" t="s">
        <v>10397</v>
      </c>
      <c r="C1755" t="s">
        <v>5229</v>
      </c>
      <c r="F1755">
        <v>1</v>
      </c>
      <c r="G1755" s="1" t="s">
        <v>1871</v>
      </c>
      <c r="I1755" s="1" t="s">
        <v>11473</v>
      </c>
      <c r="O1755" t="s">
        <v>22</v>
      </c>
    </row>
    <row r="1756" spans="1:15">
      <c r="A1756" t="s">
        <v>6057</v>
      </c>
      <c r="B1756" t="s">
        <v>6057</v>
      </c>
      <c r="C1756" t="s">
        <v>4669</v>
      </c>
      <c r="F1756">
        <v>1</v>
      </c>
      <c r="G1756" s="1" t="s">
        <v>1872</v>
      </c>
      <c r="I1756" s="1" t="s">
        <v>11473</v>
      </c>
      <c r="O1756" t="s">
        <v>22</v>
      </c>
    </row>
    <row r="1757" spans="1:15">
      <c r="A1757" t="s">
        <v>7462</v>
      </c>
      <c r="B1757" t="s">
        <v>7462</v>
      </c>
      <c r="C1757" t="s">
        <v>7463</v>
      </c>
      <c r="F1757">
        <v>1</v>
      </c>
      <c r="G1757" s="1" t="s">
        <v>1873</v>
      </c>
      <c r="I1757" s="1" t="s">
        <v>11473</v>
      </c>
      <c r="O1757" t="s">
        <v>22</v>
      </c>
    </row>
    <row r="1758" spans="1:15">
      <c r="A1758" t="s">
        <v>9141</v>
      </c>
      <c r="B1758" t="s">
        <v>9141</v>
      </c>
      <c r="C1758" t="s">
        <v>9142</v>
      </c>
      <c r="F1758">
        <v>1</v>
      </c>
      <c r="G1758" s="1" t="s">
        <v>1874</v>
      </c>
      <c r="I1758" s="1" t="s">
        <v>11473</v>
      </c>
      <c r="O1758" t="s">
        <v>22</v>
      </c>
    </row>
    <row r="1759" spans="1:15">
      <c r="A1759" t="s">
        <v>10302</v>
      </c>
      <c r="B1759" t="s">
        <v>10302</v>
      </c>
      <c r="C1759" t="s">
        <v>4096</v>
      </c>
      <c r="F1759">
        <v>1</v>
      </c>
      <c r="G1759" s="1" t="s">
        <v>1875</v>
      </c>
      <c r="I1759" s="1" t="s">
        <v>11473</v>
      </c>
      <c r="O1759" t="s">
        <v>22</v>
      </c>
    </row>
    <row r="1760" spans="1:15">
      <c r="A1760" t="s">
        <v>7375</v>
      </c>
      <c r="B1760" t="s">
        <v>7375</v>
      </c>
      <c r="C1760" t="s">
        <v>5391</v>
      </c>
      <c r="F1760">
        <v>1</v>
      </c>
      <c r="G1760" s="1" t="s">
        <v>1876</v>
      </c>
      <c r="I1760" s="1" t="s">
        <v>11473</v>
      </c>
      <c r="O1760" t="s">
        <v>22</v>
      </c>
    </row>
    <row r="1761" spans="1:15">
      <c r="A1761" t="s">
        <v>9549</v>
      </c>
      <c r="B1761" t="s">
        <v>9549</v>
      </c>
      <c r="C1761" t="s">
        <v>5391</v>
      </c>
      <c r="F1761">
        <v>1</v>
      </c>
      <c r="G1761" s="1" t="s">
        <v>1877</v>
      </c>
      <c r="I1761" s="1" t="s">
        <v>11473</v>
      </c>
      <c r="O1761" t="s">
        <v>22</v>
      </c>
    </row>
    <row r="1762" spans="1:15">
      <c r="A1762" t="s">
        <v>5923</v>
      </c>
      <c r="B1762" t="s">
        <v>5923</v>
      </c>
      <c r="C1762" t="s">
        <v>5924</v>
      </c>
      <c r="F1762">
        <v>1</v>
      </c>
      <c r="G1762" s="1" t="s">
        <v>1878</v>
      </c>
      <c r="I1762" s="1" t="s">
        <v>11473</v>
      </c>
      <c r="O1762" t="s">
        <v>22</v>
      </c>
    </row>
    <row r="1763" spans="1:15">
      <c r="A1763" t="s">
        <v>8443</v>
      </c>
      <c r="B1763" t="s">
        <v>8443</v>
      </c>
      <c r="C1763" t="s">
        <v>5924</v>
      </c>
      <c r="F1763">
        <v>1</v>
      </c>
      <c r="G1763" s="1" t="s">
        <v>1879</v>
      </c>
      <c r="I1763" s="1" t="s">
        <v>11473</v>
      </c>
      <c r="O1763" t="s">
        <v>22</v>
      </c>
    </row>
    <row r="1764" spans="1:15">
      <c r="A1764" t="s">
        <v>7074</v>
      </c>
      <c r="B1764" t="s">
        <v>7074</v>
      </c>
      <c r="C1764" t="s">
        <v>5056</v>
      </c>
      <c r="F1764">
        <v>1</v>
      </c>
      <c r="G1764" s="1" t="s">
        <v>1880</v>
      </c>
      <c r="I1764" s="1" t="s">
        <v>11473</v>
      </c>
      <c r="O1764" t="s">
        <v>22</v>
      </c>
    </row>
    <row r="1765" spans="1:15">
      <c r="A1765" t="s">
        <v>8655</v>
      </c>
      <c r="B1765" t="s">
        <v>8655</v>
      </c>
      <c r="C1765" t="s">
        <v>4242</v>
      </c>
      <c r="F1765">
        <v>1</v>
      </c>
      <c r="G1765" s="1" t="s">
        <v>1881</v>
      </c>
      <c r="I1765" s="1" t="s">
        <v>11473</v>
      </c>
      <c r="O1765" t="s">
        <v>22</v>
      </c>
    </row>
    <row r="1766" spans="1:15">
      <c r="A1766" t="s">
        <v>9532</v>
      </c>
      <c r="B1766" t="s">
        <v>9532</v>
      </c>
      <c r="C1766" t="s">
        <v>4718</v>
      </c>
      <c r="F1766">
        <v>1</v>
      </c>
      <c r="G1766" s="1" t="s">
        <v>1882</v>
      </c>
      <c r="I1766" s="1" t="s">
        <v>11473</v>
      </c>
      <c r="O1766" t="s">
        <v>22</v>
      </c>
    </row>
    <row r="1767" spans="1:15">
      <c r="A1767" t="s">
        <v>10706</v>
      </c>
      <c r="B1767" t="s">
        <v>10706</v>
      </c>
      <c r="C1767" t="s">
        <v>4718</v>
      </c>
      <c r="F1767">
        <v>1</v>
      </c>
      <c r="G1767" s="1" t="s">
        <v>1883</v>
      </c>
      <c r="I1767" s="1" t="s">
        <v>11473</v>
      </c>
      <c r="O1767" t="s">
        <v>22</v>
      </c>
    </row>
    <row r="1768" spans="1:15">
      <c r="A1768" t="s">
        <v>6093</v>
      </c>
      <c r="B1768" t="s">
        <v>6093</v>
      </c>
      <c r="C1768" t="s">
        <v>5139</v>
      </c>
      <c r="F1768">
        <v>1</v>
      </c>
      <c r="G1768" s="1" t="s">
        <v>1884</v>
      </c>
      <c r="I1768" s="1" t="s">
        <v>11473</v>
      </c>
      <c r="O1768" t="s">
        <v>22</v>
      </c>
    </row>
    <row r="1769" spans="1:15">
      <c r="A1769" t="s">
        <v>7082</v>
      </c>
      <c r="B1769" t="s">
        <v>7082</v>
      </c>
      <c r="C1769" t="s">
        <v>5139</v>
      </c>
      <c r="F1769">
        <v>1</v>
      </c>
      <c r="G1769" s="1" t="s">
        <v>1885</v>
      </c>
      <c r="I1769" s="1" t="s">
        <v>11473</v>
      </c>
      <c r="O1769" t="s">
        <v>22</v>
      </c>
    </row>
    <row r="1770" spans="1:15">
      <c r="A1770" t="s">
        <v>7376</v>
      </c>
      <c r="B1770" t="s">
        <v>7376</v>
      </c>
      <c r="C1770" t="s">
        <v>5139</v>
      </c>
      <c r="F1770">
        <v>1</v>
      </c>
      <c r="G1770" s="1" t="s">
        <v>1886</v>
      </c>
      <c r="I1770" s="1" t="s">
        <v>11473</v>
      </c>
      <c r="O1770" t="s">
        <v>22</v>
      </c>
    </row>
    <row r="1771" spans="1:15">
      <c r="A1771" t="s">
        <v>10690</v>
      </c>
      <c r="B1771" t="s">
        <v>10690</v>
      </c>
      <c r="C1771" t="s">
        <v>5139</v>
      </c>
      <c r="F1771">
        <v>1</v>
      </c>
      <c r="G1771" s="1" t="s">
        <v>1887</v>
      </c>
      <c r="I1771" s="1" t="s">
        <v>11473</v>
      </c>
      <c r="O1771" t="s">
        <v>22</v>
      </c>
    </row>
    <row r="1772" spans="1:15">
      <c r="A1772" t="s">
        <v>6206</v>
      </c>
      <c r="B1772" t="s">
        <v>6206</v>
      </c>
      <c r="C1772" t="s">
        <v>5354</v>
      </c>
      <c r="F1772">
        <v>1</v>
      </c>
      <c r="G1772" s="1" t="s">
        <v>1888</v>
      </c>
      <c r="I1772" s="1" t="s">
        <v>11473</v>
      </c>
      <c r="O1772" t="s">
        <v>22</v>
      </c>
    </row>
    <row r="1773" spans="1:15">
      <c r="A1773" t="s">
        <v>11408</v>
      </c>
      <c r="B1773" t="s">
        <v>11408</v>
      </c>
      <c r="C1773" t="s">
        <v>5354</v>
      </c>
      <c r="F1773">
        <v>1</v>
      </c>
      <c r="G1773" s="1" t="s">
        <v>1889</v>
      </c>
      <c r="I1773" s="1" t="s">
        <v>11473</v>
      </c>
      <c r="O1773" t="s">
        <v>22</v>
      </c>
    </row>
    <row r="1774" spans="1:15">
      <c r="A1774" t="s">
        <v>6199</v>
      </c>
      <c r="B1774" t="s">
        <v>6199</v>
      </c>
      <c r="C1774" t="s">
        <v>4709</v>
      </c>
      <c r="F1774">
        <v>1</v>
      </c>
      <c r="G1774" s="1" t="s">
        <v>1890</v>
      </c>
      <c r="I1774" s="1" t="s">
        <v>11473</v>
      </c>
      <c r="O1774" t="s">
        <v>22</v>
      </c>
    </row>
    <row r="1775" spans="1:15">
      <c r="A1775" t="s">
        <v>8238</v>
      </c>
      <c r="B1775" t="s">
        <v>8238</v>
      </c>
      <c r="C1775" t="s">
        <v>8239</v>
      </c>
      <c r="F1775">
        <v>1</v>
      </c>
      <c r="G1775" s="1" t="s">
        <v>1891</v>
      </c>
      <c r="I1775" s="1" t="s">
        <v>11473</v>
      </c>
      <c r="O1775" t="s">
        <v>22</v>
      </c>
    </row>
    <row r="1776" spans="1:15">
      <c r="A1776" t="s">
        <v>6054</v>
      </c>
      <c r="B1776" t="s">
        <v>6054</v>
      </c>
      <c r="C1776" t="s">
        <v>4205</v>
      </c>
      <c r="F1776">
        <v>1</v>
      </c>
      <c r="G1776" s="1" t="s">
        <v>1892</v>
      </c>
      <c r="I1776" s="1" t="s">
        <v>11473</v>
      </c>
      <c r="O1776" t="s">
        <v>22</v>
      </c>
    </row>
    <row r="1777" spans="1:15">
      <c r="A1777" t="s">
        <v>7976</v>
      </c>
      <c r="B1777" t="s">
        <v>7976</v>
      </c>
      <c r="C1777" t="s">
        <v>7977</v>
      </c>
      <c r="F1777">
        <v>1</v>
      </c>
      <c r="G1777" s="1" t="s">
        <v>1893</v>
      </c>
      <c r="I1777" s="1" t="s">
        <v>11473</v>
      </c>
      <c r="O1777" t="s">
        <v>22</v>
      </c>
    </row>
    <row r="1778" spans="1:15">
      <c r="A1778" t="s">
        <v>7383</v>
      </c>
      <c r="B1778" t="s">
        <v>7383</v>
      </c>
      <c r="C1778" t="s">
        <v>7384</v>
      </c>
      <c r="F1778">
        <v>1</v>
      </c>
      <c r="G1778" s="1" t="s">
        <v>1894</v>
      </c>
      <c r="I1778" s="1" t="s">
        <v>11473</v>
      </c>
      <c r="O1778" t="s">
        <v>22</v>
      </c>
    </row>
    <row r="1779" spans="1:15">
      <c r="A1779" t="s">
        <v>7539</v>
      </c>
      <c r="B1779" t="s">
        <v>7539</v>
      </c>
      <c r="C1779" t="s">
        <v>7384</v>
      </c>
      <c r="F1779">
        <v>1</v>
      </c>
      <c r="G1779" s="1" t="s">
        <v>1895</v>
      </c>
      <c r="I1779" s="1" t="s">
        <v>11473</v>
      </c>
      <c r="O1779" t="s">
        <v>22</v>
      </c>
    </row>
    <row r="1780" spans="1:15">
      <c r="A1780" t="s">
        <v>7106</v>
      </c>
      <c r="B1780" t="s">
        <v>7106</v>
      </c>
      <c r="C1780" t="s">
        <v>7107</v>
      </c>
      <c r="F1780">
        <v>1</v>
      </c>
      <c r="G1780" s="1" t="s">
        <v>1896</v>
      </c>
      <c r="I1780" s="1" t="s">
        <v>11473</v>
      </c>
      <c r="O1780" t="s">
        <v>22</v>
      </c>
    </row>
    <row r="1781" spans="1:15">
      <c r="A1781" t="s">
        <v>8657</v>
      </c>
      <c r="B1781" t="s">
        <v>8657</v>
      </c>
      <c r="C1781" t="s">
        <v>8658</v>
      </c>
      <c r="F1781">
        <v>1</v>
      </c>
      <c r="G1781" s="1" t="s">
        <v>1897</v>
      </c>
      <c r="I1781" s="1" t="s">
        <v>11473</v>
      </c>
      <c r="O1781" t="s">
        <v>22</v>
      </c>
    </row>
    <row r="1782" spans="1:15">
      <c r="A1782" t="s">
        <v>10203</v>
      </c>
      <c r="B1782" t="s">
        <v>10203</v>
      </c>
      <c r="C1782" t="s">
        <v>8658</v>
      </c>
      <c r="F1782">
        <v>1</v>
      </c>
      <c r="G1782" s="1" t="s">
        <v>1898</v>
      </c>
      <c r="I1782" s="1" t="s">
        <v>11473</v>
      </c>
      <c r="O1782" t="s">
        <v>22</v>
      </c>
    </row>
    <row r="1783" spans="1:15">
      <c r="A1783" t="s">
        <v>8264</v>
      </c>
      <c r="B1783" t="s">
        <v>8264</v>
      </c>
      <c r="C1783" t="s">
        <v>4416</v>
      </c>
      <c r="F1783">
        <v>1</v>
      </c>
      <c r="G1783" s="1" t="s">
        <v>1899</v>
      </c>
      <c r="I1783" s="1" t="s">
        <v>11473</v>
      </c>
      <c r="O1783" t="s">
        <v>22</v>
      </c>
    </row>
    <row r="1784" spans="1:15">
      <c r="A1784" t="s">
        <v>10063</v>
      </c>
      <c r="B1784" t="s">
        <v>10063</v>
      </c>
      <c r="C1784" t="s">
        <v>4416</v>
      </c>
      <c r="F1784">
        <v>1</v>
      </c>
      <c r="G1784" s="1" t="s">
        <v>1900</v>
      </c>
      <c r="I1784" s="1" t="s">
        <v>11473</v>
      </c>
      <c r="O1784" t="s">
        <v>22</v>
      </c>
    </row>
    <row r="1785" spans="1:15">
      <c r="A1785" t="s">
        <v>5681</v>
      </c>
      <c r="B1785" t="s">
        <v>5681</v>
      </c>
      <c r="C1785" t="s">
        <v>5682</v>
      </c>
      <c r="F1785">
        <v>1</v>
      </c>
      <c r="G1785" s="1" t="s">
        <v>1901</v>
      </c>
      <c r="I1785" s="1" t="s">
        <v>11473</v>
      </c>
      <c r="O1785" t="s">
        <v>22</v>
      </c>
    </row>
    <row r="1786" spans="1:15">
      <c r="A1786" t="s">
        <v>6242</v>
      </c>
      <c r="B1786" t="s">
        <v>6242</v>
      </c>
      <c r="C1786" t="s">
        <v>5682</v>
      </c>
      <c r="F1786">
        <v>1</v>
      </c>
      <c r="G1786" s="1" t="s">
        <v>1902</v>
      </c>
      <c r="I1786" s="1" t="s">
        <v>11473</v>
      </c>
      <c r="O1786" t="s">
        <v>22</v>
      </c>
    </row>
    <row r="1787" spans="1:15">
      <c r="A1787" t="s">
        <v>7058</v>
      </c>
      <c r="B1787" t="s">
        <v>7058</v>
      </c>
      <c r="C1787" t="s">
        <v>4251</v>
      </c>
      <c r="F1787">
        <v>1</v>
      </c>
      <c r="G1787" s="1" t="s">
        <v>1903</v>
      </c>
      <c r="I1787" s="1" t="s">
        <v>11473</v>
      </c>
      <c r="O1787" t="s">
        <v>22</v>
      </c>
    </row>
    <row r="1788" spans="1:15">
      <c r="A1788" t="s">
        <v>7486</v>
      </c>
      <c r="B1788" t="s">
        <v>7486</v>
      </c>
      <c r="C1788" t="s">
        <v>4251</v>
      </c>
      <c r="F1788">
        <v>1</v>
      </c>
      <c r="G1788" s="1" t="s">
        <v>1904</v>
      </c>
      <c r="I1788" s="1" t="s">
        <v>11473</v>
      </c>
      <c r="O1788" t="s">
        <v>22</v>
      </c>
    </row>
    <row r="1789" spans="1:15">
      <c r="A1789" t="s">
        <v>9410</v>
      </c>
      <c r="B1789" t="s">
        <v>9410</v>
      </c>
      <c r="C1789" t="s">
        <v>4251</v>
      </c>
      <c r="F1789">
        <v>1</v>
      </c>
      <c r="G1789" s="1" t="s">
        <v>1905</v>
      </c>
      <c r="I1789" s="1" t="s">
        <v>11473</v>
      </c>
      <c r="O1789" t="s">
        <v>22</v>
      </c>
    </row>
    <row r="1790" spans="1:15">
      <c r="A1790" t="s">
        <v>10375</v>
      </c>
      <c r="B1790" t="s">
        <v>10375</v>
      </c>
      <c r="C1790" t="s">
        <v>4251</v>
      </c>
      <c r="F1790">
        <v>1</v>
      </c>
      <c r="G1790" s="1" t="s">
        <v>1906</v>
      </c>
      <c r="I1790" s="1" t="s">
        <v>11473</v>
      </c>
      <c r="O1790" t="s">
        <v>22</v>
      </c>
    </row>
    <row r="1791" spans="1:15">
      <c r="A1791" t="s">
        <v>10826</v>
      </c>
      <c r="B1791" t="s">
        <v>10826</v>
      </c>
      <c r="C1791" t="s">
        <v>4599</v>
      </c>
      <c r="F1791">
        <v>1</v>
      </c>
      <c r="G1791" s="1" t="s">
        <v>1907</v>
      </c>
      <c r="I1791" s="1" t="s">
        <v>11473</v>
      </c>
      <c r="O1791" t="s">
        <v>22</v>
      </c>
    </row>
    <row r="1792" spans="1:15">
      <c r="A1792" t="s">
        <v>6036</v>
      </c>
      <c r="B1792" t="s">
        <v>6036</v>
      </c>
      <c r="C1792" t="s">
        <v>4738</v>
      </c>
      <c r="F1792">
        <v>1</v>
      </c>
      <c r="G1792" s="1" t="s">
        <v>1908</v>
      </c>
      <c r="I1792" s="1" t="s">
        <v>11473</v>
      </c>
      <c r="O1792" t="s">
        <v>22</v>
      </c>
    </row>
    <row r="1793" spans="1:15">
      <c r="A1793" t="s">
        <v>8269</v>
      </c>
      <c r="B1793" t="s">
        <v>8269</v>
      </c>
      <c r="C1793" t="s">
        <v>4738</v>
      </c>
      <c r="F1793">
        <v>1</v>
      </c>
      <c r="G1793" s="1" t="s">
        <v>1909</v>
      </c>
      <c r="I1793" s="1" t="s">
        <v>11473</v>
      </c>
      <c r="O1793" t="s">
        <v>22</v>
      </c>
    </row>
    <row r="1794" spans="1:15">
      <c r="A1794" t="s">
        <v>9963</v>
      </c>
      <c r="B1794" t="s">
        <v>9963</v>
      </c>
      <c r="C1794" t="s">
        <v>4738</v>
      </c>
      <c r="F1794">
        <v>1</v>
      </c>
      <c r="G1794" s="1" t="s">
        <v>1910</v>
      </c>
      <c r="I1794" s="1" t="s">
        <v>11473</v>
      </c>
      <c r="O1794" t="s">
        <v>22</v>
      </c>
    </row>
    <row r="1795" spans="1:15">
      <c r="A1795" t="s">
        <v>11108</v>
      </c>
      <c r="B1795" t="s">
        <v>11108</v>
      </c>
      <c r="C1795" t="s">
        <v>4738</v>
      </c>
      <c r="F1795">
        <v>1</v>
      </c>
      <c r="G1795" s="1" t="s">
        <v>1911</v>
      </c>
      <c r="I1795" s="1" t="s">
        <v>11473</v>
      </c>
      <c r="O1795" t="s">
        <v>22</v>
      </c>
    </row>
    <row r="1796" spans="1:15">
      <c r="A1796" t="s">
        <v>6041</v>
      </c>
      <c r="B1796" t="s">
        <v>6041</v>
      </c>
      <c r="C1796" t="s">
        <v>4044</v>
      </c>
      <c r="F1796">
        <v>1</v>
      </c>
      <c r="G1796" s="1" t="s">
        <v>1912</v>
      </c>
      <c r="I1796" s="1" t="s">
        <v>11473</v>
      </c>
      <c r="O1796" t="s">
        <v>22</v>
      </c>
    </row>
    <row r="1797" spans="1:15">
      <c r="A1797" t="s">
        <v>7710</v>
      </c>
      <c r="B1797" t="s">
        <v>7710</v>
      </c>
      <c r="C1797" t="s">
        <v>4044</v>
      </c>
      <c r="F1797">
        <v>1</v>
      </c>
      <c r="G1797" s="1" t="s">
        <v>1913</v>
      </c>
      <c r="I1797" s="1" t="s">
        <v>11473</v>
      </c>
      <c r="O1797" t="s">
        <v>22</v>
      </c>
    </row>
    <row r="1798" spans="1:15">
      <c r="A1798" t="s">
        <v>10440</v>
      </c>
      <c r="B1798" t="s">
        <v>10440</v>
      </c>
      <c r="C1798" t="s">
        <v>4044</v>
      </c>
      <c r="F1798">
        <v>1</v>
      </c>
      <c r="G1798" s="1" t="s">
        <v>1914</v>
      </c>
      <c r="I1798" s="1" t="s">
        <v>11473</v>
      </c>
      <c r="O1798" t="s">
        <v>22</v>
      </c>
    </row>
    <row r="1799" spans="1:15">
      <c r="A1799" t="s">
        <v>9698</v>
      </c>
      <c r="B1799" t="s">
        <v>9698</v>
      </c>
      <c r="C1799" t="s">
        <v>9699</v>
      </c>
      <c r="F1799">
        <v>1</v>
      </c>
      <c r="G1799" s="1" t="s">
        <v>1915</v>
      </c>
      <c r="I1799" s="1" t="s">
        <v>11473</v>
      </c>
      <c r="O1799" t="s">
        <v>22</v>
      </c>
    </row>
    <row r="1800" spans="1:15">
      <c r="A1800" t="s">
        <v>6046</v>
      </c>
      <c r="B1800" t="s">
        <v>6046</v>
      </c>
      <c r="C1800" t="s">
        <v>5025</v>
      </c>
      <c r="F1800">
        <v>1</v>
      </c>
      <c r="G1800" s="1" t="s">
        <v>1916</v>
      </c>
      <c r="I1800" s="1" t="s">
        <v>11473</v>
      </c>
      <c r="O1800" t="s">
        <v>22</v>
      </c>
    </row>
    <row r="1801" spans="1:15">
      <c r="A1801" t="s">
        <v>6709</v>
      </c>
      <c r="B1801" t="s">
        <v>6709</v>
      </c>
      <c r="C1801" t="s">
        <v>5025</v>
      </c>
      <c r="F1801">
        <v>1</v>
      </c>
      <c r="G1801" s="1" t="s">
        <v>1917</v>
      </c>
      <c r="I1801" s="1" t="s">
        <v>11473</v>
      </c>
      <c r="O1801" t="s">
        <v>22</v>
      </c>
    </row>
    <row r="1802" spans="1:15">
      <c r="A1802" t="s">
        <v>10973</v>
      </c>
      <c r="B1802" t="s">
        <v>10973</v>
      </c>
      <c r="C1802" t="s">
        <v>5025</v>
      </c>
      <c r="F1802">
        <v>1</v>
      </c>
      <c r="G1802" s="1" t="s">
        <v>1918</v>
      </c>
      <c r="I1802" s="1" t="s">
        <v>11473</v>
      </c>
      <c r="O1802" t="s">
        <v>22</v>
      </c>
    </row>
    <row r="1803" spans="1:15">
      <c r="A1803" t="s">
        <v>6610</v>
      </c>
      <c r="B1803" t="s">
        <v>6610</v>
      </c>
      <c r="C1803" t="s">
        <v>6611</v>
      </c>
      <c r="F1803">
        <v>1</v>
      </c>
      <c r="G1803" s="1" t="s">
        <v>1919</v>
      </c>
      <c r="I1803" s="1" t="s">
        <v>11473</v>
      </c>
      <c r="O1803" t="s">
        <v>22</v>
      </c>
    </row>
    <row r="1804" spans="1:15">
      <c r="A1804" t="s">
        <v>7062</v>
      </c>
      <c r="B1804" t="s">
        <v>7062</v>
      </c>
      <c r="C1804" t="s">
        <v>6611</v>
      </c>
      <c r="F1804">
        <v>1</v>
      </c>
      <c r="G1804" s="1" t="s">
        <v>1920</v>
      </c>
      <c r="I1804" s="1" t="s">
        <v>11473</v>
      </c>
      <c r="O1804" t="s">
        <v>22</v>
      </c>
    </row>
    <row r="1805" spans="1:15">
      <c r="A1805" t="s">
        <v>7469</v>
      </c>
      <c r="B1805" t="s">
        <v>7469</v>
      </c>
      <c r="C1805" t="s">
        <v>6611</v>
      </c>
      <c r="F1805">
        <v>1</v>
      </c>
      <c r="G1805" s="1" t="s">
        <v>1921</v>
      </c>
      <c r="I1805" s="1" t="s">
        <v>11473</v>
      </c>
      <c r="O1805" t="s">
        <v>22</v>
      </c>
    </row>
    <row r="1806" spans="1:15">
      <c r="A1806" t="s">
        <v>9045</v>
      </c>
      <c r="B1806" t="s">
        <v>9045</v>
      </c>
      <c r="C1806" t="s">
        <v>6611</v>
      </c>
      <c r="F1806">
        <v>1</v>
      </c>
      <c r="G1806" s="1" t="s">
        <v>1922</v>
      </c>
      <c r="I1806" s="1" t="s">
        <v>11473</v>
      </c>
      <c r="O1806" t="s">
        <v>22</v>
      </c>
    </row>
    <row r="1807" spans="1:15">
      <c r="A1807" t="s">
        <v>9860</v>
      </c>
      <c r="B1807" t="s">
        <v>9860</v>
      </c>
      <c r="C1807" t="s">
        <v>6611</v>
      </c>
      <c r="F1807">
        <v>1</v>
      </c>
      <c r="G1807" s="1" t="s">
        <v>1923</v>
      </c>
      <c r="I1807" s="1" t="s">
        <v>11473</v>
      </c>
      <c r="O1807" t="s">
        <v>22</v>
      </c>
    </row>
    <row r="1808" spans="1:15">
      <c r="A1808" t="s">
        <v>11294</v>
      </c>
      <c r="B1808" t="s">
        <v>11294</v>
      </c>
      <c r="C1808" t="s">
        <v>6611</v>
      </c>
      <c r="F1808">
        <v>1</v>
      </c>
      <c r="G1808" s="1" t="s">
        <v>1924</v>
      </c>
      <c r="I1808" s="1" t="s">
        <v>11473</v>
      </c>
      <c r="O1808" t="s">
        <v>22</v>
      </c>
    </row>
    <row r="1809" spans="1:15">
      <c r="A1809" t="s">
        <v>10116</v>
      </c>
      <c r="B1809" t="s">
        <v>10116</v>
      </c>
      <c r="C1809" t="s">
        <v>5043</v>
      </c>
      <c r="F1809">
        <v>1</v>
      </c>
      <c r="G1809" s="1" t="s">
        <v>1925</v>
      </c>
      <c r="I1809" s="1" t="s">
        <v>11473</v>
      </c>
      <c r="O1809" t="s">
        <v>22</v>
      </c>
    </row>
    <row r="1810" spans="1:15">
      <c r="A1810" t="s">
        <v>6258</v>
      </c>
      <c r="B1810" t="s">
        <v>6258</v>
      </c>
      <c r="C1810" t="s">
        <v>4194</v>
      </c>
      <c r="F1810">
        <v>1</v>
      </c>
      <c r="G1810" s="1" t="s">
        <v>1926</v>
      </c>
      <c r="I1810" s="1" t="s">
        <v>11473</v>
      </c>
      <c r="O1810" t="s">
        <v>22</v>
      </c>
    </row>
    <row r="1811" spans="1:15">
      <c r="A1811" t="s">
        <v>9094</v>
      </c>
      <c r="B1811" t="s">
        <v>9094</v>
      </c>
      <c r="C1811" t="s">
        <v>4194</v>
      </c>
      <c r="F1811">
        <v>1</v>
      </c>
      <c r="G1811" s="1" t="s">
        <v>1927</v>
      </c>
      <c r="I1811" s="1" t="s">
        <v>11473</v>
      </c>
      <c r="O1811" t="s">
        <v>22</v>
      </c>
    </row>
    <row r="1812" spans="1:15">
      <c r="A1812" t="s">
        <v>9653</v>
      </c>
      <c r="B1812" t="s">
        <v>9653</v>
      </c>
      <c r="C1812" t="s">
        <v>4194</v>
      </c>
      <c r="F1812">
        <v>1</v>
      </c>
      <c r="G1812" s="1" t="s">
        <v>1928</v>
      </c>
      <c r="I1812" s="1" t="s">
        <v>11473</v>
      </c>
      <c r="O1812" t="s">
        <v>22</v>
      </c>
    </row>
    <row r="1813" spans="1:15">
      <c r="A1813" t="s">
        <v>9824</v>
      </c>
      <c r="B1813" t="s">
        <v>9824</v>
      </c>
      <c r="C1813" t="s">
        <v>4194</v>
      </c>
      <c r="F1813">
        <v>1</v>
      </c>
      <c r="G1813" s="1" t="s">
        <v>1929</v>
      </c>
      <c r="I1813" s="1" t="s">
        <v>11473</v>
      </c>
      <c r="O1813" t="s">
        <v>22</v>
      </c>
    </row>
    <row r="1814" spans="1:15">
      <c r="A1814" t="s">
        <v>6160</v>
      </c>
      <c r="B1814" t="s">
        <v>6160</v>
      </c>
      <c r="C1814" t="s">
        <v>4701</v>
      </c>
      <c r="F1814">
        <v>1</v>
      </c>
      <c r="G1814" s="1" t="s">
        <v>1930</v>
      </c>
      <c r="I1814" s="1" t="s">
        <v>11473</v>
      </c>
      <c r="O1814" t="s">
        <v>22</v>
      </c>
    </row>
    <row r="1815" spans="1:15">
      <c r="A1815" t="s">
        <v>8639</v>
      </c>
      <c r="B1815" t="s">
        <v>8639</v>
      </c>
      <c r="C1815" t="s">
        <v>4701</v>
      </c>
      <c r="F1815">
        <v>1</v>
      </c>
      <c r="G1815" s="1" t="s">
        <v>1931</v>
      </c>
      <c r="I1815" s="1" t="s">
        <v>11473</v>
      </c>
      <c r="O1815" t="s">
        <v>22</v>
      </c>
    </row>
    <row r="1816" spans="1:15">
      <c r="A1816" t="s">
        <v>7466</v>
      </c>
      <c r="B1816" t="s">
        <v>7466</v>
      </c>
      <c r="C1816" t="s">
        <v>5074</v>
      </c>
      <c r="F1816">
        <v>1</v>
      </c>
      <c r="G1816" s="1" t="s">
        <v>1932</v>
      </c>
      <c r="I1816" s="1" t="s">
        <v>11473</v>
      </c>
      <c r="O1816" t="s">
        <v>22</v>
      </c>
    </row>
    <row r="1817" spans="1:15">
      <c r="A1817" t="s">
        <v>8288</v>
      </c>
      <c r="B1817" t="s">
        <v>8288</v>
      </c>
      <c r="C1817" t="s">
        <v>5074</v>
      </c>
      <c r="F1817">
        <v>1</v>
      </c>
      <c r="G1817" s="1" t="s">
        <v>1933</v>
      </c>
      <c r="I1817" s="1" t="s">
        <v>11473</v>
      </c>
      <c r="O1817" t="s">
        <v>22</v>
      </c>
    </row>
    <row r="1818" spans="1:15">
      <c r="A1818" t="s">
        <v>6058</v>
      </c>
      <c r="B1818" t="s">
        <v>6058</v>
      </c>
      <c r="C1818" t="s">
        <v>4717</v>
      </c>
      <c r="F1818">
        <v>1</v>
      </c>
      <c r="G1818" s="1" t="s">
        <v>1934</v>
      </c>
      <c r="I1818" s="1" t="s">
        <v>11473</v>
      </c>
      <c r="O1818" t="s">
        <v>22</v>
      </c>
    </row>
    <row r="1819" spans="1:15">
      <c r="A1819" t="s">
        <v>5939</v>
      </c>
      <c r="B1819" t="s">
        <v>5939</v>
      </c>
      <c r="C1819" t="s">
        <v>5940</v>
      </c>
      <c r="F1819">
        <v>1</v>
      </c>
      <c r="G1819" s="1" t="s">
        <v>1935</v>
      </c>
      <c r="I1819" s="1" t="s">
        <v>11473</v>
      </c>
      <c r="O1819" t="s">
        <v>22</v>
      </c>
    </row>
    <row r="1820" spans="1:15">
      <c r="A1820" t="s">
        <v>6032</v>
      </c>
      <c r="B1820" t="s">
        <v>6032</v>
      </c>
      <c r="C1820" t="s">
        <v>5940</v>
      </c>
      <c r="F1820">
        <v>1</v>
      </c>
      <c r="G1820" s="1" t="s">
        <v>1936</v>
      </c>
      <c r="I1820" s="1" t="s">
        <v>11473</v>
      </c>
      <c r="O1820" t="s">
        <v>22</v>
      </c>
    </row>
    <row r="1821" spans="1:15">
      <c r="A1821" t="s">
        <v>7682</v>
      </c>
      <c r="B1821" t="s">
        <v>7682</v>
      </c>
      <c r="C1821" t="s">
        <v>5940</v>
      </c>
      <c r="F1821">
        <v>1</v>
      </c>
      <c r="G1821" s="1" t="s">
        <v>1937</v>
      </c>
      <c r="I1821" s="1" t="s">
        <v>11473</v>
      </c>
      <c r="O1821" t="s">
        <v>22</v>
      </c>
    </row>
    <row r="1822" spans="1:15">
      <c r="A1822" t="s">
        <v>10019</v>
      </c>
      <c r="B1822" t="s">
        <v>10019</v>
      </c>
      <c r="C1822" t="s">
        <v>10020</v>
      </c>
      <c r="F1822">
        <v>1</v>
      </c>
      <c r="G1822" s="1" t="s">
        <v>1938</v>
      </c>
      <c r="I1822" s="1" t="s">
        <v>11473</v>
      </c>
      <c r="O1822" t="s">
        <v>22</v>
      </c>
    </row>
    <row r="1823" spans="1:15">
      <c r="A1823" t="s">
        <v>5673</v>
      </c>
      <c r="B1823" t="s">
        <v>5673</v>
      </c>
      <c r="C1823" t="s">
        <v>4920</v>
      </c>
      <c r="F1823">
        <v>1</v>
      </c>
      <c r="G1823" s="1" t="s">
        <v>1939</v>
      </c>
      <c r="I1823" s="1" t="s">
        <v>11473</v>
      </c>
      <c r="O1823" t="s">
        <v>22</v>
      </c>
    </row>
    <row r="1824" spans="1:15">
      <c r="A1824" t="s">
        <v>8109</v>
      </c>
      <c r="B1824" t="s">
        <v>8109</v>
      </c>
      <c r="C1824" t="s">
        <v>4920</v>
      </c>
      <c r="F1824">
        <v>1</v>
      </c>
      <c r="G1824" s="1" t="s">
        <v>1940</v>
      </c>
      <c r="I1824" s="1" t="s">
        <v>11473</v>
      </c>
      <c r="O1824" t="s">
        <v>22</v>
      </c>
    </row>
    <row r="1825" spans="1:15">
      <c r="A1825" t="s">
        <v>9960</v>
      </c>
      <c r="B1825" t="s">
        <v>9960</v>
      </c>
      <c r="C1825" t="s">
        <v>4920</v>
      </c>
      <c r="F1825">
        <v>1</v>
      </c>
      <c r="G1825" s="1" t="s">
        <v>1941</v>
      </c>
      <c r="I1825" s="1" t="s">
        <v>11473</v>
      </c>
      <c r="O1825" t="s">
        <v>22</v>
      </c>
    </row>
    <row r="1826" spans="1:15">
      <c r="A1826" t="s">
        <v>6084</v>
      </c>
      <c r="B1826" t="s">
        <v>6084</v>
      </c>
      <c r="C1826" t="s">
        <v>6085</v>
      </c>
      <c r="F1826">
        <v>1</v>
      </c>
      <c r="G1826" s="1" t="s">
        <v>1942</v>
      </c>
      <c r="I1826" s="1" t="s">
        <v>11473</v>
      </c>
      <c r="O1826" t="s">
        <v>22</v>
      </c>
    </row>
    <row r="1827" spans="1:15">
      <c r="A1827" t="s">
        <v>5914</v>
      </c>
      <c r="B1827" t="s">
        <v>5914</v>
      </c>
      <c r="C1827" t="s">
        <v>5050</v>
      </c>
      <c r="F1827">
        <v>1</v>
      </c>
      <c r="G1827" s="1" t="s">
        <v>1943</v>
      </c>
      <c r="I1827" s="1" t="s">
        <v>11473</v>
      </c>
      <c r="O1827" t="s">
        <v>22</v>
      </c>
    </row>
    <row r="1828" spans="1:15">
      <c r="A1828" t="s">
        <v>6245</v>
      </c>
      <c r="B1828" t="s">
        <v>6245</v>
      </c>
      <c r="C1828" t="s">
        <v>5050</v>
      </c>
      <c r="F1828">
        <v>1</v>
      </c>
      <c r="G1828" s="1" t="s">
        <v>1944</v>
      </c>
      <c r="I1828" s="1" t="s">
        <v>11473</v>
      </c>
      <c r="O1828" t="s">
        <v>22</v>
      </c>
    </row>
    <row r="1829" spans="1:15">
      <c r="A1829" t="s">
        <v>6035</v>
      </c>
      <c r="B1829" t="s">
        <v>6035</v>
      </c>
      <c r="C1829" t="s">
        <v>4711</v>
      </c>
      <c r="F1829">
        <v>1</v>
      </c>
      <c r="G1829" s="1" t="s">
        <v>1945</v>
      </c>
      <c r="I1829" s="1" t="s">
        <v>11473</v>
      </c>
      <c r="O1829" t="s">
        <v>22</v>
      </c>
    </row>
    <row r="1830" spans="1:15">
      <c r="A1830" t="s">
        <v>6443</v>
      </c>
      <c r="B1830" t="s">
        <v>6443</v>
      </c>
      <c r="C1830" t="s">
        <v>4711</v>
      </c>
      <c r="F1830">
        <v>1</v>
      </c>
      <c r="G1830" s="1" t="s">
        <v>1946</v>
      </c>
      <c r="I1830" s="1" t="s">
        <v>11473</v>
      </c>
      <c r="O1830" t="s">
        <v>22</v>
      </c>
    </row>
    <row r="1831" spans="1:15">
      <c r="A1831" t="s">
        <v>10209</v>
      </c>
      <c r="B1831" t="s">
        <v>10209</v>
      </c>
      <c r="C1831" t="s">
        <v>4711</v>
      </c>
      <c r="F1831">
        <v>1</v>
      </c>
      <c r="G1831" s="1" t="s">
        <v>1947</v>
      </c>
      <c r="I1831" s="1" t="s">
        <v>11473</v>
      </c>
      <c r="O1831" t="s">
        <v>22</v>
      </c>
    </row>
    <row r="1832" spans="1:15">
      <c r="A1832" t="s">
        <v>5117</v>
      </c>
      <c r="B1832" t="s">
        <v>5117</v>
      </c>
      <c r="C1832" t="s">
        <v>10936</v>
      </c>
      <c r="F1832">
        <v>1</v>
      </c>
      <c r="G1832" s="1" t="s">
        <v>1948</v>
      </c>
      <c r="I1832" s="1" t="s">
        <v>11473</v>
      </c>
      <c r="O1832" t="s">
        <v>22</v>
      </c>
    </row>
    <row r="1833" spans="1:15">
      <c r="A1833" t="s">
        <v>7076</v>
      </c>
      <c r="B1833" t="s">
        <v>7076</v>
      </c>
      <c r="C1833" t="s">
        <v>4960</v>
      </c>
      <c r="F1833">
        <v>1</v>
      </c>
      <c r="G1833" s="1" t="s">
        <v>1949</v>
      </c>
      <c r="I1833" s="1" t="s">
        <v>11473</v>
      </c>
      <c r="O1833" t="s">
        <v>22</v>
      </c>
    </row>
    <row r="1834" spans="1:15">
      <c r="A1834" t="s">
        <v>10543</v>
      </c>
      <c r="B1834" t="s">
        <v>10543</v>
      </c>
      <c r="C1834" t="s">
        <v>4960</v>
      </c>
      <c r="F1834">
        <v>1</v>
      </c>
      <c r="G1834" s="1" t="s">
        <v>1950</v>
      </c>
      <c r="I1834" s="1" t="s">
        <v>11473</v>
      </c>
      <c r="O1834" t="s">
        <v>22</v>
      </c>
    </row>
    <row r="1835" spans="1:15">
      <c r="A1835" t="s">
        <v>6053</v>
      </c>
      <c r="B1835" t="s">
        <v>6053</v>
      </c>
      <c r="C1835" t="s">
        <v>5388</v>
      </c>
      <c r="F1835">
        <v>1</v>
      </c>
      <c r="G1835" s="1" t="s">
        <v>1951</v>
      </c>
      <c r="I1835" s="1" t="s">
        <v>11473</v>
      </c>
      <c r="O1835" t="s">
        <v>22</v>
      </c>
    </row>
    <row r="1836" spans="1:15">
      <c r="A1836" t="s">
        <v>11343</v>
      </c>
      <c r="B1836" t="s">
        <v>11343</v>
      </c>
      <c r="C1836" t="s">
        <v>5388</v>
      </c>
      <c r="F1836">
        <v>1</v>
      </c>
      <c r="G1836" s="1" t="s">
        <v>1952</v>
      </c>
      <c r="I1836" s="1" t="s">
        <v>11473</v>
      </c>
      <c r="O1836" t="s">
        <v>22</v>
      </c>
    </row>
    <row r="1837" spans="1:15">
      <c r="A1837" t="s">
        <v>5999</v>
      </c>
      <c r="B1837" t="s">
        <v>5999</v>
      </c>
      <c r="C1837" t="s">
        <v>6000</v>
      </c>
      <c r="F1837">
        <v>1</v>
      </c>
      <c r="G1837" s="1" t="s">
        <v>1953</v>
      </c>
      <c r="I1837" s="1" t="s">
        <v>11473</v>
      </c>
      <c r="O1837" t="s">
        <v>22</v>
      </c>
    </row>
    <row r="1838" spans="1:15">
      <c r="A1838" t="s">
        <v>7276</v>
      </c>
      <c r="B1838" t="s">
        <v>7276</v>
      </c>
      <c r="C1838" t="s">
        <v>4234</v>
      </c>
      <c r="F1838">
        <v>1</v>
      </c>
      <c r="G1838" s="1" t="s">
        <v>1954</v>
      </c>
      <c r="I1838" s="1" t="s">
        <v>11473</v>
      </c>
      <c r="O1838" t="s">
        <v>22</v>
      </c>
    </row>
    <row r="1839" spans="1:15">
      <c r="A1839" t="s">
        <v>7097</v>
      </c>
      <c r="B1839" t="s">
        <v>7097</v>
      </c>
      <c r="C1839" t="s">
        <v>7098</v>
      </c>
      <c r="F1839">
        <v>1</v>
      </c>
      <c r="G1839" s="1" t="s">
        <v>1955</v>
      </c>
      <c r="I1839" s="1" t="s">
        <v>11473</v>
      </c>
      <c r="O1839" t="s">
        <v>22</v>
      </c>
    </row>
    <row r="1840" spans="1:15">
      <c r="A1840" t="s">
        <v>10527</v>
      </c>
      <c r="B1840" t="s">
        <v>10527</v>
      </c>
      <c r="C1840" t="s">
        <v>4249</v>
      </c>
      <c r="F1840">
        <v>1</v>
      </c>
      <c r="G1840" s="1" t="s">
        <v>1956</v>
      </c>
      <c r="I1840" s="1" t="s">
        <v>11473</v>
      </c>
      <c r="O1840" t="s">
        <v>22</v>
      </c>
    </row>
    <row r="1841" spans="1:15">
      <c r="A1841" t="s">
        <v>5429</v>
      </c>
      <c r="B1841" t="s">
        <v>5429</v>
      </c>
      <c r="C1841" t="s">
        <v>4392</v>
      </c>
      <c r="F1841">
        <v>1</v>
      </c>
      <c r="G1841" s="1" t="s">
        <v>1957</v>
      </c>
      <c r="I1841" s="1" t="s">
        <v>11473</v>
      </c>
      <c r="O1841" t="s">
        <v>22</v>
      </c>
    </row>
    <row r="1842" spans="1:15">
      <c r="A1842" t="s">
        <v>8633</v>
      </c>
      <c r="B1842" t="s">
        <v>8633</v>
      </c>
      <c r="C1842" t="s">
        <v>4392</v>
      </c>
      <c r="F1842">
        <v>1</v>
      </c>
      <c r="G1842" s="1" t="s">
        <v>1958</v>
      </c>
      <c r="I1842" s="1" t="s">
        <v>11473</v>
      </c>
      <c r="O1842" t="s">
        <v>22</v>
      </c>
    </row>
    <row r="1843" spans="1:15">
      <c r="A1843" t="s">
        <v>9248</v>
      </c>
      <c r="B1843" t="s">
        <v>9248</v>
      </c>
      <c r="C1843" t="s">
        <v>4392</v>
      </c>
      <c r="F1843">
        <v>1</v>
      </c>
      <c r="G1843" s="1" t="s">
        <v>1959</v>
      </c>
      <c r="I1843" s="1" t="s">
        <v>11473</v>
      </c>
      <c r="O1843" t="s">
        <v>22</v>
      </c>
    </row>
    <row r="1844" spans="1:15">
      <c r="A1844" t="s">
        <v>10560</v>
      </c>
      <c r="B1844" t="s">
        <v>10560</v>
      </c>
      <c r="C1844" t="s">
        <v>4392</v>
      </c>
      <c r="F1844">
        <v>1</v>
      </c>
      <c r="G1844" s="1" t="s">
        <v>1960</v>
      </c>
      <c r="I1844" s="1" t="s">
        <v>11473</v>
      </c>
      <c r="O1844" t="s">
        <v>22</v>
      </c>
    </row>
    <row r="1845" spans="1:15">
      <c r="A1845" t="s">
        <v>6065</v>
      </c>
      <c r="B1845" t="s">
        <v>6065</v>
      </c>
      <c r="C1845" t="s">
        <v>4637</v>
      </c>
      <c r="F1845">
        <v>1</v>
      </c>
      <c r="G1845" s="1" t="s">
        <v>1961</v>
      </c>
      <c r="I1845" s="1" t="s">
        <v>11473</v>
      </c>
      <c r="O1845" t="s">
        <v>22</v>
      </c>
    </row>
    <row r="1846" spans="1:15">
      <c r="A1846" t="s">
        <v>9518</v>
      </c>
      <c r="B1846" t="s">
        <v>9518</v>
      </c>
      <c r="C1846" t="s">
        <v>4637</v>
      </c>
      <c r="F1846">
        <v>1</v>
      </c>
      <c r="G1846" s="1" t="s">
        <v>1962</v>
      </c>
      <c r="I1846" s="1" t="s">
        <v>11473</v>
      </c>
      <c r="O1846" t="s">
        <v>22</v>
      </c>
    </row>
    <row r="1847" spans="1:15">
      <c r="A1847" t="s">
        <v>10239</v>
      </c>
      <c r="B1847" t="s">
        <v>10239</v>
      </c>
      <c r="C1847" t="s">
        <v>4637</v>
      </c>
      <c r="F1847">
        <v>1</v>
      </c>
      <c r="G1847" s="1" t="s">
        <v>1963</v>
      </c>
      <c r="I1847" s="1" t="s">
        <v>11473</v>
      </c>
      <c r="O1847" t="s">
        <v>22</v>
      </c>
    </row>
    <row r="1848" spans="1:15">
      <c r="A1848" t="s">
        <v>10649</v>
      </c>
      <c r="B1848" t="s">
        <v>10649</v>
      </c>
      <c r="C1848" t="s">
        <v>4637</v>
      </c>
      <c r="F1848">
        <v>1</v>
      </c>
      <c r="G1848" s="1" t="s">
        <v>1964</v>
      </c>
      <c r="I1848" s="1" t="s">
        <v>11473</v>
      </c>
      <c r="O1848" t="s">
        <v>22</v>
      </c>
    </row>
    <row r="1849" spans="1:15">
      <c r="A1849" t="s">
        <v>6238</v>
      </c>
      <c r="B1849" t="s">
        <v>6238</v>
      </c>
      <c r="C1849" t="s">
        <v>5093</v>
      </c>
      <c r="F1849">
        <v>1</v>
      </c>
      <c r="G1849" s="1" t="s">
        <v>1965</v>
      </c>
      <c r="I1849" s="1" t="s">
        <v>11473</v>
      </c>
      <c r="O1849" t="s">
        <v>22</v>
      </c>
    </row>
    <row r="1850" spans="1:15">
      <c r="A1850" t="s">
        <v>6956</v>
      </c>
      <c r="B1850" t="s">
        <v>6956</v>
      </c>
      <c r="C1850" t="s">
        <v>5093</v>
      </c>
      <c r="F1850">
        <v>1</v>
      </c>
      <c r="G1850" s="1" t="s">
        <v>1966</v>
      </c>
      <c r="I1850" s="1" t="s">
        <v>11473</v>
      </c>
      <c r="O1850" t="s">
        <v>22</v>
      </c>
    </row>
    <row r="1851" spans="1:15">
      <c r="A1851" t="s">
        <v>9146</v>
      </c>
      <c r="B1851" t="s">
        <v>9146</v>
      </c>
      <c r="C1851" t="s">
        <v>7</v>
      </c>
      <c r="F1851">
        <v>1</v>
      </c>
      <c r="G1851" s="1" t="s">
        <v>1967</v>
      </c>
      <c r="I1851" s="1" t="s">
        <v>11473</v>
      </c>
      <c r="O1851" t="s">
        <v>22</v>
      </c>
    </row>
    <row r="1852" spans="1:15">
      <c r="A1852" t="s">
        <v>9207</v>
      </c>
      <c r="B1852" t="s">
        <v>9207</v>
      </c>
      <c r="C1852" t="s">
        <v>7</v>
      </c>
      <c r="F1852">
        <v>1</v>
      </c>
      <c r="G1852" s="1" t="s">
        <v>1968</v>
      </c>
      <c r="I1852" s="1" t="s">
        <v>11473</v>
      </c>
      <c r="O1852" t="s">
        <v>22</v>
      </c>
    </row>
    <row r="1853" spans="1:15">
      <c r="A1853" t="s">
        <v>9510</v>
      </c>
      <c r="B1853" t="s">
        <v>9510</v>
      </c>
      <c r="C1853" t="s">
        <v>4059</v>
      </c>
      <c r="F1853">
        <v>1</v>
      </c>
      <c r="G1853" s="1" t="s">
        <v>1969</v>
      </c>
      <c r="I1853" s="1" t="s">
        <v>11473</v>
      </c>
      <c r="O1853" t="s">
        <v>22</v>
      </c>
    </row>
    <row r="1854" spans="1:15">
      <c r="A1854" t="s">
        <v>8852</v>
      </c>
      <c r="B1854" t="s">
        <v>8852</v>
      </c>
      <c r="C1854" t="s">
        <v>5303</v>
      </c>
      <c r="F1854">
        <v>1</v>
      </c>
      <c r="G1854" s="1" t="s">
        <v>1970</v>
      </c>
      <c r="I1854" s="1" t="s">
        <v>11473</v>
      </c>
      <c r="O1854" t="s">
        <v>22</v>
      </c>
    </row>
    <row r="1855" spans="1:15">
      <c r="A1855" t="s">
        <v>6316</v>
      </c>
      <c r="B1855" t="s">
        <v>6316</v>
      </c>
      <c r="C1855" t="s">
        <v>5307</v>
      </c>
      <c r="F1855">
        <v>1</v>
      </c>
      <c r="G1855" s="1" t="s">
        <v>1971</v>
      </c>
      <c r="I1855" s="1" t="s">
        <v>11473</v>
      </c>
      <c r="O1855" t="s">
        <v>22</v>
      </c>
    </row>
    <row r="1856" spans="1:15">
      <c r="A1856" t="s">
        <v>8126</v>
      </c>
      <c r="B1856" t="s">
        <v>8126</v>
      </c>
      <c r="C1856" t="s">
        <v>5307</v>
      </c>
      <c r="F1856">
        <v>1</v>
      </c>
      <c r="G1856" s="1" t="s">
        <v>1972</v>
      </c>
      <c r="I1856" s="1" t="s">
        <v>11473</v>
      </c>
      <c r="O1856" t="s">
        <v>22</v>
      </c>
    </row>
    <row r="1857" spans="1:15">
      <c r="A1857" t="s">
        <v>10396</v>
      </c>
      <c r="B1857" t="s">
        <v>10396</v>
      </c>
      <c r="C1857" t="s">
        <v>5307</v>
      </c>
      <c r="F1857">
        <v>1</v>
      </c>
      <c r="G1857" s="1" t="s">
        <v>1973</v>
      </c>
      <c r="I1857" s="1" t="s">
        <v>11473</v>
      </c>
      <c r="O1857" t="s">
        <v>22</v>
      </c>
    </row>
    <row r="1858" spans="1:15">
      <c r="A1858" t="s">
        <v>10887</v>
      </c>
      <c r="B1858" t="s">
        <v>10887</v>
      </c>
      <c r="C1858" t="s">
        <v>5307</v>
      </c>
      <c r="F1858">
        <v>1</v>
      </c>
      <c r="G1858" s="1" t="s">
        <v>1974</v>
      </c>
      <c r="I1858" s="1" t="s">
        <v>11473</v>
      </c>
      <c r="O1858" t="s">
        <v>22</v>
      </c>
    </row>
    <row r="1859" spans="1:15">
      <c r="A1859" t="s">
        <v>5608</v>
      </c>
      <c r="B1859" t="s">
        <v>5608</v>
      </c>
      <c r="C1859" t="s">
        <v>5609</v>
      </c>
      <c r="F1859">
        <v>1</v>
      </c>
      <c r="G1859" s="1" t="s">
        <v>1975</v>
      </c>
      <c r="I1859" s="1" t="s">
        <v>11473</v>
      </c>
      <c r="O1859" t="s">
        <v>22</v>
      </c>
    </row>
    <row r="1860" spans="1:15">
      <c r="A1860" t="s">
        <v>5680</v>
      </c>
      <c r="B1860" t="s">
        <v>5680</v>
      </c>
      <c r="C1860" t="s">
        <v>5228</v>
      </c>
      <c r="F1860">
        <v>1</v>
      </c>
      <c r="G1860" s="1" t="s">
        <v>1976</v>
      </c>
      <c r="I1860" s="1" t="s">
        <v>11473</v>
      </c>
      <c r="O1860" t="s">
        <v>22</v>
      </c>
    </row>
    <row r="1861" spans="1:15">
      <c r="A1861" t="s">
        <v>8380</v>
      </c>
      <c r="B1861" t="s">
        <v>8380</v>
      </c>
      <c r="C1861" t="s">
        <v>5228</v>
      </c>
      <c r="F1861">
        <v>1</v>
      </c>
      <c r="G1861" s="1" t="s">
        <v>1977</v>
      </c>
      <c r="I1861" s="1" t="s">
        <v>11473</v>
      </c>
      <c r="O1861" t="s">
        <v>22</v>
      </c>
    </row>
    <row r="1862" spans="1:15">
      <c r="A1862" t="s">
        <v>10314</v>
      </c>
      <c r="B1862" t="s">
        <v>10314</v>
      </c>
      <c r="C1862" t="s">
        <v>5228</v>
      </c>
      <c r="F1862">
        <v>1</v>
      </c>
      <c r="G1862" s="1" t="s">
        <v>1978</v>
      </c>
      <c r="I1862" s="1" t="s">
        <v>11473</v>
      </c>
      <c r="O1862" t="s">
        <v>22</v>
      </c>
    </row>
    <row r="1863" spans="1:15">
      <c r="A1863" t="s">
        <v>5705</v>
      </c>
      <c r="B1863" t="s">
        <v>5705</v>
      </c>
      <c r="C1863" t="s">
        <v>4313</v>
      </c>
      <c r="F1863">
        <v>1</v>
      </c>
      <c r="G1863" s="1" t="s">
        <v>1979</v>
      </c>
      <c r="I1863" s="1" t="s">
        <v>11473</v>
      </c>
      <c r="O1863" t="s">
        <v>22</v>
      </c>
    </row>
    <row r="1864" spans="1:15">
      <c r="A1864" t="s">
        <v>6550</v>
      </c>
      <c r="B1864" t="s">
        <v>6550</v>
      </c>
      <c r="C1864" t="s">
        <v>4313</v>
      </c>
      <c r="F1864">
        <v>1</v>
      </c>
      <c r="G1864" s="1" t="s">
        <v>1980</v>
      </c>
      <c r="I1864" s="1" t="s">
        <v>11473</v>
      </c>
      <c r="O1864" t="s">
        <v>22</v>
      </c>
    </row>
    <row r="1865" spans="1:15">
      <c r="A1865" t="s">
        <v>9413</v>
      </c>
      <c r="B1865" t="s">
        <v>9413</v>
      </c>
      <c r="C1865" t="s">
        <v>4313</v>
      </c>
      <c r="F1865">
        <v>1</v>
      </c>
      <c r="G1865" s="1" t="s">
        <v>1981</v>
      </c>
      <c r="I1865" s="1" t="s">
        <v>11473</v>
      </c>
      <c r="O1865" t="s">
        <v>22</v>
      </c>
    </row>
    <row r="1866" spans="1:15">
      <c r="A1866" t="s">
        <v>9899</v>
      </c>
      <c r="B1866" t="s">
        <v>9899</v>
      </c>
      <c r="C1866" t="s">
        <v>4313</v>
      </c>
      <c r="F1866">
        <v>1</v>
      </c>
      <c r="G1866" s="1" t="s">
        <v>1982</v>
      </c>
      <c r="I1866" s="1" t="s">
        <v>11473</v>
      </c>
      <c r="O1866" t="s">
        <v>22</v>
      </c>
    </row>
    <row r="1867" spans="1:15">
      <c r="A1867" t="s">
        <v>8950</v>
      </c>
      <c r="B1867" t="s">
        <v>8950</v>
      </c>
      <c r="C1867" t="s">
        <v>4285</v>
      </c>
      <c r="F1867">
        <v>1</v>
      </c>
      <c r="G1867" s="1" t="s">
        <v>1983</v>
      </c>
      <c r="I1867" s="1" t="s">
        <v>11473</v>
      </c>
      <c r="O1867" t="s">
        <v>22</v>
      </c>
    </row>
    <row r="1868" spans="1:15">
      <c r="A1868" t="s">
        <v>9321</v>
      </c>
      <c r="B1868" t="s">
        <v>9321</v>
      </c>
      <c r="C1868" t="s">
        <v>4285</v>
      </c>
      <c r="F1868">
        <v>1</v>
      </c>
      <c r="G1868" s="1" t="s">
        <v>1984</v>
      </c>
      <c r="I1868" s="1" t="s">
        <v>11473</v>
      </c>
      <c r="O1868" t="s">
        <v>22</v>
      </c>
    </row>
    <row r="1869" spans="1:15">
      <c r="A1869" t="s">
        <v>9943</v>
      </c>
      <c r="B1869" t="s">
        <v>9943</v>
      </c>
      <c r="C1869" t="s">
        <v>4285</v>
      </c>
      <c r="F1869">
        <v>1</v>
      </c>
      <c r="G1869" s="1" t="s">
        <v>1985</v>
      </c>
      <c r="I1869" s="1" t="s">
        <v>11473</v>
      </c>
      <c r="O1869" t="s">
        <v>22</v>
      </c>
    </row>
    <row r="1870" spans="1:15">
      <c r="A1870" t="s">
        <v>6216</v>
      </c>
      <c r="B1870" t="s">
        <v>6216</v>
      </c>
      <c r="C1870" t="s">
        <v>4959</v>
      </c>
      <c r="F1870">
        <v>1</v>
      </c>
      <c r="G1870" s="1" t="s">
        <v>1986</v>
      </c>
      <c r="I1870" s="1" t="s">
        <v>11473</v>
      </c>
      <c r="O1870" t="s">
        <v>22</v>
      </c>
    </row>
    <row r="1871" spans="1:15">
      <c r="A1871" t="s">
        <v>7916</v>
      </c>
      <c r="B1871" t="s">
        <v>7916</v>
      </c>
      <c r="C1871" t="s">
        <v>4959</v>
      </c>
      <c r="F1871">
        <v>1</v>
      </c>
      <c r="G1871" s="1" t="s">
        <v>1987</v>
      </c>
      <c r="I1871" s="1" t="s">
        <v>11473</v>
      </c>
      <c r="O1871" t="s">
        <v>22</v>
      </c>
    </row>
    <row r="1872" spans="1:15">
      <c r="A1872" t="s">
        <v>9120</v>
      </c>
      <c r="B1872" t="s">
        <v>9120</v>
      </c>
      <c r="C1872" t="s">
        <v>4959</v>
      </c>
      <c r="F1872">
        <v>1</v>
      </c>
      <c r="G1872" s="1" t="s">
        <v>1988</v>
      </c>
      <c r="I1872" s="1" t="s">
        <v>11473</v>
      </c>
      <c r="O1872" t="s">
        <v>22</v>
      </c>
    </row>
    <row r="1873" spans="1:15">
      <c r="A1873" t="s">
        <v>9145</v>
      </c>
      <c r="B1873" t="s">
        <v>9145</v>
      </c>
      <c r="C1873" t="s">
        <v>4959</v>
      </c>
      <c r="F1873">
        <v>1</v>
      </c>
      <c r="G1873" s="1" t="s">
        <v>1989</v>
      </c>
      <c r="I1873" s="1" t="s">
        <v>11473</v>
      </c>
      <c r="O1873" t="s">
        <v>22</v>
      </c>
    </row>
    <row r="1874" spans="1:15">
      <c r="A1874" t="s">
        <v>10101</v>
      </c>
      <c r="B1874" t="s">
        <v>10101</v>
      </c>
      <c r="C1874" t="s">
        <v>10102</v>
      </c>
      <c r="F1874">
        <v>1</v>
      </c>
      <c r="G1874" s="1" t="s">
        <v>1990</v>
      </c>
      <c r="I1874" s="1" t="s">
        <v>11473</v>
      </c>
      <c r="O1874" t="s">
        <v>22</v>
      </c>
    </row>
    <row r="1875" spans="1:15">
      <c r="A1875" t="s">
        <v>6235</v>
      </c>
      <c r="B1875" t="s">
        <v>6235</v>
      </c>
      <c r="C1875" t="s">
        <v>4977</v>
      </c>
      <c r="F1875">
        <v>1</v>
      </c>
      <c r="G1875" s="1" t="s">
        <v>1991</v>
      </c>
      <c r="I1875" s="1" t="s">
        <v>11473</v>
      </c>
      <c r="O1875" t="s">
        <v>22</v>
      </c>
    </row>
    <row r="1876" spans="1:15">
      <c r="A1876" t="s">
        <v>5990</v>
      </c>
      <c r="B1876" t="s">
        <v>5990</v>
      </c>
      <c r="C1876" t="s">
        <v>5991</v>
      </c>
      <c r="F1876">
        <v>1</v>
      </c>
      <c r="G1876" s="1" t="s">
        <v>1992</v>
      </c>
      <c r="I1876" s="1" t="s">
        <v>11473</v>
      </c>
      <c r="O1876" t="s">
        <v>22</v>
      </c>
    </row>
    <row r="1877" spans="1:15">
      <c r="A1877" t="s">
        <v>9796</v>
      </c>
      <c r="B1877" t="s">
        <v>9796</v>
      </c>
      <c r="C1877" t="s">
        <v>5991</v>
      </c>
      <c r="F1877">
        <v>1</v>
      </c>
      <c r="G1877" s="1" t="s">
        <v>1993</v>
      </c>
      <c r="I1877" s="1" t="s">
        <v>11473</v>
      </c>
      <c r="O1877" t="s">
        <v>22</v>
      </c>
    </row>
    <row r="1878" spans="1:15">
      <c r="A1878" t="s">
        <v>8605</v>
      </c>
      <c r="B1878" t="s">
        <v>8605</v>
      </c>
      <c r="C1878" t="s">
        <v>8606</v>
      </c>
      <c r="F1878">
        <v>1</v>
      </c>
      <c r="G1878" s="1" t="s">
        <v>1994</v>
      </c>
      <c r="I1878" s="1" t="s">
        <v>11473</v>
      </c>
      <c r="O1878" t="s">
        <v>22</v>
      </c>
    </row>
    <row r="1879" spans="1:15">
      <c r="A1879" t="s">
        <v>8343</v>
      </c>
      <c r="B1879" t="s">
        <v>8343</v>
      </c>
      <c r="C1879" t="s">
        <v>4594</v>
      </c>
      <c r="F1879">
        <v>1</v>
      </c>
      <c r="G1879" s="1" t="s">
        <v>1995</v>
      </c>
      <c r="I1879" s="1" t="s">
        <v>11473</v>
      </c>
      <c r="O1879" t="s">
        <v>22</v>
      </c>
    </row>
    <row r="1880" spans="1:15">
      <c r="A1880" t="s">
        <v>8294</v>
      </c>
      <c r="B1880" t="s">
        <v>8294</v>
      </c>
      <c r="C1880" t="s">
        <v>4464</v>
      </c>
      <c r="F1880">
        <v>1</v>
      </c>
      <c r="G1880" s="1" t="s">
        <v>1996</v>
      </c>
      <c r="I1880" s="1" t="s">
        <v>11473</v>
      </c>
      <c r="O1880" t="s">
        <v>22</v>
      </c>
    </row>
    <row r="1881" spans="1:15">
      <c r="A1881" t="s">
        <v>8582</v>
      </c>
      <c r="B1881" t="s">
        <v>8582</v>
      </c>
      <c r="C1881" t="s">
        <v>4464</v>
      </c>
      <c r="F1881">
        <v>1</v>
      </c>
      <c r="G1881" s="1" t="s">
        <v>1997</v>
      </c>
      <c r="I1881" s="1" t="s">
        <v>11473</v>
      </c>
      <c r="O1881" t="s">
        <v>22</v>
      </c>
    </row>
    <row r="1882" spans="1:15">
      <c r="A1882" t="s">
        <v>9890</v>
      </c>
      <c r="B1882" t="s">
        <v>9890</v>
      </c>
      <c r="C1882" t="s">
        <v>4464</v>
      </c>
      <c r="F1882">
        <v>1</v>
      </c>
      <c r="G1882" s="1" t="s">
        <v>1998</v>
      </c>
      <c r="I1882" s="1" t="s">
        <v>11473</v>
      </c>
      <c r="O1882" t="s">
        <v>22</v>
      </c>
    </row>
    <row r="1883" spans="1:15">
      <c r="A1883" t="s">
        <v>8258</v>
      </c>
      <c r="B1883" t="s">
        <v>8258</v>
      </c>
      <c r="C1883" t="s">
        <v>4185</v>
      </c>
      <c r="F1883">
        <v>1</v>
      </c>
      <c r="G1883" s="1" t="s">
        <v>1999</v>
      </c>
      <c r="I1883" s="1" t="s">
        <v>11473</v>
      </c>
      <c r="O1883" t="s">
        <v>22</v>
      </c>
    </row>
    <row r="1884" spans="1:15">
      <c r="A1884" t="s">
        <v>10377</v>
      </c>
      <c r="B1884" t="s">
        <v>10377</v>
      </c>
      <c r="C1884" t="s">
        <v>4185</v>
      </c>
      <c r="F1884">
        <v>1</v>
      </c>
      <c r="G1884" s="1" t="s">
        <v>2000</v>
      </c>
      <c r="I1884" s="1" t="s">
        <v>11473</v>
      </c>
      <c r="O1884" t="s">
        <v>22</v>
      </c>
    </row>
    <row r="1885" spans="1:15">
      <c r="A1885" t="s">
        <v>11215</v>
      </c>
      <c r="B1885" t="s">
        <v>11215</v>
      </c>
      <c r="C1885" t="s">
        <v>4185</v>
      </c>
      <c r="F1885">
        <v>1</v>
      </c>
      <c r="G1885" s="1" t="s">
        <v>2001</v>
      </c>
      <c r="I1885" s="1" t="s">
        <v>11473</v>
      </c>
      <c r="O1885" t="s">
        <v>22</v>
      </c>
    </row>
    <row r="1886" spans="1:15">
      <c r="A1886" t="s">
        <v>8904</v>
      </c>
      <c r="B1886" t="s">
        <v>8904</v>
      </c>
      <c r="C1886" t="s">
        <v>4955</v>
      </c>
      <c r="F1886">
        <v>1</v>
      </c>
      <c r="G1886" s="1" t="s">
        <v>2002</v>
      </c>
      <c r="I1886" s="1" t="s">
        <v>11473</v>
      </c>
      <c r="O1886" t="s">
        <v>22</v>
      </c>
    </row>
    <row r="1887" spans="1:15">
      <c r="A1887" t="s">
        <v>7803</v>
      </c>
      <c r="B1887" t="s">
        <v>7803</v>
      </c>
      <c r="C1887" t="s">
        <v>4984</v>
      </c>
      <c r="F1887">
        <v>1</v>
      </c>
      <c r="G1887" s="1" t="s">
        <v>2003</v>
      </c>
      <c r="I1887" s="1" t="s">
        <v>11473</v>
      </c>
      <c r="O1887" t="s">
        <v>22</v>
      </c>
    </row>
    <row r="1888" spans="1:15">
      <c r="A1888" t="s">
        <v>10484</v>
      </c>
      <c r="B1888" t="s">
        <v>10484</v>
      </c>
      <c r="C1888" t="s">
        <v>4984</v>
      </c>
      <c r="F1888">
        <v>1</v>
      </c>
      <c r="G1888" s="1" t="s">
        <v>2004</v>
      </c>
      <c r="I1888" s="1" t="s">
        <v>11473</v>
      </c>
      <c r="O1888" t="s">
        <v>22</v>
      </c>
    </row>
    <row r="1889" spans="1:15">
      <c r="A1889" t="s">
        <v>7703</v>
      </c>
      <c r="B1889" t="s">
        <v>7703</v>
      </c>
      <c r="C1889" t="s">
        <v>4854</v>
      </c>
      <c r="F1889">
        <v>1</v>
      </c>
      <c r="G1889" s="1" t="s">
        <v>2005</v>
      </c>
      <c r="I1889" s="1" t="s">
        <v>11473</v>
      </c>
      <c r="O1889" t="s">
        <v>22</v>
      </c>
    </row>
    <row r="1890" spans="1:15">
      <c r="A1890" t="s">
        <v>10912</v>
      </c>
      <c r="B1890" t="s">
        <v>10912</v>
      </c>
      <c r="C1890" t="s">
        <v>4951</v>
      </c>
      <c r="F1890">
        <v>1</v>
      </c>
      <c r="G1890" s="1" t="s">
        <v>2006</v>
      </c>
      <c r="I1890" s="1" t="s">
        <v>11473</v>
      </c>
      <c r="O1890" t="s">
        <v>22</v>
      </c>
    </row>
    <row r="1891" spans="1:15">
      <c r="A1891" t="s">
        <v>5554</v>
      </c>
      <c r="B1891" t="s">
        <v>5554</v>
      </c>
      <c r="C1891" t="s">
        <v>5555</v>
      </c>
      <c r="F1891">
        <v>1</v>
      </c>
      <c r="G1891" s="1" t="s">
        <v>2007</v>
      </c>
      <c r="I1891" s="1" t="s">
        <v>11473</v>
      </c>
      <c r="O1891" t="s">
        <v>22</v>
      </c>
    </row>
    <row r="1892" spans="1:15">
      <c r="A1892" t="s">
        <v>5869</v>
      </c>
      <c r="B1892" t="s">
        <v>5869</v>
      </c>
      <c r="C1892" t="s">
        <v>5555</v>
      </c>
      <c r="F1892">
        <v>1</v>
      </c>
      <c r="G1892" s="1" t="s">
        <v>2008</v>
      </c>
      <c r="I1892" s="1" t="s">
        <v>11473</v>
      </c>
      <c r="O1892" t="s">
        <v>22</v>
      </c>
    </row>
    <row r="1893" spans="1:15">
      <c r="A1893" t="s">
        <v>9559</v>
      </c>
      <c r="B1893" t="s">
        <v>9559</v>
      </c>
      <c r="C1893" t="s">
        <v>5555</v>
      </c>
      <c r="F1893">
        <v>1</v>
      </c>
      <c r="G1893" s="1" t="s">
        <v>2009</v>
      </c>
      <c r="I1893" s="1" t="s">
        <v>11473</v>
      </c>
      <c r="O1893" t="s">
        <v>22</v>
      </c>
    </row>
    <row r="1894" spans="1:15">
      <c r="A1894" t="s">
        <v>7066</v>
      </c>
      <c r="B1894" t="s">
        <v>7066</v>
      </c>
      <c r="C1894" t="s">
        <v>4897</v>
      </c>
      <c r="F1894">
        <v>1</v>
      </c>
      <c r="G1894" s="1" t="s">
        <v>2010</v>
      </c>
      <c r="I1894" s="1" t="s">
        <v>11473</v>
      </c>
      <c r="O1894" t="s">
        <v>22</v>
      </c>
    </row>
    <row r="1895" spans="1:15">
      <c r="A1895" t="s">
        <v>10301</v>
      </c>
      <c r="B1895" t="s">
        <v>10301</v>
      </c>
      <c r="C1895" t="s">
        <v>4897</v>
      </c>
      <c r="F1895">
        <v>1</v>
      </c>
      <c r="G1895" s="1" t="s">
        <v>2011</v>
      </c>
      <c r="I1895" s="1" t="s">
        <v>11473</v>
      </c>
      <c r="O1895" t="s">
        <v>22</v>
      </c>
    </row>
    <row r="1896" spans="1:15">
      <c r="A1896" t="s">
        <v>5607</v>
      </c>
      <c r="B1896" t="s">
        <v>5607</v>
      </c>
      <c r="C1896" t="s">
        <v>4246</v>
      </c>
      <c r="F1896">
        <v>1</v>
      </c>
      <c r="G1896" s="1" t="s">
        <v>2012</v>
      </c>
      <c r="I1896" s="1" t="s">
        <v>11473</v>
      </c>
      <c r="O1896" t="s">
        <v>22</v>
      </c>
    </row>
    <row r="1897" spans="1:15">
      <c r="A1897" t="s">
        <v>5834</v>
      </c>
      <c r="B1897" t="s">
        <v>5834</v>
      </c>
      <c r="C1897" t="s">
        <v>4246</v>
      </c>
      <c r="F1897">
        <v>1</v>
      </c>
      <c r="G1897" s="1" t="s">
        <v>2013</v>
      </c>
      <c r="I1897" s="1" t="s">
        <v>11473</v>
      </c>
      <c r="O1897" t="s">
        <v>22</v>
      </c>
    </row>
    <row r="1898" spans="1:15">
      <c r="A1898" t="s">
        <v>7069</v>
      </c>
      <c r="B1898" t="s">
        <v>7069</v>
      </c>
      <c r="C1898" t="s">
        <v>4246</v>
      </c>
      <c r="F1898">
        <v>1</v>
      </c>
      <c r="G1898" s="1" t="s">
        <v>2014</v>
      </c>
      <c r="I1898" s="1" t="s">
        <v>11473</v>
      </c>
      <c r="O1898" t="s">
        <v>22</v>
      </c>
    </row>
    <row r="1899" spans="1:15">
      <c r="A1899" t="s">
        <v>7948</v>
      </c>
      <c r="B1899" t="s">
        <v>7948</v>
      </c>
      <c r="C1899" t="s">
        <v>4246</v>
      </c>
      <c r="F1899">
        <v>1</v>
      </c>
      <c r="G1899" s="1" t="s">
        <v>2015</v>
      </c>
      <c r="I1899" s="1" t="s">
        <v>11473</v>
      </c>
      <c r="O1899" t="s">
        <v>22</v>
      </c>
    </row>
    <row r="1900" spans="1:15">
      <c r="A1900" t="s">
        <v>8682</v>
      </c>
      <c r="B1900" t="s">
        <v>8682</v>
      </c>
      <c r="C1900" t="s">
        <v>4246</v>
      </c>
      <c r="F1900">
        <v>1</v>
      </c>
      <c r="G1900" s="1" t="s">
        <v>2016</v>
      </c>
      <c r="I1900" s="1" t="s">
        <v>11473</v>
      </c>
      <c r="O1900" t="s">
        <v>22</v>
      </c>
    </row>
    <row r="1901" spans="1:15">
      <c r="A1901" t="s">
        <v>5859</v>
      </c>
      <c r="B1901" t="s">
        <v>5859</v>
      </c>
      <c r="C1901" t="s">
        <v>4465</v>
      </c>
      <c r="F1901">
        <v>1</v>
      </c>
      <c r="G1901" s="1" t="s">
        <v>2017</v>
      </c>
      <c r="I1901" s="1" t="s">
        <v>11473</v>
      </c>
      <c r="O1901" t="s">
        <v>22</v>
      </c>
    </row>
    <row r="1902" spans="1:15">
      <c r="A1902" t="s">
        <v>9153</v>
      </c>
      <c r="B1902" t="s">
        <v>9153</v>
      </c>
      <c r="C1902" t="s">
        <v>4465</v>
      </c>
      <c r="F1902">
        <v>1</v>
      </c>
      <c r="G1902" s="1" t="s">
        <v>2018</v>
      </c>
      <c r="I1902" s="1" t="s">
        <v>11473</v>
      </c>
      <c r="O1902" t="s">
        <v>22</v>
      </c>
    </row>
    <row r="1903" spans="1:15">
      <c r="A1903" t="s">
        <v>9154</v>
      </c>
      <c r="B1903" t="s">
        <v>9154</v>
      </c>
      <c r="C1903" t="s">
        <v>4465</v>
      </c>
      <c r="F1903">
        <v>1</v>
      </c>
      <c r="G1903" s="1" t="s">
        <v>2019</v>
      </c>
      <c r="I1903" s="1" t="s">
        <v>11473</v>
      </c>
      <c r="O1903" t="s">
        <v>22</v>
      </c>
    </row>
    <row r="1904" spans="1:15">
      <c r="A1904" t="s">
        <v>10665</v>
      </c>
      <c r="B1904" t="s">
        <v>10665</v>
      </c>
      <c r="C1904" t="s">
        <v>4680</v>
      </c>
      <c r="F1904">
        <v>1</v>
      </c>
      <c r="G1904" s="1" t="s">
        <v>2020</v>
      </c>
      <c r="I1904" s="1" t="s">
        <v>11473</v>
      </c>
      <c r="O1904" t="s">
        <v>22</v>
      </c>
    </row>
    <row r="1905" spans="1:15">
      <c r="A1905" t="s">
        <v>4077</v>
      </c>
      <c r="B1905" t="s">
        <v>4077</v>
      </c>
      <c r="C1905" t="s">
        <v>11064</v>
      </c>
      <c r="F1905">
        <v>1</v>
      </c>
      <c r="G1905" s="1" t="s">
        <v>2021</v>
      </c>
      <c r="I1905" s="1" t="s">
        <v>11473</v>
      </c>
      <c r="O1905" t="s">
        <v>22</v>
      </c>
    </row>
    <row r="1906" spans="1:15">
      <c r="A1906" t="s">
        <v>6700</v>
      </c>
      <c r="B1906" t="s">
        <v>6700</v>
      </c>
      <c r="C1906" t="s">
        <v>4286</v>
      </c>
      <c r="F1906">
        <v>1</v>
      </c>
      <c r="G1906" s="1" t="s">
        <v>2022</v>
      </c>
      <c r="I1906" s="1" t="s">
        <v>11473</v>
      </c>
      <c r="O1906" t="s">
        <v>22</v>
      </c>
    </row>
    <row r="1907" spans="1:15">
      <c r="A1907" t="s">
        <v>10907</v>
      </c>
      <c r="B1907" t="s">
        <v>10907</v>
      </c>
      <c r="C1907" t="s">
        <v>4142</v>
      </c>
      <c r="F1907">
        <v>1</v>
      </c>
      <c r="G1907" s="1" t="s">
        <v>2023</v>
      </c>
      <c r="I1907" s="1" t="s">
        <v>11473</v>
      </c>
      <c r="O1907" t="s">
        <v>22</v>
      </c>
    </row>
    <row r="1908" spans="1:15">
      <c r="A1908" t="s">
        <v>7660</v>
      </c>
      <c r="B1908" t="s">
        <v>7660</v>
      </c>
      <c r="C1908" t="s">
        <v>7661</v>
      </c>
      <c r="F1908">
        <v>1</v>
      </c>
      <c r="G1908" s="1" t="s">
        <v>2024</v>
      </c>
      <c r="I1908" s="1" t="s">
        <v>11473</v>
      </c>
      <c r="O1908" t="s">
        <v>22</v>
      </c>
    </row>
    <row r="1909" spans="1:15">
      <c r="A1909" t="s">
        <v>7691</v>
      </c>
      <c r="B1909" t="s">
        <v>7691</v>
      </c>
      <c r="C1909" t="s">
        <v>7692</v>
      </c>
      <c r="F1909">
        <v>1</v>
      </c>
      <c r="G1909" s="1" t="s">
        <v>2025</v>
      </c>
      <c r="I1909" s="1" t="s">
        <v>11473</v>
      </c>
      <c r="O1909" t="s">
        <v>22</v>
      </c>
    </row>
    <row r="1910" spans="1:15">
      <c r="A1910" t="s">
        <v>5563</v>
      </c>
      <c r="B1910" t="s">
        <v>5563</v>
      </c>
      <c r="C1910" t="s">
        <v>4393</v>
      </c>
      <c r="F1910">
        <v>1</v>
      </c>
      <c r="G1910" s="1" t="s">
        <v>2026</v>
      </c>
      <c r="I1910" s="1" t="s">
        <v>11473</v>
      </c>
      <c r="O1910" t="s">
        <v>22</v>
      </c>
    </row>
    <row r="1911" spans="1:15">
      <c r="A1911" t="s">
        <v>5881</v>
      </c>
      <c r="B1911" t="s">
        <v>5881</v>
      </c>
      <c r="C1911" t="s">
        <v>4393</v>
      </c>
      <c r="F1911">
        <v>1</v>
      </c>
      <c r="G1911" s="1" t="s">
        <v>2027</v>
      </c>
      <c r="I1911" s="1" t="s">
        <v>11473</v>
      </c>
      <c r="O1911" t="s">
        <v>22</v>
      </c>
    </row>
    <row r="1912" spans="1:15">
      <c r="A1912" t="s">
        <v>7262</v>
      </c>
      <c r="B1912" t="s">
        <v>7262</v>
      </c>
      <c r="C1912" t="s">
        <v>4393</v>
      </c>
      <c r="F1912">
        <v>1</v>
      </c>
      <c r="G1912" s="1" t="s">
        <v>2028</v>
      </c>
      <c r="I1912" s="1" t="s">
        <v>11473</v>
      </c>
      <c r="O1912" t="s">
        <v>22</v>
      </c>
    </row>
    <row r="1913" spans="1:15">
      <c r="A1913" t="s">
        <v>11345</v>
      </c>
      <c r="B1913" t="s">
        <v>11345</v>
      </c>
      <c r="C1913" t="s">
        <v>11346</v>
      </c>
      <c r="F1913">
        <v>1</v>
      </c>
      <c r="G1913" s="1" t="s">
        <v>2029</v>
      </c>
      <c r="I1913" s="1" t="s">
        <v>11473</v>
      </c>
      <c r="O1913" t="s">
        <v>22</v>
      </c>
    </row>
    <row r="1914" spans="1:15">
      <c r="A1914" t="s">
        <v>7714</v>
      </c>
      <c r="B1914" t="s">
        <v>7714</v>
      </c>
      <c r="C1914" t="s">
        <v>7715</v>
      </c>
      <c r="F1914">
        <v>1</v>
      </c>
      <c r="G1914" s="1" t="s">
        <v>2030</v>
      </c>
      <c r="I1914" s="1" t="s">
        <v>11473</v>
      </c>
      <c r="O1914" t="s">
        <v>22</v>
      </c>
    </row>
    <row r="1915" spans="1:15">
      <c r="A1915" t="s">
        <v>6872</v>
      </c>
      <c r="B1915" t="s">
        <v>6872</v>
      </c>
      <c r="C1915" t="s">
        <v>6873</v>
      </c>
      <c r="F1915">
        <v>1</v>
      </c>
      <c r="G1915" s="1" t="s">
        <v>2031</v>
      </c>
      <c r="I1915" s="1" t="s">
        <v>11473</v>
      </c>
      <c r="O1915" t="s">
        <v>22</v>
      </c>
    </row>
    <row r="1916" spans="1:15">
      <c r="A1916" t="s">
        <v>8232</v>
      </c>
      <c r="B1916" t="s">
        <v>8232</v>
      </c>
      <c r="C1916" t="s">
        <v>8233</v>
      </c>
      <c r="F1916">
        <v>1</v>
      </c>
      <c r="G1916" s="1" t="s">
        <v>2032</v>
      </c>
      <c r="I1916" s="1" t="s">
        <v>11473</v>
      </c>
      <c r="O1916" t="s">
        <v>22</v>
      </c>
    </row>
    <row r="1917" spans="1:15">
      <c r="A1917" t="s">
        <v>7406</v>
      </c>
      <c r="B1917" t="s">
        <v>7406</v>
      </c>
      <c r="C1917" t="s">
        <v>4715</v>
      </c>
      <c r="F1917">
        <v>1</v>
      </c>
      <c r="G1917" s="1" t="s">
        <v>2033</v>
      </c>
      <c r="I1917" s="1" t="s">
        <v>11473</v>
      </c>
      <c r="O1917" t="s">
        <v>22</v>
      </c>
    </row>
    <row r="1918" spans="1:15">
      <c r="A1918" t="s">
        <v>9387</v>
      </c>
      <c r="B1918" t="s">
        <v>9387</v>
      </c>
      <c r="C1918" t="s">
        <v>4715</v>
      </c>
      <c r="F1918">
        <v>1</v>
      </c>
      <c r="G1918" s="1" t="s">
        <v>2034</v>
      </c>
      <c r="I1918" s="1" t="s">
        <v>11473</v>
      </c>
      <c r="O1918" t="s">
        <v>22</v>
      </c>
    </row>
    <row r="1919" spans="1:15">
      <c r="A1919" t="s">
        <v>7099</v>
      </c>
      <c r="B1919" t="s">
        <v>7099</v>
      </c>
      <c r="C1919" t="s">
        <v>7100</v>
      </c>
      <c r="F1919">
        <v>1</v>
      </c>
      <c r="G1919" s="1" t="s">
        <v>2035</v>
      </c>
      <c r="I1919" s="1" t="s">
        <v>11473</v>
      </c>
      <c r="O1919" t="s">
        <v>22</v>
      </c>
    </row>
    <row r="1920" spans="1:15">
      <c r="A1920" t="s">
        <v>8263</v>
      </c>
      <c r="B1920" t="s">
        <v>8263</v>
      </c>
      <c r="C1920" t="s">
        <v>7100</v>
      </c>
      <c r="F1920">
        <v>1</v>
      </c>
      <c r="G1920" s="1" t="s">
        <v>2036</v>
      </c>
      <c r="I1920" s="1" t="s">
        <v>11473</v>
      </c>
      <c r="O1920" t="s">
        <v>22</v>
      </c>
    </row>
    <row r="1921" spans="1:15">
      <c r="A1921" t="s">
        <v>7371</v>
      </c>
      <c r="B1921" t="s">
        <v>7371</v>
      </c>
      <c r="C1921" t="s">
        <v>7372</v>
      </c>
      <c r="F1921">
        <v>1</v>
      </c>
      <c r="G1921" s="1" t="s">
        <v>2037</v>
      </c>
      <c r="I1921" s="1" t="s">
        <v>11473</v>
      </c>
      <c r="O1921" t="s">
        <v>22</v>
      </c>
    </row>
    <row r="1922" spans="1:15">
      <c r="A1922" t="s">
        <v>8612</v>
      </c>
      <c r="B1922" t="s">
        <v>8612</v>
      </c>
      <c r="C1922" t="s">
        <v>7372</v>
      </c>
      <c r="F1922">
        <v>1</v>
      </c>
      <c r="G1922" s="1" t="s">
        <v>2038</v>
      </c>
      <c r="I1922" s="1" t="s">
        <v>11473</v>
      </c>
      <c r="O1922" t="s">
        <v>22</v>
      </c>
    </row>
    <row r="1923" spans="1:15">
      <c r="A1923" t="s">
        <v>6033</v>
      </c>
      <c r="B1923" t="s">
        <v>6033</v>
      </c>
      <c r="C1923" t="s">
        <v>6034</v>
      </c>
      <c r="F1923">
        <v>1</v>
      </c>
      <c r="G1923" s="1" t="s">
        <v>2039</v>
      </c>
      <c r="I1923" s="1" t="s">
        <v>11473</v>
      </c>
      <c r="O1923" t="s">
        <v>22</v>
      </c>
    </row>
    <row r="1924" spans="1:15">
      <c r="A1924" t="s">
        <v>7077</v>
      </c>
      <c r="B1924" t="s">
        <v>7077</v>
      </c>
      <c r="C1924" t="s">
        <v>6034</v>
      </c>
      <c r="F1924">
        <v>1</v>
      </c>
      <c r="G1924" s="1" t="s">
        <v>2040</v>
      </c>
      <c r="I1924" s="1" t="s">
        <v>11473</v>
      </c>
      <c r="O1924" t="s">
        <v>22</v>
      </c>
    </row>
    <row r="1925" spans="1:15">
      <c r="A1925" t="s">
        <v>6702</v>
      </c>
      <c r="B1925" t="s">
        <v>6702</v>
      </c>
      <c r="C1925" t="s">
        <v>4238</v>
      </c>
      <c r="F1925">
        <v>1</v>
      </c>
      <c r="G1925" s="1" t="s">
        <v>2041</v>
      </c>
      <c r="I1925" s="1" t="s">
        <v>11473</v>
      </c>
      <c r="O1925" t="s">
        <v>22</v>
      </c>
    </row>
    <row r="1926" spans="1:15">
      <c r="A1926" t="s">
        <v>9844</v>
      </c>
      <c r="B1926" t="s">
        <v>9844</v>
      </c>
      <c r="C1926" t="s">
        <v>4238</v>
      </c>
      <c r="F1926">
        <v>1</v>
      </c>
      <c r="G1926" s="1" t="s">
        <v>2042</v>
      </c>
      <c r="I1926" s="1" t="s">
        <v>11473</v>
      </c>
      <c r="O1926" t="s">
        <v>22</v>
      </c>
    </row>
    <row r="1927" spans="1:15">
      <c r="A1927" t="s">
        <v>7450</v>
      </c>
      <c r="B1927" t="s">
        <v>7450</v>
      </c>
      <c r="C1927" t="s">
        <v>7451</v>
      </c>
      <c r="F1927">
        <v>1</v>
      </c>
      <c r="G1927" s="1" t="s">
        <v>2043</v>
      </c>
      <c r="I1927" s="1" t="s">
        <v>11473</v>
      </c>
      <c r="O1927" t="s">
        <v>22</v>
      </c>
    </row>
    <row r="1928" spans="1:15">
      <c r="A1928" t="s">
        <v>6240</v>
      </c>
      <c r="B1928" t="s">
        <v>6240</v>
      </c>
      <c r="C1928" t="s">
        <v>4081</v>
      </c>
      <c r="F1928">
        <v>1</v>
      </c>
      <c r="G1928" s="1" t="s">
        <v>2044</v>
      </c>
      <c r="I1928" s="1" t="s">
        <v>11473</v>
      </c>
      <c r="O1928" t="s">
        <v>22</v>
      </c>
    </row>
    <row r="1929" spans="1:15">
      <c r="A1929" t="s">
        <v>7282</v>
      </c>
      <c r="B1929" t="s">
        <v>7282</v>
      </c>
      <c r="C1929" t="s">
        <v>7283</v>
      </c>
      <c r="F1929">
        <v>1</v>
      </c>
      <c r="G1929" s="1" t="s">
        <v>2045</v>
      </c>
      <c r="I1929" s="1" t="s">
        <v>11473</v>
      </c>
      <c r="O1929" t="s">
        <v>22</v>
      </c>
    </row>
    <row r="1930" spans="1:15">
      <c r="A1930" t="s">
        <v>7061</v>
      </c>
      <c r="B1930" t="s">
        <v>7061</v>
      </c>
      <c r="C1930" t="s">
        <v>4684</v>
      </c>
      <c r="F1930">
        <v>1</v>
      </c>
      <c r="G1930" s="1" t="s">
        <v>2046</v>
      </c>
      <c r="I1930" s="1" t="s">
        <v>11473</v>
      </c>
      <c r="O1930" t="s">
        <v>22</v>
      </c>
    </row>
    <row r="1931" spans="1:15">
      <c r="A1931" t="s">
        <v>7073</v>
      </c>
      <c r="B1931" t="s">
        <v>7073</v>
      </c>
      <c r="C1931" t="s">
        <v>4684</v>
      </c>
      <c r="F1931">
        <v>1</v>
      </c>
      <c r="G1931" s="1" t="s">
        <v>2047</v>
      </c>
      <c r="I1931" s="1" t="s">
        <v>11473</v>
      </c>
      <c r="O1931" t="s">
        <v>22</v>
      </c>
    </row>
    <row r="1932" spans="1:15">
      <c r="A1932" t="s">
        <v>9769</v>
      </c>
      <c r="B1932" t="s">
        <v>9769</v>
      </c>
      <c r="C1932" t="s">
        <v>9770</v>
      </c>
      <c r="F1932">
        <v>1</v>
      </c>
      <c r="G1932" s="1" t="s">
        <v>2048</v>
      </c>
      <c r="I1932" s="1" t="s">
        <v>11473</v>
      </c>
      <c r="O1932" t="s">
        <v>22</v>
      </c>
    </row>
    <row r="1933" spans="1:15">
      <c r="A1933" t="s">
        <v>10604</v>
      </c>
      <c r="B1933" t="s">
        <v>10604</v>
      </c>
      <c r="C1933" t="s">
        <v>10605</v>
      </c>
      <c r="F1933">
        <v>1</v>
      </c>
      <c r="G1933" s="1" t="s">
        <v>2049</v>
      </c>
      <c r="I1933" s="1" t="s">
        <v>11473</v>
      </c>
      <c r="O1933" t="s">
        <v>22</v>
      </c>
    </row>
    <row r="1934" spans="1:15">
      <c r="A1934" t="s">
        <v>7078</v>
      </c>
      <c r="B1934" t="s">
        <v>7078</v>
      </c>
      <c r="C1934" t="s">
        <v>7079</v>
      </c>
      <c r="F1934">
        <v>1</v>
      </c>
      <c r="G1934" s="1" t="s">
        <v>2050</v>
      </c>
      <c r="I1934" s="1" t="s">
        <v>11473</v>
      </c>
      <c r="O1934" t="s">
        <v>22</v>
      </c>
    </row>
    <row r="1935" spans="1:15">
      <c r="A1935" t="s">
        <v>10842</v>
      </c>
      <c r="B1935" t="s">
        <v>10842</v>
      </c>
      <c r="C1935" t="s">
        <v>7079</v>
      </c>
      <c r="F1935">
        <v>1</v>
      </c>
      <c r="G1935" s="1" t="s">
        <v>2051</v>
      </c>
      <c r="I1935" s="1" t="s">
        <v>11473</v>
      </c>
      <c r="O1935" t="s">
        <v>22</v>
      </c>
    </row>
    <row r="1936" spans="1:15">
      <c r="A1936" t="s">
        <v>6069</v>
      </c>
      <c r="B1936" t="s">
        <v>6069</v>
      </c>
      <c r="C1936" t="s">
        <v>5115</v>
      </c>
      <c r="F1936">
        <v>1</v>
      </c>
      <c r="G1936" s="1" t="s">
        <v>2052</v>
      </c>
      <c r="I1936" s="1" t="s">
        <v>11473</v>
      </c>
      <c r="O1936" t="s">
        <v>22</v>
      </c>
    </row>
    <row r="1937" spans="1:15">
      <c r="A1937" t="s">
        <v>8262</v>
      </c>
      <c r="B1937" t="s">
        <v>8262</v>
      </c>
      <c r="C1937" t="s">
        <v>5115</v>
      </c>
      <c r="F1937">
        <v>1</v>
      </c>
      <c r="G1937" s="1" t="s">
        <v>2053</v>
      </c>
      <c r="I1937" s="1" t="s">
        <v>11473</v>
      </c>
      <c r="O1937" t="s">
        <v>22</v>
      </c>
    </row>
    <row r="1938" spans="1:15">
      <c r="A1938" t="s">
        <v>9184</v>
      </c>
      <c r="B1938" t="s">
        <v>9184</v>
      </c>
      <c r="C1938" t="s">
        <v>9185</v>
      </c>
      <c r="F1938">
        <v>1</v>
      </c>
      <c r="G1938" s="1" t="s">
        <v>2054</v>
      </c>
      <c r="I1938" s="1" t="s">
        <v>11473</v>
      </c>
      <c r="O1938" t="s">
        <v>22</v>
      </c>
    </row>
    <row r="1939" spans="1:15">
      <c r="A1939" t="s">
        <v>9192</v>
      </c>
      <c r="B1939" t="s">
        <v>9192</v>
      </c>
      <c r="C1939" t="s">
        <v>9185</v>
      </c>
      <c r="F1939">
        <v>1</v>
      </c>
      <c r="G1939" s="1" t="s">
        <v>2055</v>
      </c>
      <c r="I1939" s="1" t="s">
        <v>11473</v>
      </c>
      <c r="O1939" t="s">
        <v>22</v>
      </c>
    </row>
    <row r="1940" spans="1:15">
      <c r="A1940" t="s">
        <v>10201</v>
      </c>
      <c r="B1940" t="s">
        <v>10201</v>
      </c>
      <c r="C1940" t="s">
        <v>9185</v>
      </c>
      <c r="F1940">
        <v>1</v>
      </c>
      <c r="G1940" s="1" t="s">
        <v>2056</v>
      </c>
      <c r="I1940" s="1" t="s">
        <v>11473</v>
      </c>
      <c r="O1940" t="s">
        <v>22</v>
      </c>
    </row>
    <row r="1941" spans="1:15">
      <c r="A1941" t="s">
        <v>10600</v>
      </c>
      <c r="B1941" t="s">
        <v>10600</v>
      </c>
      <c r="C1941" t="s">
        <v>9185</v>
      </c>
      <c r="F1941">
        <v>1</v>
      </c>
      <c r="G1941" s="1" t="s">
        <v>2057</v>
      </c>
      <c r="I1941" s="1" t="s">
        <v>11473</v>
      </c>
      <c r="O1941" t="s">
        <v>22</v>
      </c>
    </row>
    <row r="1942" spans="1:15">
      <c r="A1942" t="s">
        <v>8913</v>
      </c>
      <c r="B1942" t="s">
        <v>8913</v>
      </c>
      <c r="C1942" t="s">
        <v>8914</v>
      </c>
      <c r="F1942">
        <v>1</v>
      </c>
      <c r="G1942" s="1" t="s">
        <v>2058</v>
      </c>
      <c r="I1942" s="1" t="s">
        <v>11473</v>
      </c>
      <c r="O1942" t="s">
        <v>22</v>
      </c>
    </row>
    <row r="1943" spans="1:15">
      <c r="A1943" t="s">
        <v>9004</v>
      </c>
      <c r="B1943" t="s">
        <v>9004</v>
      </c>
      <c r="C1943" t="s">
        <v>8914</v>
      </c>
      <c r="F1943">
        <v>1</v>
      </c>
      <c r="G1943" s="1" t="s">
        <v>2059</v>
      </c>
      <c r="I1943" s="1" t="s">
        <v>11473</v>
      </c>
      <c r="O1943" t="s">
        <v>22</v>
      </c>
    </row>
    <row r="1944" spans="1:15">
      <c r="A1944" t="s">
        <v>9541</v>
      </c>
      <c r="B1944" t="s">
        <v>9541</v>
      </c>
      <c r="C1944" t="s">
        <v>9542</v>
      </c>
      <c r="F1944">
        <v>1</v>
      </c>
      <c r="G1944" s="1" t="s">
        <v>2060</v>
      </c>
      <c r="I1944" s="1" t="s">
        <v>11473</v>
      </c>
      <c r="O1944" t="s">
        <v>22</v>
      </c>
    </row>
    <row r="1945" spans="1:15">
      <c r="A1945" t="s">
        <v>10962</v>
      </c>
      <c r="B1945" t="s">
        <v>10962</v>
      </c>
      <c r="C1945" t="s">
        <v>10963</v>
      </c>
      <c r="F1945">
        <v>1</v>
      </c>
      <c r="G1945" s="1" t="s">
        <v>2061</v>
      </c>
      <c r="I1945" s="1" t="s">
        <v>11473</v>
      </c>
      <c r="O1945" t="s">
        <v>22</v>
      </c>
    </row>
    <row r="1946" spans="1:15">
      <c r="A1946" t="s">
        <v>6225</v>
      </c>
      <c r="B1946" t="s">
        <v>6225</v>
      </c>
      <c r="C1946" t="s">
        <v>6226</v>
      </c>
      <c r="F1946">
        <v>1</v>
      </c>
      <c r="G1946" s="1" t="s">
        <v>2062</v>
      </c>
      <c r="I1946" s="1" t="s">
        <v>11473</v>
      </c>
      <c r="O1946" t="s">
        <v>22</v>
      </c>
    </row>
    <row r="1947" spans="1:15">
      <c r="A1947" t="s">
        <v>6236</v>
      </c>
      <c r="B1947" t="s">
        <v>6236</v>
      </c>
      <c r="C1947" t="s">
        <v>4162</v>
      </c>
      <c r="F1947">
        <v>1</v>
      </c>
      <c r="G1947" s="1" t="s">
        <v>2063</v>
      </c>
      <c r="I1947" s="1" t="s">
        <v>11473</v>
      </c>
      <c r="O1947" t="s">
        <v>22</v>
      </c>
    </row>
    <row r="1948" spans="1:15">
      <c r="A1948" t="s">
        <v>7207</v>
      </c>
      <c r="B1948" t="s">
        <v>7207</v>
      </c>
      <c r="C1948" t="s">
        <v>4162</v>
      </c>
      <c r="F1948">
        <v>1</v>
      </c>
      <c r="G1948" s="1" t="s">
        <v>2064</v>
      </c>
      <c r="I1948" s="1" t="s">
        <v>11473</v>
      </c>
      <c r="O1948" t="s">
        <v>22</v>
      </c>
    </row>
    <row r="1949" spans="1:15">
      <c r="A1949" t="s">
        <v>7351</v>
      </c>
      <c r="B1949" t="s">
        <v>7351</v>
      </c>
      <c r="C1949" t="s">
        <v>4752</v>
      </c>
      <c r="F1949">
        <v>1</v>
      </c>
      <c r="G1949" s="1" t="s">
        <v>2065</v>
      </c>
      <c r="I1949" s="1" t="s">
        <v>11473</v>
      </c>
      <c r="O1949" t="s">
        <v>22</v>
      </c>
    </row>
    <row r="1950" spans="1:15">
      <c r="A1950" t="s">
        <v>9245</v>
      </c>
      <c r="B1950" t="s">
        <v>9245</v>
      </c>
      <c r="C1950" t="s">
        <v>4661</v>
      </c>
      <c r="F1950">
        <v>1</v>
      </c>
      <c r="G1950" s="1" t="s">
        <v>2066</v>
      </c>
      <c r="I1950" s="1" t="s">
        <v>11473</v>
      </c>
      <c r="O1950" t="s">
        <v>22</v>
      </c>
    </row>
    <row r="1951" spans="1:15">
      <c r="A1951" t="s">
        <v>6231</v>
      </c>
      <c r="B1951" t="s">
        <v>6231</v>
      </c>
      <c r="C1951" t="s">
        <v>6232</v>
      </c>
      <c r="F1951">
        <v>1</v>
      </c>
      <c r="G1951" s="1" t="s">
        <v>2067</v>
      </c>
      <c r="I1951" s="1" t="s">
        <v>11473</v>
      </c>
      <c r="O1951" t="s">
        <v>22</v>
      </c>
    </row>
    <row r="1952" spans="1:15">
      <c r="A1952" t="s">
        <v>11448</v>
      </c>
      <c r="B1952" t="s">
        <v>11448</v>
      </c>
      <c r="C1952" t="s">
        <v>6232</v>
      </c>
      <c r="F1952">
        <v>1</v>
      </c>
      <c r="G1952" s="1" t="s">
        <v>2068</v>
      </c>
      <c r="I1952" s="1" t="s">
        <v>11473</v>
      </c>
      <c r="O1952" t="s">
        <v>22</v>
      </c>
    </row>
    <row r="1953" spans="1:15">
      <c r="A1953" t="s">
        <v>5441</v>
      </c>
      <c r="B1953" t="s">
        <v>5441</v>
      </c>
      <c r="C1953" t="s">
        <v>4721</v>
      </c>
      <c r="F1953">
        <v>1</v>
      </c>
      <c r="G1953" s="1" t="s">
        <v>2069</v>
      </c>
      <c r="I1953" s="1" t="s">
        <v>11473</v>
      </c>
      <c r="O1953" t="s">
        <v>22</v>
      </c>
    </row>
    <row r="1954" spans="1:15">
      <c r="A1954" t="s">
        <v>7130</v>
      </c>
      <c r="B1954" t="s">
        <v>7130</v>
      </c>
      <c r="C1954" t="s">
        <v>4721</v>
      </c>
      <c r="F1954">
        <v>1</v>
      </c>
      <c r="G1954" s="1" t="s">
        <v>2070</v>
      </c>
      <c r="I1954" s="1" t="s">
        <v>11473</v>
      </c>
      <c r="O1954" t="s">
        <v>22</v>
      </c>
    </row>
    <row r="1955" spans="1:15">
      <c r="A1955" t="s">
        <v>8932</v>
      </c>
      <c r="B1955" t="s">
        <v>8932</v>
      </c>
      <c r="C1955" t="s">
        <v>4239</v>
      </c>
      <c r="F1955">
        <v>1</v>
      </c>
      <c r="G1955" s="1" t="s">
        <v>2071</v>
      </c>
      <c r="I1955" s="1" t="s">
        <v>11473</v>
      </c>
      <c r="O1955" t="s">
        <v>22</v>
      </c>
    </row>
    <row r="1956" spans="1:15">
      <c r="A1956" t="s">
        <v>7678</v>
      </c>
      <c r="B1956" t="s">
        <v>7678</v>
      </c>
      <c r="C1956" t="s">
        <v>7679</v>
      </c>
      <c r="F1956">
        <v>1</v>
      </c>
      <c r="G1956" s="1" t="s">
        <v>2072</v>
      </c>
      <c r="I1956" s="1" t="s">
        <v>11473</v>
      </c>
      <c r="O1956" t="s">
        <v>22</v>
      </c>
    </row>
    <row r="1957" spans="1:15">
      <c r="A1957" t="s">
        <v>10462</v>
      </c>
      <c r="B1957" t="s">
        <v>10462</v>
      </c>
      <c r="C1957" t="s">
        <v>10463</v>
      </c>
      <c r="F1957">
        <v>1</v>
      </c>
      <c r="G1957" s="1" t="s">
        <v>2073</v>
      </c>
      <c r="I1957" s="1" t="s">
        <v>11473</v>
      </c>
      <c r="O1957" t="s">
        <v>22</v>
      </c>
    </row>
    <row r="1958" spans="1:15">
      <c r="A1958" t="s">
        <v>8260</v>
      </c>
      <c r="B1958" t="s">
        <v>8260</v>
      </c>
      <c r="C1958" t="s">
        <v>8261</v>
      </c>
      <c r="F1958">
        <v>1</v>
      </c>
      <c r="G1958" s="1" t="s">
        <v>2074</v>
      </c>
      <c r="I1958" s="1" t="s">
        <v>11473</v>
      </c>
      <c r="O1958" t="s">
        <v>22</v>
      </c>
    </row>
    <row r="1959" spans="1:15">
      <c r="A1959" t="s">
        <v>6910</v>
      </c>
      <c r="B1959" t="s">
        <v>6910</v>
      </c>
      <c r="C1959" t="s">
        <v>6911</v>
      </c>
      <c r="F1959">
        <v>1</v>
      </c>
      <c r="G1959" s="1" t="s">
        <v>2075</v>
      </c>
      <c r="I1959" s="1" t="s">
        <v>11473</v>
      </c>
      <c r="O1959" t="s">
        <v>22</v>
      </c>
    </row>
    <row r="1960" spans="1:15">
      <c r="A1960" t="s">
        <v>10335</v>
      </c>
      <c r="B1960" t="s">
        <v>10335</v>
      </c>
      <c r="C1960" t="s">
        <v>6911</v>
      </c>
      <c r="F1960">
        <v>1</v>
      </c>
      <c r="G1960" s="1" t="s">
        <v>2076</v>
      </c>
      <c r="I1960" s="1" t="s">
        <v>11473</v>
      </c>
      <c r="O1960" t="s">
        <v>22</v>
      </c>
    </row>
    <row r="1961" spans="1:15">
      <c r="A1961" t="s">
        <v>7484</v>
      </c>
      <c r="B1961" t="s">
        <v>7484</v>
      </c>
      <c r="C1961" t="s">
        <v>7485</v>
      </c>
      <c r="F1961">
        <v>1</v>
      </c>
      <c r="G1961" s="1" t="s">
        <v>2077</v>
      </c>
      <c r="I1961" s="1" t="s">
        <v>11473</v>
      </c>
      <c r="O1961" t="s">
        <v>22</v>
      </c>
    </row>
    <row r="1962" spans="1:15">
      <c r="A1962" t="s">
        <v>5575</v>
      </c>
      <c r="B1962" t="s">
        <v>5575</v>
      </c>
      <c r="C1962" t="s">
        <v>5576</v>
      </c>
      <c r="F1962">
        <v>1</v>
      </c>
      <c r="G1962" s="1" t="s">
        <v>2078</v>
      </c>
      <c r="I1962" s="1" t="s">
        <v>11473</v>
      </c>
      <c r="O1962" t="s">
        <v>22</v>
      </c>
    </row>
    <row r="1963" spans="1:15">
      <c r="A1963" t="s">
        <v>8111</v>
      </c>
      <c r="B1963" t="s">
        <v>8111</v>
      </c>
      <c r="C1963" t="s">
        <v>5576</v>
      </c>
      <c r="F1963">
        <v>1</v>
      </c>
      <c r="G1963" s="1" t="s">
        <v>2079</v>
      </c>
      <c r="I1963" s="1" t="s">
        <v>11473</v>
      </c>
      <c r="O1963" t="s">
        <v>22</v>
      </c>
    </row>
    <row r="1964" spans="1:15">
      <c r="A1964" t="s">
        <v>7394</v>
      </c>
      <c r="B1964" t="s">
        <v>7394</v>
      </c>
      <c r="C1964" t="s">
        <v>7395</v>
      </c>
      <c r="F1964">
        <v>1</v>
      </c>
      <c r="G1964" s="1" t="s">
        <v>2080</v>
      </c>
      <c r="I1964" s="1" t="s">
        <v>11473</v>
      </c>
      <c r="O1964" t="s">
        <v>22</v>
      </c>
    </row>
    <row r="1965" spans="1:15">
      <c r="A1965" t="s">
        <v>6254</v>
      </c>
      <c r="B1965" t="s">
        <v>6254</v>
      </c>
      <c r="C1965" t="s">
        <v>6255</v>
      </c>
      <c r="F1965">
        <v>1</v>
      </c>
      <c r="G1965" s="1" t="s">
        <v>2081</v>
      </c>
      <c r="I1965" s="1" t="s">
        <v>11473</v>
      </c>
      <c r="O1965" t="s">
        <v>22</v>
      </c>
    </row>
    <row r="1966" spans="1:15">
      <c r="A1966" t="s">
        <v>6252</v>
      </c>
      <c r="B1966" t="s">
        <v>6252</v>
      </c>
      <c r="C1966" t="s">
        <v>6253</v>
      </c>
      <c r="F1966">
        <v>1</v>
      </c>
      <c r="G1966" s="1" t="s">
        <v>2082</v>
      </c>
      <c r="I1966" s="1" t="s">
        <v>11473</v>
      </c>
      <c r="O1966" t="s">
        <v>22</v>
      </c>
    </row>
    <row r="1967" spans="1:15">
      <c r="A1967" t="s">
        <v>9487</v>
      </c>
      <c r="B1967" t="s">
        <v>9487</v>
      </c>
      <c r="C1967" t="s">
        <v>9488</v>
      </c>
      <c r="F1967">
        <v>1</v>
      </c>
      <c r="G1967" s="1" t="s">
        <v>2083</v>
      </c>
      <c r="I1967" s="1" t="s">
        <v>11473</v>
      </c>
      <c r="O1967" t="s">
        <v>22</v>
      </c>
    </row>
    <row r="1968" spans="1:15">
      <c r="A1968" t="s">
        <v>9050</v>
      </c>
      <c r="B1968" t="s">
        <v>9050</v>
      </c>
      <c r="C1968" t="s">
        <v>9051</v>
      </c>
      <c r="F1968">
        <v>1</v>
      </c>
      <c r="G1968" s="1" t="s">
        <v>2084</v>
      </c>
      <c r="I1968" s="1" t="s">
        <v>11473</v>
      </c>
      <c r="O1968" t="s">
        <v>22</v>
      </c>
    </row>
    <row r="1969" spans="1:15">
      <c r="A1969" t="s">
        <v>10438</v>
      </c>
      <c r="B1969" t="s">
        <v>10438</v>
      </c>
      <c r="C1969" t="s">
        <v>5221</v>
      </c>
      <c r="F1969">
        <v>1</v>
      </c>
      <c r="G1969" s="1" t="s">
        <v>2085</v>
      </c>
      <c r="I1969" s="1" t="s">
        <v>11473</v>
      </c>
      <c r="O1969" t="s">
        <v>22</v>
      </c>
    </row>
    <row r="1970" spans="1:15">
      <c r="A1970" t="s">
        <v>5544</v>
      </c>
      <c r="B1970" t="s">
        <v>5544</v>
      </c>
      <c r="C1970" t="s">
        <v>5545</v>
      </c>
      <c r="F1970">
        <v>1</v>
      </c>
      <c r="G1970" s="1" t="s">
        <v>2086</v>
      </c>
      <c r="I1970" s="1" t="s">
        <v>11473</v>
      </c>
      <c r="O1970" t="s">
        <v>22</v>
      </c>
    </row>
    <row r="1971" spans="1:15">
      <c r="A1971" t="s">
        <v>8899</v>
      </c>
      <c r="B1971" t="s">
        <v>8899</v>
      </c>
      <c r="C1971" t="s">
        <v>8900</v>
      </c>
      <c r="F1971">
        <v>1</v>
      </c>
      <c r="G1971" s="1" t="s">
        <v>2087</v>
      </c>
      <c r="I1971" s="1" t="s">
        <v>11473</v>
      </c>
      <c r="O1971" t="s">
        <v>22</v>
      </c>
    </row>
    <row r="1972" spans="1:15">
      <c r="A1972" t="s">
        <v>8292</v>
      </c>
      <c r="B1972" t="s">
        <v>8292</v>
      </c>
      <c r="C1972" t="s">
        <v>4462</v>
      </c>
      <c r="F1972">
        <v>1</v>
      </c>
      <c r="G1972" s="1" t="s">
        <v>2088</v>
      </c>
      <c r="I1972" s="1" t="s">
        <v>11473</v>
      </c>
      <c r="O1972" t="s">
        <v>22</v>
      </c>
    </row>
    <row r="1973" spans="1:15">
      <c r="A1973" t="s">
        <v>9680</v>
      </c>
      <c r="B1973" t="s">
        <v>9680</v>
      </c>
      <c r="C1973" t="s">
        <v>9681</v>
      </c>
      <c r="F1973">
        <v>1</v>
      </c>
      <c r="G1973" s="1" t="s">
        <v>2089</v>
      </c>
      <c r="I1973" s="1" t="s">
        <v>11473</v>
      </c>
      <c r="O1973" t="s">
        <v>22</v>
      </c>
    </row>
    <row r="1974" spans="1:15">
      <c r="A1974" t="s">
        <v>6735</v>
      </c>
      <c r="B1974" t="s">
        <v>6735</v>
      </c>
      <c r="C1974" t="s">
        <v>6736</v>
      </c>
      <c r="F1974">
        <v>1</v>
      </c>
      <c r="G1974" s="1" t="s">
        <v>2090</v>
      </c>
      <c r="I1974" s="1" t="s">
        <v>11473</v>
      </c>
      <c r="O1974" t="s">
        <v>22</v>
      </c>
    </row>
    <row r="1975" spans="1:15">
      <c r="A1975" t="s">
        <v>5900</v>
      </c>
      <c r="B1975" t="s">
        <v>5900</v>
      </c>
      <c r="C1975" t="s">
        <v>5901</v>
      </c>
      <c r="F1975">
        <v>1</v>
      </c>
      <c r="G1975" s="1" t="s">
        <v>2091</v>
      </c>
      <c r="I1975" s="1" t="s">
        <v>11473</v>
      </c>
      <c r="O1975" t="s">
        <v>22</v>
      </c>
    </row>
    <row r="1976" spans="1:15">
      <c r="A1976" t="s">
        <v>7128</v>
      </c>
      <c r="B1976" t="s">
        <v>7128</v>
      </c>
      <c r="C1976" t="s">
        <v>4235</v>
      </c>
      <c r="F1976">
        <v>1</v>
      </c>
      <c r="G1976" s="1" t="s">
        <v>2092</v>
      </c>
      <c r="I1976" s="1" t="s">
        <v>11473</v>
      </c>
      <c r="O1976" t="s">
        <v>22</v>
      </c>
    </row>
    <row r="1977" spans="1:15">
      <c r="A1977" t="s">
        <v>7241</v>
      </c>
      <c r="B1977" t="s">
        <v>7241</v>
      </c>
      <c r="C1977" t="s">
        <v>4235</v>
      </c>
      <c r="F1977">
        <v>1</v>
      </c>
      <c r="G1977" s="1" t="s">
        <v>2093</v>
      </c>
      <c r="I1977" s="1" t="s">
        <v>11473</v>
      </c>
      <c r="O1977" t="s">
        <v>22</v>
      </c>
    </row>
    <row r="1978" spans="1:15">
      <c r="A1978" t="s">
        <v>7247</v>
      </c>
      <c r="B1978" t="s">
        <v>7247</v>
      </c>
      <c r="C1978" t="s">
        <v>4235</v>
      </c>
      <c r="F1978">
        <v>1</v>
      </c>
      <c r="G1978" s="1" t="s">
        <v>2094</v>
      </c>
      <c r="I1978" s="1" t="s">
        <v>11473</v>
      </c>
      <c r="O1978" t="s">
        <v>22</v>
      </c>
    </row>
    <row r="1979" spans="1:15">
      <c r="A1979" t="s">
        <v>8535</v>
      </c>
      <c r="B1979" t="s">
        <v>8535</v>
      </c>
      <c r="C1979" t="s">
        <v>4235</v>
      </c>
      <c r="F1979">
        <v>1</v>
      </c>
      <c r="G1979" s="1" t="s">
        <v>2095</v>
      </c>
      <c r="I1979" s="1" t="s">
        <v>11473</v>
      </c>
      <c r="O1979" t="s">
        <v>22</v>
      </c>
    </row>
    <row r="1980" spans="1:15">
      <c r="A1980" t="s">
        <v>9338</v>
      </c>
      <c r="B1980" t="s">
        <v>9338</v>
      </c>
      <c r="C1980" t="s">
        <v>4235</v>
      </c>
      <c r="F1980">
        <v>1</v>
      </c>
      <c r="G1980" s="1" t="s">
        <v>2096</v>
      </c>
      <c r="I1980" s="1" t="s">
        <v>11473</v>
      </c>
      <c r="O1980" t="s">
        <v>22</v>
      </c>
    </row>
    <row r="1981" spans="1:15">
      <c r="A1981" t="s">
        <v>5794</v>
      </c>
      <c r="B1981" t="s">
        <v>5794</v>
      </c>
      <c r="C1981" t="s">
        <v>5122</v>
      </c>
      <c r="F1981">
        <v>1</v>
      </c>
      <c r="G1981" s="1" t="s">
        <v>2097</v>
      </c>
      <c r="I1981" s="1" t="s">
        <v>11473</v>
      </c>
      <c r="O1981" t="s">
        <v>22</v>
      </c>
    </row>
    <row r="1982" spans="1:15">
      <c r="A1982" t="s">
        <v>8871</v>
      </c>
      <c r="B1982" t="s">
        <v>8871</v>
      </c>
      <c r="C1982" t="s">
        <v>5122</v>
      </c>
      <c r="F1982">
        <v>1</v>
      </c>
      <c r="G1982" s="1" t="s">
        <v>2098</v>
      </c>
      <c r="I1982" s="1" t="s">
        <v>11473</v>
      </c>
      <c r="O1982" t="s">
        <v>22</v>
      </c>
    </row>
    <row r="1983" spans="1:15">
      <c r="A1983" t="s">
        <v>10175</v>
      </c>
      <c r="B1983" t="s">
        <v>10175</v>
      </c>
      <c r="C1983" t="s">
        <v>10176</v>
      </c>
      <c r="F1983">
        <v>1</v>
      </c>
      <c r="G1983" s="1" t="s">
        <v>2099</v>
      </c>
      <c r="I1983" s="1" t="s">
        <v>11473</v>
      </c>
      <c r="O1983" t="s">
        <v>22</v>
      </c>
    </row>
    <row r="1984" spans="1:15">
      <c r="A1984" t="s">
        <v>6914</v>
      </c>
      <c r="B1984" t="s">
        <v>6914</v>
      </c>
      <c r="C1984" t="s">
        <v>5297</v>
      </c>
      <c r="F1984">
        <v>1</v>
      </c>
      <c r="G1984" s="1" t="s">
        <v>2100</v>
      </c>
      <c r="I1984" s="1" t="s">
        <v>11473</v>
      </c>
      <c r="O1984" t="s">
        <v>22</v>
      </c>
    </row>
    <row r="1985" spans="1:15">
      <c r="A1985" t="s">
        <v>7246</v>
      </c>
      <c r="B1985" t="s">
        <v>7246</v>
      </c>
      <c r="C1985" t="s">
        <v>5297</v>
      </c>
      <c r="F1985">
        <v>1</v>
      </c>
      <c r="G1985" s="1" t="s">
        <v>2101</v>
      </c>
      <c r="I1985" s="1" t="s">
        <v>11473</v>
      </c>
      <c r="O1985" t="s">
        <v>22</v>
      </c>
    </row>
    <row r="1986" spans="1:15">
      <c r="A1986" t="s">
        <v>8372</v>
      </c>
      <c r="B1986" t="s">
        <v>8372</v>
      </c>
      <c r="C1986" t="s">
        <v>5297</v>
      </c>
      <c r="F1986">
        <v>1</v>
      </c>
      <c r="G1986" s="1" t="s">
        <v>2102</v>
      </c>
      <c r="I1986" s="1" t="s">
        <v>11473</v>
      </c>
      <c r="O1986" t="s">
        <v>22</v>
      </c>
    </row>
    <row r="1987" spans="1:15">
      <c r="A1987" t="s">
        <v>6078</v>
      </c>
      <c r="B1987" t="s">
        <v>6078</v>
      </c>
      <c r="C1987" t="s">
        <v>6079</v>
      </c>
      <c r="F1987">
        <v>1</v>
      </c>
      <c r="G1987" s="1" t="s">
        <v>2103</v>
      </c>
      <c r="I1987" s="1" t="s">
        <v>11473</v>
      </c>
      <c r="O1987" t="s">
        <v>22</v>
      </c>
    </row>
    <row r="1988" spans="1:15">
      <c r="A1988" t="s">
        <v>10158</v>
      </c>
      <c r="B1988" t="s">
        <v>10158</v>
      </c>
      <c r="C1988" t="s">
        <v>6079</v>
      </c>
      <c r="F1988">
        <v>1</v>
      </c>
      <c r="G1988" s="1" t="s">
        <v>2104</v>
      </c>
      <c r="I1988" s="1" t="s">
        <v>11473</v>
      </c>
      <c r="O1988" t="s">
        <v>22</v>
      </c>
    </row>
    <row r="1989" spans="1:15">
      <c r="A1989" t="s">
        <v>10932</v>
      </c>
      <c r="B1989" t="s">
        <v>10932</v>
      </c>
      <c r="C1989" t="s">
        <v>4993</v>
      </c>
      <c r="F1989">
        <v>1</v>
      </c>
      <c r="G1989" s="1" t="s">
        <v>2105</v>
      </c>
      <c r="I1989" s="1" t="s">
        <v>11473</v>
      </c>
      <c r="O1989" t="s">
        <v>22</v>
      </c>
    </row>
    <row r="1990" spans="1:15">
      <c r="A1990" t="s">
        <v>9853</v>
      </c>
      <c r="B1990" t="s">
        <v>9853</v>
      </c>
      <c r="C1990" t="s">
        <v>4758</v>
      </c>
      <c r="F1990">
        <v>1</v>
      </c>
      <c r="G1990" s="1" t="s">
        <v>2106</v>
      </c>
      <c r="I1990" s="1" t="s">
        <v>11473</v>
      </c>
      <c r="O1990" t="s">
        <v>22</v>
      </c>
    </row>
    <row r="1991" spans="1:15">
      <c r="A1991" t="s">
        <v>6717</v>
      </c>
      <c r="B1991" t="s">
        <v>6717</v>
      </c>
      <c r="C1991" t="s">
        <v>4660</v>
      </c>
      <c r="F1991">
        <v>1</v>
      </c>
      <c r="G1991" s="1" t="s">
        <v>2107</v>
      </c>
      <c r="I1991" s="1" t="s">
        <v>11473</v>
      </c>
      <c r="O1991" t="s">
        <v>22</v>
      </c>
    </row>
    <row r="1992" spans="1:15">
      <c r="A1992" t="s">
        <v>6822</v>
      </c>
      <c r="B1992" t="s">
        <v>6822</v>
      </c>
      <c r="C1992" t="s">
        <v>4660</v>
      </c>
      <c r="F1992">
        <v>1</v>
      </c>
      <c r="G1992" s="1" t="s">
        <v>2108</v>
      </c>
      <c r="I1992" s="1" t="s">
        <v>11473</v>
      </c>
      <c r="O1992" t="s">
        <v>22</v>
      </c>
    </row>
    <row r="1993" spans="1:15">
      <c r="A1993" t="s">
        <v>9521</v>
      </c>
      <c r="B1993" t="s">
        <v>9521</v>
      </c>
      <c r="C1993" t="s">
        <v>4660</v>
      </c>
      <c r="F1993">
        <v>1</v>
      </c>
      <c r="G1993" s="1" t="s">
        <v>2109</v>
      </c>
      <c r="I1993" s="1" t="s">
        <v>11473</v>
      </c>
      <c r="O1993" t="s">
        <v>22</v>
      </c>
    </row>
    <row r="1994" spans="1:15">
      <c r="A1994" t="s">
        <v>10874</v>
      </c>
      <c r="B1994" t="s">
        <v>10874</v>
      </c>
      <c r="C1994" t="s">
        <v>4660</v>
      </c>
      <c r="F1994">
        <v>1</v>
      </c>
      <c r="G1994" s="1" t="s">
        <v>2110</v>
      </c>
      <c r="I1994" s="1" t="s">
        <v>11473</v>
      </c>
      <c r="O1994" t="s">
        <v>22</v>
      </c>
    </row>
    <row r="1995" spans="1:15">
      <c r="A1995" t="s">
        <v>6260</v>
      </c>
      <c r="B1995" t="s">
        <v>6260</v>
      </c>
      <c r="C1995" t="s">
        <v>4703</v>
      </c>
      <c r="F1995">
        <v>1</v>
      </c>
      <c r="G1995" s="1" t="s">
        <v>2111</v>
      </c>
      <c r="I1995" s="1" t="s">
        <v>11473</v>
      </c>
      <c r="O1995" t="s">
        <v>22</v>
      </c>
    </row>
    <row r="1996" spans="1:15">
      <c r="A1996" t="s">
        <v>8206</v>
      </c>
      <c r="B1996" t="s">
        <v>8206</v>
      </c>
      <c r="C1996" t="s">
        <v>4703</v>
      </c>
      <c r="F1996">
        <v>1</v>
      </c>
      <c r="G1996" s="1" t="s">
        <v>2112</v>
      </c>
      <c r="I1996" s="1" t="s">
        <v>11473</v>
      </c>
      <c r="O1996" t="s">
        <v>22</v>
      </c>
    </row>
    <row r="1997" spans="1:15">
      <c r="A1997" t="s">
        <v>5785</v>
      </c>
      <c r="B1997" t="s">
        <v>5785</v>
      </c>
      <c r="C1997" t="s">
        <v>5786</v>
      </c>
      <c r="F1997">
        <v>1</v>
      </c>
      <c r="G1997" s="1" t="s">
        <v>2113</v>
      </c>
      <c r="I1997" s="1" t="s">
        <v>11473</v>
      </c>
      <c r="O1997" t="s">
        <v>22</v>
      </c>
    </row>
    <row r="1998" spans="1:15">
      <c r="A1998" t="s">
        <v>7266</v>
      </c>
      <c r="B1998" t="s">
        <v>7266</v>
      </c>
      <c r="C1998" t="s">
        <v>5786</v>
      </c>
      <c r="F1998">
        <v>1</v>
      </c>
      <c r="G1998" s="1" t="s">
        <v>2114</v>
      </c>
      <c r="I1998" s="1" t="s">
        <v>11473</v>
      </c>
      <c r="O1998" t="s">
        <v>22</v>
      </c>
    </row>
    <row r="1999" spans="1:15">
      <c r="A1999" t="s">
        <v>7797</v>
      </c>
      <c r="B1999" t="s">
        <v>7797</v>
      </c>
      <c r="C1999" t="s">
        <v>5786</v>
      </c>
      <c r="F1999">
        <v>1</v>
      </c>
      <c r="G1999" s="1" t="s">
        <v>2115</v>
      </c>
      <c r="I1999" s="1" t="s">
        <v>11473</v>
      </c>
      <c r="O1999" t="s">
        <v>22</v>
      </c>
    </row>
    <row r="2000" spans="1:15">
      <c r="A2000" t="s">
        <v>7242</v>
      </c>
      <c r="B2000" t="s">
        <v>7242</v>
      </c>
      <c r="C2000" t="s">
        <v>4719</v>
      </c>
      <c r="F2000">
        <v>1</v>
      </c>
      <c r="G2000" s="1" t="s">
        <v>2116</v>
      </c>
      <c r="I2000" s="1" t="s">
        <v>11473</v>
      </c>
      <c r="O2000" t="s">
        <v>22</v>
      </c>
    </row>
    <row r="2001" spans="1:15">
      <c r="A2001" t="s">
        <v>7063</v>
      </c>
      <c r="B2001" t="s">
        <v>7063</v>
      </c>
      <c r="C2001" t="s">
        <v>4048</v>
      </c>
      <c r="F2001">
        <v>1</v>
      </c>
      <c r="G2001" s="1" t="s">
        <v>2117</v>
      </c>
      <c r="I2001" s="1" t="s">
        <v>11473</v>
      </c>
      <c r="O2001" t="s">
        <v>22</v>
      </c>
    </row>
    <row r="2002" spans="1:15">
      <c r="A2002" t="s">
        <v>6103</v>
      </c>
      <c r="B2002" t="s">
        <v>6103</v>
      </c>
      <c r="C2002" t="s">
        <v>6104</v>
      </c>
      <c r="F2002">
        <v>1</v>
      </c>
      <c r="G2002" s="1" t="s">
        <v>2118</v>
      </c>
      <c r="I2002" s="1" t="s">
        <v>11473</v>
      </c>
      <c r="O2002" t="s">
        <v>22</v>
      </c>
    </row>
    <row r="2003" spans="1:15">
      <c r="A2003" t="s">
        <v>7087</v>
      </c>
      <c r="B2003" t="s">
        <v>7087</v>
      </c>
      <c r="C2003" t="s">
        <v>6104</v>
      </c>
      <c r="F2003">
        <v>1</v>
      </c>
      <c r="G2003" s="1" t="s">
        <v>2119</v>
      </c>
      <c r="I2003" s="1" t="s">
        <v>11473</v>
      </c>
      <c r="O2003" t="s">
        <v>22</v>
      </c>
    </row>
    <row r="2004" spans="1:15">
      <c r="A2004" t="s">
        <v>5121</v>
      </c>
      <c r="B2004" t="s">
        <v>5121</v>
      </c>
      <c r="C2004" t="s">
        <v>6104</v>
      </c>
      <c r="F2004">
        <v>1</v>
      </c>
      <c r="G2004" s="1" t="s">
        <v>2120</v>
      </c>
      <c r="I2004" s="1" t="s">
        <v>11473</v>
      </c>
      <c r="O2004" t="s">
        <v>22</v>
      </c>
    </row>
    <row r="2005" spans="1:15">
      <c r="A2005" t="s">
        <v>7236</v>
      </c>
      <c r="B2005" t="s">
        <v>7236</v>
      </c>
      <c r="C2005" t="s">
        <v>4713</v>
      </c>
      <c r="F2005">
        <v>1</v>
      </c>
      <c r="G2005" s="1" t="s">
        <v>2121</v>
      </c>
      <c r="I2005" s="1" t="s">
        <v>11473</v>
      </c>
      <c r="O2005" t="s">
        <v>22</v>
      </c>
    </row>
    <row r="2006" spans="1:15">
      <c r="A2006" t="s">
        <v>9932</v>
      </c>
      <c r="B2006" t="s">
        <v>9932</v>
      </c>
      <c r="C2006" t="s">
        <v>5080</v>
      </c>
      <c r="F2006">
        <v>1</v>
      </c>
      <c r="G2006" s="1" t="s">
        <v>2122</v>
      </c>
      <c r="I2006" s="1" t="s">
        <v>11473</v>
      </c>
      <c r="O2006" t="s">
        <v>22</v>
      </c>
    </row>
    <row r="2007" spans="1:15">
      <c r="A2007" t="s">
        <v>7059</v>
      </c>
      <c r="B2007" t="s">
        <v>7059</v>
      </c>
      <c r="C2007" t="s">
        <v>7060</v>
      </c>
      <c r="F2007">
        <v>1</v>
      </c>
      <c r="G2007" s="1" t="s">
        <v>2123</v>
      </c>
      <c r="I2007" s="1" t="s">
        <v>11473</v>
      </c>
      <c r="O2007" t="s">
        <v>22</v>
      </c>
    </row>
    <row r="2008" spans="1:15">
      <c r="A2008" t="s">
        <v>5501</v>
      </c>
      <c r="B2008" t="s">
        <v>5501</v>
      </c>
      <c r="C2008" t="s">
        <v>5502</v>
      </c>
      <c r="F2008">
        <v>1</v>
      </c>
      <c r="G2008" s="1" t="s">
        <v>2124</v>
      </c>
      <c r="I2008" s="1" t="s">
        <v>11473</v>
      </c>
      <c r="O2008" t="s">
        <v>22</v>
      </c>
    </row>
    <row r="2009" spans="1:15">
      <c r="A2009" t="s">
        <v>9023</v>
      </c>
      <c r="B2009" t="s">
        <v>9023</v>
      </c>
      <c r="C2009" t="s">
        <v>5502</v>
      </c>
      <c r="F2009">
        <v>1</v>
      </c>
      <c r="G2009" s="1" t="s">
        <v>2125</v>
      </c>
      <c r="I2009" s="1" t="s">
        <v>11473</v>
      </c>
      <c r="O2009" t="s">
        <v>22</v>
      </c>
    </row>
    <row r="2010" spans="1:15">
      <c r="A2010" t="s">
        <v>6715</v>
      </c>
      <c r="B2010" t="s">
        <v>6715</v>
      </c>
      <c r="C2010" t="s">
        <v>4396</v>
      </c>
      <c r="F2010">
        <v>1</v>
      </c>
      <c r="G2010" s="1" t="s">
        <v>2126</v>
      </c>
      <c r="I2010" s="1" t="s">
        <v>11473</v>
      </c>
      <c r="O2010" t="s">
        <v>22</v>
      </c>
    </row>
    <row r="2011" spans="1:15">
      <c r="A2011" t="s">
        <v>10990</v>
      </c>
      <c r="B2011" t="s">
        <v>10990</v>
      </c>
      <c r="C2011" t="s">
        <v>4396</v>
      </c>
      <c r="F2011">
        <v>1</v>
      </c>
      <c r="G2011" s="1" t="s">
        <v>2127</v>
      </c>
      <c r="I2011" s="1" t="s">
        <v>11473</v>
      </c>
      <c r="O2011" t="s">
        <v>22</v>
      </c>
    </row>
    <row r="2012" spans="1:15">
      <c r="A2012" t="s">
        <v>9097</v>
      </c>
      <c r="B2012" t="s">
        <v>9097</v>
      </c>
      <c r="C2012" t="s">
        <v>4927</v>
      </c>
      <c r="F2012">
        <v>1</v>
      </c>
      <c r="G2012" s="1" t="s">
        <v>2128</v>
      </c>
      <c r="I2012" s="1" t="s">
        <v>11473</v>
      </c>
      <c r="O2012" t="s">
        <v>22</v>
      </c>
    </row>
    <row r="2013" spans="1:15">
      <c r="A2013" t="s">
        <v>9399</v>
      </c>
      <c r="B2013" t="s">
        <v>9399</v>
      </c>
      <c r="C2013" t="s">
        <v>4400</v>
      </c>
      <c r="F2013">
        <v>1</v>
      </c>
      <c r="G2013" s="1" t="s">
        <v>2129</v>
      </c>
      <c r="I2013" s="1" t="s">
        <v>11473</v>
      </c>
      <c r="O2013" t="s">
        <v>22</v>
      </c>
    </row>
    <row r="2014" spans="1:15">
      <c r="A2014" t="s">
        <v>10478</v>
      </c>
      <c r="B2014" t="s">
        <v>10478</v>
      </c>
      <c r="C2014" t="s">
        <v>4146</v>
      </c>
      <c r="F2014">
        <v>1</v>
      </c>
      <c r="G2014" s="1" t="s">
        <v>2130</v>
      </c>
      <c r="I2014" s="1" t="s">
        <v>11473</v>
      </c>
      <c r="O2014" t="s">
        <v>22</v>
      </c>
    </row>
    <row r="2015" spans="1:15">
      <c r="A2015" t="s">
        <v>9343</v>
      </c>
      <c r="B2015" t="s">
        <v>9343</v>
      </c>
      <c r="C2015" t="s">
        <v>4108</v>
      </c>
      <c r="F2015">
        <v>1</v>
      </c>
      <c r="G2015" s="1" t="s">
        <v>2131</v>
      </c>
      <c r="I2015" s="1" t="s">
        <v>11473</v>
      </c>
      <c r="O2015" t="s">
        <v>22</v>
      </c>
    </row>
    <row r="2016" spans="1:15">
      <c r="A2016" t="s">
        <v>6920</v>
      </c>
      <c r="B2016" t="s">
        <v>6920</v>
      </c>
      <c r="C2016" t="s">
        <v>4691</v>
      </c>
      <c r="F2016">
        <v>1</v>
      </c>
      <c r="G2016" s="1" t="s">
        <v>2132</v>
      </c>
      <c r="I2016" s="1" t="s">
        <v>11473</v>
      </c>
      <c r="O2016" t="s">
        <v>22</v>
      </c>
    </row>
    <row r="2017" spans="1:15">
      <c r="A2017" t="s">
        <v>9110</v>
      </c>
      <c r="B2017" t="s">
        <v>9110</v>
      </c>
      <c r="C2017" t="s">
        <v>4394</v>
      </c>
      <c r="F2017">
        <v>1</v>
      </c>
      <c r="G2017" s="1" t="s">
        <v>2133</v>
      </c>
      <c r="I2017" s="1" t="s">
        <v>11473</v>
      </c>
      <c r="O2017" t="s">
        <v>22</v>
      </c>
    </row>
    <row r="2018" spans="1:15">
      <c r="A2018" t="s">
        <v>10501</v>
      </c>
      <c r="B2018" t="s">
        <v>10501</v>
      </c>
      <c r="C2018" t="s">
        <v>4394</v>
      </c>
      <c r="F2018">
        <v>1</v>
      </c>
      <c r="G2018" s="1" t="s">
        <v>2134</v>
      </c>
      <c r="I2018" s="1" t="s">
        <v>11473</v>
      </c>
      <c r="O2018" t="s">
        <v>22</v>
      </c>
    </row>
    <row r="2019" spans="1:15">
      <c r="A2019" t="s">
        <v>10705</v>
      </c>
      <c r="B2019" t="s">
        <v>10705</v>
      </c>
      <c r="C2019" t="s">
        <v>4394</v>
      </c>
      <c r="F2019">
        <v>1</v>
      </c>
      <c r="G2019" s="1" t="s">
        <v>2135</v>
      </c>
      <c r="I2019" s="1" t="s">
        <v>11473</v>
      </c>
      <c r="O2019" t="s">
        <v>22</v>
      </c>
    </row>
    <row r="2020" spans="1:15">
      <c r="A2020" t="s">
        <v>9241</v>
      </c>
      <c r="B2020" t="s">
        <v>9241</v>
      </c>
      <c r="C2020" t="s">
        <v>5045</v>
      </c>
      <c r="F2020">
        <v>1</v>
      </c>
      <c r="G2020" s="1" t="s">
        <v>2136</v>
      </c>
      <c r="I2020" s="1" t="s">
        <v>11473</v>
      </c>
      <c r="O2020" t="s">
        <v>22</v>
      </c>
    </row>
    <row r="2021" spans="1:15">
      <c r="A2021" t="s">
        <v>7378</v>
      </c>
      <c r="B2021" t="s">
        <v>7378</v>
      </c>
      <c r="C2021" t="s">
        <v>4700</v>
      </c>
      <c r="F2021">
        <v>1</v>
      </c>
      <c r="G2021" s="1" t="s">
        <v>2137</v>
      </c>
      <c r="I2021" s="1" t="s">
        <v>11473</v>
      </c>
      <c r="O2021" t="s">
        <v>22</v>
      </c>
    </row>
    <row r="2022" spans="1:15">
      <c r="A2022" t="s">
        <v>6895</v>
      </c>
      <c r="B2022" t="s">
        <v>6895</v>
      </c>
      <c r="C2022" t="s">
        <v>6896</v>
      </c>
      <c r="F2022">
        <v>1</v>
      </c>
      <c r="G2022" s="1" t="s">
        <v>2138</v>
      </c>
      <c r="I2022" s="1" t="s">
        <v>11473</v>
      </c>
      <c r="O2022" t="s">
        <v>22</v>
      </c>
    </row>
    <row r="2023" spans="1:15">
      <c r="A2023" t="s">
        <v>7237</v>
      </c>
      <c r="B2023" t="s">
        <v>7237</v>
      </c>
      <c r="C2023" t="s">
        <v>7238</v>
      </c>
      <c r="F2023">
        <v>1</v>
      </c>
      <c r="G2023" s="1" t="s">
        <v>2139</v>
      </c>
      <c r="I2023" s="1" t="s">
        <v>11473</v>
      </c>
      <c r="O2023" t="s">
        <v>22</v>
      </c>
    </row>
    <row r="2024" spans="1:15">
      <c r="A2024" t="s">
        <v>6955</v>
      </c>
      <c r="B2024" t="s">
        <v>6955</v>
      </c>
      <c r="C2024" t="s">
        <v>4245</v>
      </c>
      <c r="F2024">
        <v>1</v>
      </c>
      <c r="G2024" s="1" t="s">
        <v>2140</v>
      </c>
      <c r="I2024" s="1" t="s">
        <v>11473</v>
      </c>
      <c r="O2024" t="s">
        <v>22</v>
      </c>
    </row>
    <row r="2025" spans="1:15">
      <c r="A2025" t="s">
        <v>8478</v>
      </c>
      <c r="B2025" t="s">
        <v>8478</v>
      </c>
      <c r="C2025" t="s">
        <v>4798</v>
      </c>
      <c r="F2025">
        <v>1</v>
      </c>
      <c r="G2025" s="1" t="s">
        <v>2141</v>
      </c>
      <c r="I2025" s="1" t="s">
        <v>11473</v>
      </c>
      <c r="O2025" t="s">
        <v>22</v>
      </c>
    </row>
    <row r="2026" spans="1:15">
      <c r="A2026" t="s">
        <v>10790</v>
      </c>
      <c r="B2026" t="s">
        <v>10790</v>
      </c>
      <c r="C2026" t="s">
        <v>4547</v>
      </c>
      <c r="F2026">
        <v>1</v>
      </c>
      <c r="G2026" s="1" t="s">
        <v>2142</v>
      </c>
      <c r="I2026" s="1" t="s">
        <v>11473</v>
      </c>
      <c r="O2026" t="s">
        <v>22</v>
      </c>
    </row>
    <row r="2027" spans="1:15">
      <c r="A2027" t="s">
        <v>7122</v>
      </c>
      <c r="B2027" t="s">
        <v>7122</v>
      </c>
      <c r="C2027" t="s">
        <v>7123</v>
      </c>
      <c r="F2027">
        <v>1</v>
      </c>
      <c r="G2027" s="1" t="s">
        <v>2143</v>
      </c>
      <c r="I2027" s="1" t="s">
        <v>11473</v>
      </c>
      <c r="O2027" t="s">
        <v>22</v>
      </c>
    </row>
    <row r="2028" spans="1:15">
      <c r="A2028" t="s">
        <v>6037</v>
      </c>
      <c r="B2028" t="s">
        <v>6037</v>
      </c>
      <c r="C2028" t="s">
        <v>6038</v>
      </c>
      <c r="F2028">
        <v>1</v>
      </c>
      <c r="G2028" s="1" t="s">
        <v>2144</v>
      </c>
      <c r="I2028" s="1" t="s">
        <v>11473</v>
      </c>
      <c r="O2028" t="s">
        <v>22</v>
      </c>
    </row>
    <row r="2029" spans="1:15">
      <c r="A2029" t="s">
        <v>9272</v>
      </c>
      <c r="B2029" t="s">
        <v>9272</v>
      </c>
      <c r="C2029" t="s">
        <v>9273</v>
      </c>
      <c r="F2029">
        <v>1</v>
      </c>
      <c r="G2029" s="1" t="s">
        <v>2145</v>
      </c>
      <c r="I2029" s="1" t="s">
        <v>11473</v>
      </c>
      <c r="O2029" t="s">
        <v>22</v>
      </c>
    </row>
    <row r="2030" spans="1:15">
      <c r="A2030" t="s">
        <v>9965</v>
      </c>
      <c r="B2030" t="s">
        <v>9965</v>
      </c>
      <c r="C2030" t="s">
        <v>9273</v>
      </c>
      <c r="F2030">
        <v>1</v>
      </c>
      <c r="G2030" s="1" t="s">
        <v>2146</v>
      </c>
      <c r="I2030" s="1" t="s">
        <v>11473</v>
      </c>
      <c r="O2030" t="s">
        <v>22</v>
      </c>
    </row>
    <row r="2031" spans="1:15">
      <c r="A2031" t="s">
        <v>6105</v>
      </c>
      <c r="B2031" t="s">
        <v>6105</v>
      </c>
      <c r="C2031" t="s">
        <v>4395</v>
      </c>
      <c r="F2031">
        <v>1</v>
      </c>
      <c r="G2031" s="1" t="s">
        <v>2147</v>
      </c>
      <c r="I2031" s="1" t="s">
        <v>11473</v>
      </c>
      <c r="O2031" t="s">
        <v>22</v>
      </c>
    </row>
    <row r="2032" spans="1:15">
      <c r="A2032" t="s">
        <v>7136</v>
      </c>
      <c r="B2032" t="s">
        <v>7136</v>
      </c>
      <c r="C2032" t="s">
        <v>4395</v>
      </c>
      <c r="F2032">
        <v>1</v>
      </c>
      <c r="G2032" s="1" t="s">
        <v>2148</v>
      </c>
      <c r="I2032" s="1" t="s">
        <v>11473</v>
      </c>
      <c r="O2032" t="s">
        <v>22</v>
      </c>
    </row>
    <row r="2033" spans="1:15">
      <c r="A2033" t="s">
        <v>10313</v>
      </c>
      <c r="B2033" t="s">
        <v>10313</v>
      </c>
      <c r="C2033" t="s">
        <v>4058</v>
      </c>
      <c r="F2033">
        <v>1</v>
      </c>
      <c r="G2033" s="1" t="s">
        <v>2149</v>
      </c>
      <c r="I2033" s="1" t="s">
        <v>11473</v>
      </c>
      <c r="O2033" t="s">
        <v>22</v>
      </c>
    </row>
    <row r="2034" spans="1:15">
      <c r="A2034" t="s">
        <v>7093</v>
      </c>
      <c r="B2034" t="s">
        <v>7093</v>
      </c>
      <c r="C2034" t="s">
        <v>4397</v>
      </c>
      <c r="F2034">
        <v>1</v>
      </c>
      <c r="G2034" s="1" t="s">
        <v>2150</v>
      </c>
      <c r="I2034" s="1" t="s">
        <v>11473</v>
      </c>
      <c r="O2034" t="s">
        <v>22</v>
      </c>
    </row>
    <row r="2035" spans="1:15">
      <c r="A2035" t="s">
        <v>10217</v>
      </c>
      <c r="B2035" t="s">
        <v>10217</v>
      </c>
      <c r="C2035" t="s">
        <v>4397</v>
      </c>
      <c r="F2035">
        <v>1</v>
      </c>
      <c r="G2035" s="1" t="s">
        <v>2151</v>
      </c>
      <c r="I2035" s="1" t="s">
        <v>11473</v>
      </c>
      <c r="O2035" t="s">
        <v>22</v>
      </c>
    </row>
    <row r="2036" spans="1:15">
      <c r="A2036" t="s">
        <v>5417</v>
      </c>
      <c r="B2036" t="s">
        <v>5417</v>
      </c>
      <c r="C2036" t="s">
        <v>4602</v>
      </c>
      <c r="F2036">
        <v>1</v>
      </c>
      <c r="G2036" s="1" t="s">
        <v>2152</v>
      </c>
      <c r="I2036" s="1" t="s">
        <v>11473</v>
      </c>
      <c r="O2036" t="s">
        <v>22</v>
      </c>
    </row>
    <row r="2037" spans="1:15">
      <c r="A2037" t="s">
        <v>5506</v>
      </c>
      <c r="B2037" t="s">
        <v>5506</v>
      </c>
      <c r="C2037" t="s">
        <v>4602</v>
      </c>
      <c r="F2037">
        <v>1</v>
      </c>
      <c r="G2037" s="1" t="s">
        <v>2153</v>
      </c>
      <c r="I2037" s="1" t="s">
        <v>11473</v>
      </c>
      <c r="O2037" t="s">
        <v>22</v>
      </c>
    </row>
    <row r="2038" spans="1:15">
      <c r="A2038" t="s">
        <v>6683</v>
      </c>
      <c r="B2038" t="s">
        <v>6683</v>
      </c>
      <c r="C2038" t="s">
        <v>4602</v>
      </c>
      <c r="F2038">
        <v>1</v>
      </c>
      <c r="G2038" s="1" t="s">
        <v>2154</v>
      </c>
      <c r="I2038" s="1" t="s">
        <v>11473</v>
      </c>
      <c r="O2038" t="s">
        <v>22</v>
      </c>
    </row>
    <row r="2039" spans="1:15">
      <c r="A2039" t="s">
        <v>7006</v>
      </c>
      <c r="B2039" t="s">
        <v>7006</v>
      </c>
      <c r="C2039" t="s">
        <v>4602</v>
      </c>
      <c r="F2039">
        <v>1</v>
      </c>
      <c r="G2039" s="1" t="s">
        <v>2155</v>
      </c>
      <c r="I2039" s="1" t="s">
        <v>11473</v>
      </c>
      <c r="O2039" t="s">
        <v>22</v>
      </c>
    </row>
    <row r="2040" spans="1:15">
      <c r="A2040" t="s">
        <v>7693</v>
      </c>
      <c r="B2040" t="s">
        <v>7693</v>
      </c>
      <c r="C2040" t="s">
        <v>4222</v>
      </c>
      <c r="F2040">
        <v>1</v>
      </c>
      <c r="G2040" s="1" t="s">
        <v>2156</v>
      </c>
      <c r="I2040" s="1" t="s">
        <v>11473</v>
      </c>
      <c r="O2040" t="s">
        <v>22</v>
      </c>
    </row>
    <row r="2041" spans="1:15">
      <c r="A2041" t="s">
        <v>8514</v>
      </c>
      <c r="B2041" t="s">
        <v>8514</v>
      </c>
      <c r="C2041" t="s">
        <v>4658</v>
      </c>
      <c r="F2041">
        <v>1</v>
      </c>
      <c r="G2041" s="1" t="s">
        <v>2157</v>
      </c>
      <c r="I2041" s="1" t="s">
        <v>11473</v>
      </c>
      <c r="O2041" t="s">
        <v>22</v>
      </c>
    </row>
    <row r="2042" spans="1:15">
      <c r="A2042" t="s">
        <v>5407</v>
      </c>
      <c r="B2042" t="s">
        <v>5407</v>
      </c>
      <c r="C2042" t="s">
        <v>4708</v>
      </c>
      <c r="F2042">
        <v>1</v>
      </c>
      <c r="G2042" s="1" t="s">
        <v>2158</v>
      </c>
      <c r="I2042" s="1" t="s">
        <v>11473</v>
      </c>
      <c r="O2042" t="s">
        <v>22</v>
      </c>
    </row>
    <row r="2043" spans="1:15">
      <c r="A2043" t="s">
        <v>8706</v>
      </c>
      <c r="B2043" t="s">
        <v>8706</v>
      </c>
      <c r="C2043" t="s">
        <v>4743</v>
      </c>
      <c r="F2043">
        <v>1</v>
      </c>
      <c r="G2043" s="1" t="s">
        <v>2159</v>
      </c>
      <c r="I2043" s="1" t="s">
        <v>11473</v>
      </c>
      <c r="O2043" t="s">
        <v>22</v>
      </c>
    </row>
    <row r="2044" spans="1:15">
      <c r="A2044" t="s">
        <v>9429</v>
      </c>
      <c r="B2044" t="s">
        <v>9429</v>
      </c>
      <c r="C2044" t="s">
        <v>4743</v>
      </c>
      <c r="F2044">
        <v>1</v>
      </c>
      <c r="G2044" s="1" t="s">
        <v>2160</v>
      </c>
      <c r="I2044" s="1" t="s">
        <v>11473</v>
      </c>
      <c r="O2044" t="s">
        <v>22</v>
      </c>
    </row>
    <row r="2045" spans="1:15">
      <c r="A2045" t="s">
        <v>5427</v>
      </c>
      <c r="B2045" t="s">
        <v>5427</v>
      </c>
      <c r="C2045" t="s">
        <v>4237</v>
      </c>
      <c r="F2045">
        <v>1</v>
      </c>
      <c r="G2045" s="1" t="s">
        <v>2161</v>
      </c>
      <c r="I2045" s="1" t="s">
        <v>11473</v>
      </c>
      <c r="O2045" t="s">
        <v>22</v>
      </c>
    </row>
    <row r="2046" spans="1:15">
      <c r="A2046" t="s">
        <v>8016</v>
      </c>
      <c r="B2046" t="s">
        <v>8016</v>
      </c>
      <c r="C2046" t="s">
        <v>4237</v>
      </c>
      <c r="F2046">
        <v>1</v>
      </c>
      <c r="G2046" s="1" t="s">
        <v>2162</v>
      </c>
      <c r="I2046" s="1" t="s">
        <v>11473</v>
      </c>
      <c r="O2046" t="s">
        <v>22</v>
      </c>
    </row>
    <row r="2047" spans="1:15">
      <c r="A2047" t="s">
        <v>8402</v>
      </c>
      <c r="B2047" t="s">
        <v>8402</v>
      </c>
      <c r="C2047" t="s">
        <v>4237</v>
      </c>
      <c r="F2047">
        <v>1</v>
      </c>
      <c r="G2047" s="1" t="s">
        <v>2163</v>
      </c>
      <c r="I2047" s="1" t="s">
        <v>11473</v>
      </c>
      <c r="O2047" t="s">
        <v>22</v>
      </c>
    </row>
    <row r="2048" spans="1:15">
      <c r="A2048" t="s">
        <v>10380</v>
      </c>
      <c r="B2048" t="s">
        <v>10380</v>
      </c>
      <c r="C2048" t="s">
        <v>4237</v>
      </c>
      <c r="F2048">
        <v>1</v>
      </c>
      <c r="G2048" s="1" t="s">
        <v>2164</v>
      </c>
      <c r="I2048" s="1" t="s">
        <v>11473</v>
      </c>
      <c r="O2048" t="s">
        <v>22</v>
      </c>
    </row>
    <row r="2049" spans="1:15">
      <c r="A2049" t="s">
        <v>11433</v>
      </c>
      <c r="B2049" t="s">
        <v>11433</v>
      </c>
      <c r="C2049" t="s">
        <v>4237</v>
      </c>
      <c r="F2049">
        <v>1</v>
      </c>
      <c r="G2049" s="1" t="s">
        <v>2165</v>
      </c>
      <c r="I2049" s="1" t="s">
        <v>11473</v>
      </c>
      <c r="O2049" t="s">
        <v>22</v>
      </c>
    </row>
    <row r="2050" spans="1:15">
      <c r="A2050" t="s">
        <v>6080</v>
      </c>
      <c r="B2050" t="s">
        <v>6080</v>
      </c>
      <c r="C2050" t="s">
        <v>5322</v>
      </c>
      <c r="F2050">
        <v>1</v>
      </c>
      <c r="G2050" s="1" t="s">
        <v>2166</v>
      </c>
      <c r="I2050" s="1" t="s">
        <v>11473</v>
      </c>
      <c r="O2050" t="s">
        <v>22</v>
      </c>
    </row>
    <row r="2051" spans="1:15">
      <c r="A2051" t="s">
        <v>9984</v>
      </c>
      <c r="B2051" t="s">
        <v>9984</v>
      </c>
      <c r="C2051" t="s">
        <v>5322</v>
      </c>
      <c r="F2051">
        <v>1</v>
      </c>
      <c r="G2051" s="1" t="s">
        <v>2167</v>
      </c>
      <c r="I2051" s="1" t="s">
        <v>11473</v>
      </c>
      <c r="O2051" t="s">
        <v>22</v>
      </c>
    </row>
    <row r="2052" spans="1:15">
      <c r="A2052" t="s">
        <v>10249</v>
      </c>
      <c r="B2052" t="s">
        <v>10249</v>
      </c>
      <c r="C2052" t="s">
        <v>5295</v>
      </c>
      <c r="F2052">
        <v>1</v>
      </c>
      <c r="G2052" s="1" t="s">
        <v>2168</v>
      </c>
      <c r="I2052" s="1" t="s">
        <v>11473</v>
      </c>
      <c r="O2052" t="s">
        <v>22</v>
      </c>
    </row>
    <row r="2053" spans="1:15">
      <c r="A2053" t="s">
        <v>5433</v>
      </c>
      <c r="B2053" t="s">
        <v>5433</v>
      </c>
      <c r="C2053" t="s">
        <v>5434</v>
      </c>
      <c r="F2053">
        <v>1</v>
      </c>
      <c r="G2053" s="1" t="s">
        <v>2169</v>
      </c>
      <c r="I2053" s="1" t="s">
        <v>11473</v>
      </c>
      <c r="O2053" t="s">
        <v>22</v>
      </c>
    </row>
    <row r="2054" spans="1:15">
      <c r="A2054" t="s">
        <v>9269</v>
      </c>
      <c r="B2054" t="s">
        <v>9269</v>
      </c>
      <c r="C2054" t="s">
        <v>5434</v>
      </c>
      <c r="F2054">
        <v>1</v>
      </c>
      <c r="G2054" s="1" t="s">
        <v>2170</v>
      </c>
      <c r="I2054" s="1" t="s">
        <v>11473</v>
      </c>
      <c r="O2054" t="s">
        <v>22</v>
      </c>
    </row>
    <row r="2055" spans="1:15">
      <c r="A2055" t="s">
        <v>10489</v>
      </c>
      <c r="B2055" t="s">
        <v>10489</v>
      </c>
      <c r="C2055" t="s">
        <v>5434</v>
      </c>
      <c r="F2055">
        <v>1</v>
      </c>
      <c r="G2055" s="1" t="s">
        <v>2171</v>
      </c>
      <c r="I2055" s="1" t="s">
        <v>11473</v>
      </c>
      <c r="O2055" t="s">
        <v>22</v>
      </c>
    </row>
    <row r="2056" spans="1:15">
      <c r="A2056" t="s">
        <v>7135</v>
      </c>
      <c r="B2056" t="s">
        <v>7135</v>
      </c>
      <c r="C2056" t="s">
        <v>4846</v>
      </c>
      <c r="F2056">
        <v>1</v>
      </c>
      <c r="G2056" s="1" t="s">
        <v>2172</v>
      </c>
      <c r="I2056" s="1" t="s">
        <v>11473</v>
      </c>
      <c r="O2056" t="s">
        <v>22</v>
      </c>
    </row>
    <row r="2057" spans="1:15">
      <c r="A2057" t="s">
        <v>7259</v>
      </c>
      <c r="B2057" t="s">
        <v>7259</v>
      </c>
      <c r="C2057" t="s">
        <v>4846</v>
      </c>
      <c r="F2057">
        <v>1</v>
      </c>
      <c r="G2057" s="1" t="s">
        <v>2173</v>
      </c>
      <c r="I2057" s="1" t="s">
        <v>11473</v>
      </c>
      <c r="O2057" t="s">
        <v>22</v>
      </c>
    </row>
    <row r="2058" spans="1:15">
      <c r="A2058" t="s">
        <v>9640</v>
      </c>
      <c r="B2058" t="s">
        <v>9640</v>
      </c>
      <c r="C2058" t="s">
        <v>4846</v>
      </c>
      <c r="F2058">
        <v>1</v>
      </c>
      <c r="G2058" s="1" t="s">
        <v>2174</v>
      </c>
      <c r="I2058" s="1" t="s">
        <v>11473</v>
      </c>
      <c r="O2058" t="s">
        <v>22</v>
      </c>
    </row>
    <row r="2059" spans="1:15">
      <c r="A2059" t="s">
        <v>10871</v>
      </c>
      <c r="B2059" t="s">
        <v>10871</v>
      </c>
      <c r="C2059" t="s">
        <v>4846</v>
      </c>
      <c r="F2059">
        <v>1</v>
      </c>
      <c r="G2059" s="1" t="s">
        <v>2175</v>
      </c>
      <c r="I2059" s="1" t="s">
        <v>11473</v>
      </c>
      <c r="O2059" t="s">
        <v>22</v>
      </c>
    </row>
    <row r="2060" spans="1:15">
      <c r="A2060" t="s">
        <v>6660</v>
      </c>
      <c r="B2060" t="s">
        <v>6660</v>
      </c>
      <c r="C2060" t="s">
        <v>4723</v>
      </c>
      <c r="F2060">
        <v>1</v>
      </c>
      <c r="G2060" s="1" t="s">
        <v>2176</v>
      </c>
      <c r="I2060" s="1" t="s">
        <v>11473</v>
      </c>
      <c r="O2060" t="s">
        <v>22</v>
      </c>
    </row>
    <row r="2061" spans="1:15">
      <c r="A2061" t="s">
        <v>7080</v>
      </c>
      <c r="B2061" t="s">
        <v>7080</v>
      </c>
      <c r="C2061" t="s">
        <v>4723</v>
      </c>
      <c r="F2061">
        <v>1</v>
      </c>
      <c r="G2061" s="1" t="s">
        <v>2177</v>
      </c>
      <c r="I2061" s="1" t="s">
        <v>11473</v>
      </c>
      <c r="O2061" t="s">
        <v>22</v>
      </c>
    </row>
    <row r="2062" spans="1:15">
      <c r="A2062" t="s">
        <v>9548</v>
      </c>
      <c r="B2062" t="s">
        <v>9548</v>
      </c>
      <c r="C2062" t="s">
        <v>4723</v>
      </c>
      <c r="F2062">
        <v>1</v>
      </c>
      <c r="G2062" s="1" t="s">
        <v>2178</v>
      </c>
      <c r="I2062" s="1" t="s">
        <v>11473</v>
      </c>
      <c r="O2062" t="s">
        <v>22</v>
      </c>
    </row>
    <row r="2063" spans="1:15">
      <c r="A2063" t="s">
        <v>6264</v>
      </c>
      <c r="B2063" t="s">
        <v>6264</v>
      </c>
      <c r="C2063" t="s">
        <v>6265</v>
      </c>
      <c r="F2063">
        <v>1</v>
      </c>
      <c r="G2063" s="1" t="s">
        <v>2179</v>
      </c>
      <c r="I2063" s="1" t="s">
        <v>11473</v>
      </c>
      <c r="O2063" t="s">
        <v>22</v>
      </c>
    </row>
    <row r="2064" spans="1:15">
      <c r="A2064" t="s">
        <v>6604</v>
      </c>
      <c r="B2064" t="s">
        <v>6604</v>
      </c>
      <c r="C2064" t="s">
        <v>6265</v>
      </c>
      <c r="F2064">
        <v>1</v>
      </c>
      <c r="G2064" s="1" t="s">
        <v>2180</v>
      </c>
      <c r="I2064" s="1" t="s">
        <v>11473</v>
      </c>
      <c r="O2064" t="s">
        <v>22</v>
      </c>
    </row>
    <row r="2065" spans="1:15">
      <c r="A2065" t="s">
        <v>5470</v>
      </c>
      <c r="B2065" t="s">
        <v>5470</v>
      </c>
      <c r="C2065" t="s">
        <v>5471</v>
      </c>
      <c r="F2065">
        <v>1</v>
      </c>
      <c r="G2065" s="1" t="s">
        <v>2181</v>
      </c>
      <c r="I2065" s="1" t="s">
        <v>11473</v>
      </c>
      <c r="O2065" t="s">
        <v>22</v>
      </c>
    </row>
    <row r="2066" spans="1:15">
      <c r="A2066" t="s">
        <v>7075</v>
      </c>
      <c r="B2066" t="s">
        <v>7075</v>
      </c>
      <c r="C2066" t="s">
        <v>5471</v>
      </c>
      <c r="F2066">
        <v>1</v>
      </c>
      <c r="G2066" s="1" t="s">
        <v>2182</v>
      </c>
      <c r="I2066" s="1" t="s">
        <v>11473</v>
      </c>
      <c r="O2066" t="s">
        <v>22</v>
      </c>
    </row>
    <row r="2067" spans="1:15">
      <c r="A2067" t="s">
        <v>7373</v>
      </c>
      <c r="B2067" t="s">
        <v>7373</v>
      </c>
      <c r="C2067" t="s">
        <v>5471</v>
      </c>
      <c r="F2067">
        <v>1</v>
      </c>
      <c r="G2067" s="1" t="s">
        <v>2183</v>
      </c>
      <c r="I2067" s="1" t="s">
        <v>11473</v>
      </c>
      <c r="O2067" t="s">
        <v>22</v>
      </c>
    </row>
    <row r="2068" spans="1:15">
      <c r="A2068" t="s">
        <v>10688</v>
      </c>
      <c r="B2068" t="s">
        <v>10688</v>
      </c>
      <c r="C2068" t="s">
        <v>5471</v>
      </c>
      <c r="F2068">
        <v>1</v>
      </c>
      <c r="G2068" s="1" t="s">
        <v>2184</v>
      </c>
      <c r="I2068" s="1" t="s">
        <v>11473</v>
      </c>
      <c r="O2068" t="s">
        <v>22</v>
      </c>
    </row>
    <row r="2069" spans="1:15">
      <c r="A2069" t="s">
        <v>6347</v>
      </c>
      <c r="B2069" t="s">
        <v>6347</v>
      </c>
      <c r="C2069" t="s">
        <v>5141</v>
      </c>
      <c r="F2069">
        <v>1</v>
      </c>
      <c r="G2069" s="1" t="s">
        <v>2185</v>
      </c>
      <c r="I2069" s="1" t="s">
        <v>11473</v>
      </c>
      <c r="O2069" t="s">
        <v>22</v>
      </c>
    </row>
    <row r="2070" spans="1:15">
      <c r="A2070" t="s">
        <v>7732</v>
      </c>
      <c r="B2070" t="s">
        <v>7732</v>
      </c>
      <c r="C2070" t="s">
        <v>5141</v>
      </c>
      <c r="F2070">
        <v>1</v>
      </c>
      <c r="G2070" s="1" t="s">
        <v>2186</v>
      </c>
      <c r="I2070" s="1" t="s">
        <v>11473</v>
      </c>
      <c r="O2070" t="s">
        <v>22</v>
      </c>
    </row>
    <row r="2071" spans="1:15">
      <c r="A2071" t="s">
        <v>8915</v>
      </c>
      <c r="B2071" t="s">
        <v>8915</v>
      </c>
      <c r="C2071" t="s">
        <v>5141</v>
      </c>
      <c r="F2071">
        <v>1</v>
      </c>
      <c r="G2071" s="1" t="s">
        <v>2187</v>
      </c>
      <c r="I2071" s="1" t="s">
        <v>11473</v>
      </c>
      <c r="O2071" t="s">
        <v>22</v>
      </c>
    </row>
    <row r="2072" spans="1:15">
      <c r="A2072" t="s">
        <v>6055</v>
      </c>
      <c r="B2072" t="s">
        <v>6055</v>
      </c>
      <c r="C2072" t="s">
        <v>4244</v>
      </c>
      <c r="F2072">
        <v>1</v>
      </c>
      <c r="G2072" s="1" t="s">
        <v>2188</v>
      </c>
      <c r="I2072" s="1" t="s">
        <v>11473</v>
      </c>
      <c r="O2072" t="s">
        <v>22</v>
      </c>
    </row>
    <row r="2073" spans="1:15">
      <c r="A2073" t="s">
        <v>6223</v>
      </c>
      <c r="B2073" t="s">
        <v>6223</v>
      </c>
      <c r="C2073" t="s">
        <v>4244</v>
      </c>
      <c r="F2073">
        <v>1</v>
      </c>
      <c r="G2073" s="1" t="s">
        <v>2189</v>
      </c>
      <c r="I2073" s="1" t="s">
        <v>11473</v>
      </c>
      <c r="O2073" t="s">
        <v>22</v>
      </c>
    </row>
    <row r="2074" spans="1:15">
      <c r="A2074" t="s">
        <v>9341</v>
      </c>
      <c r="B2074" t="s">
        <v>9341</v>
      </c>
      <c r="C2074" t="s">
        <v>4240</v>
      </c>
      <c r="F2074">
        <v>1</v>
      </c>
      <c r="G2074" s="1" t="s">
        <v>2190</v>
      </c>
      <c r="I2074" s="1" t="s">
        <v>11473</v>
      </c>
      <c r="O2074" t="s">
        <v>22</v>
      </c>
    </row>
    <row r="2075" spans="1:15">
      <c r="A2075" t="s">
        <v>10051</v>
      </c>
      <c r="B2075" t="s">
        <v>10051</v>
      </c>
      <c r="C2075" t="s">
        <v>4240</v>
      </c>
      <c r="F2075">
        <v>1</v>
      </c>
      <c r="G2075" s="1" t="s">
        <v>2191</v>
      </c>
      <c r="I2075" s="1" t="s">
        <v>11473</v>
      </c>
      <c r="O2075" t="s">
        <v>22</v>
      </c>
    </row>
    <row r="2076" spans="1:15">
      <c r="A2076" t="s">
        <v>9539</v>
      </c>
      <c r="B2076" t="s">
        <v>9539</v>
      </c>
      <c r="C2076" t="s">
        <v>4114</v>
      </c>
      <c r="F2076">
        <v>1</v>
      </c>
      <c r="G2076" s="1" t="s">
        <v>2192</v>
      </c>
      <c r="I2076" s="1" t="s">
        <v>11473</v>
      </c>
      <c r="O2076" t="s">
        <v>22</v>
      </c>
    </row>
    <row r="2077" spans="1:15">
      <c r="A2077" t="s">
        <v>9683</v>
      </c>
      <c r="B2077" t="s">
        <v>9683</v>
      </c>
      <c r="C2077" t="s">
        <v>4114</v>
      </c>
      <c r="F2077">
        <v>1</v>
      </c>
      <c r="G2077" s="1" t="s">
        <v>2193</v>
      </c>
      <c r="I2077" s="1" t="s">
        <v>11473</v>
      </c>
      <c r="O2077" t="s">
        <v>22</v>
      </c>
    </row>
    <row r="2078" spans="1:15">
      <c r="A2078" t="s">
        <v>11046</v>
      </c>
      <c r="B2078" t="s">
        <v>11046</v>
      </c>
      <c r="C2078" t="s">
        <v>4114</v>
      </c>
      <c r="F2078">
        <v>1</v>
      </c>
      <c r="G2078" s="1" t="s">
        <v>2194</v>
      </c>
      <c r="I2078" s="1" t="s">
        <v>11473</v>
      </c>
      <c r="O2078" t="s">
        <v>22</v>
      </c>
    </row>
    <row r="2079" spans="1:15">
      <c r="A2079" t="s">
        <v>7388</v>
      </c>
      <c r="B2079" t="s">
        <v>7388</v>
      </c>
      <c r="C2079" t="s">
        <v>7389</v>
      </c>
      <c r="F2079">
        <v>1</v>
      </c>
      <c r="G2079" s="1" t="s">
        <v>2195</v>
      </c>
      <c r="I2079" s="1" t="s">
        <v>11473</v>
      </c>
      <c r="O2079" t="s">
        <v>22</v>
      </c>
    </row>
    <row r="2080" spans="1:15">
      <c r="A2080" t="s">
        <v>9163</v>
      </c>
      <c r="B2080" t="s">
        <v>9163</v>
      </c>
      <c r="C2080" t="s">
        <v>7389</v>
      </c>
      <c r="F2080">
        <v>1</v>
      </c>
      <c r="G2080" s="1" t="s">
        <v>2196</v>
      </c>
      <c r="I2080" s="1" t="s">
        <v>11473</v>
      </c>
      <c r="O2080" t="s">
        <v>22</v>
      </c>
    </row>
    <row r="2081" spans="1:15">
      <c r="A2081" t="s">
        <v>9287</v>
      </c>
      <c r="B2081" t="s">
        <v>9287</v>
      </c>
      <c r="C2081" t="s">
        <v>7389</v>
      </c>
      <c r="F2081">
        <v>1</v>
      </c>
      <c r="G2081" s="1" t="s">
        <v>2197</v>
      </c>
      <c r="I2081" s="1" t="s">
        <v>11473</v>
      </c>
      <c r="O2081" t="s">
        <v>22</v>
      </c>
    </row>
    <row r="2082" spans="1:15">
      <c r="A2082" t="s">
        <v>9631</v>
      </c>
      <c r="B2082" t="s">
        <v>9631</v>
      </c>
      <c r="C2082" t="s">
        <v>7389</v>
      </c>
      <c r="F2082">
        <v>1</v>
      </c>
      <c r="G2082" s="1" t="s">
        <v>2198</v>
      </c>
      <c r="I2082" s="1" t="s">
        <v>11473</v>
      </c>
      <c r="O2082" t="s">
        <v>22</v>
      </c>
    </row>
    <row r="2083" spans="1:15">
      <c r="A2083" t="s">
        <v>9069</v>
      </c>
      <c r="B2083" t="s">
        <v>9069</v>
      </c>
      <c r="C2083" t="s">
        <v>4612</v>
      </c>
      <c r="F2083">
        <v>1</v>
      </c>
      <c r="G2083" s="1" t="s">
        <v>2199</v>
      </c>
      <c r="I2083" s="1" t="s">
        <v>11473</v>
      </c>
      <c r="O2083" t="s">
        <v>22</v>
      </c>
    </row>
    <row r="2084" spans="1:15">
      <c r="A2084" t="s">
        <v>5906</v>
      </c>
      <c r="B2084" t="s">
        <v>5906</v>
      </c>
      <c r="C2084" t="s">
        <v>5907</v>
      </c>
      <c r="F2084">
        <v>1</v>
      </c>
      <c r="G2084" s="1" t="s">
        <v>2200</v>
      </c>
      <c r="I2084" s="1" t="s">
        <v>11473</v>
      </c>
      <c r="O2084" t="s">
        <v>22</v>
      </c>
    </row>
    <row r="2085" spans="1:15">
      <c r="A2085" t="s">
        <v>8952</v>
      </c>
      <c r="B2085" t="s">
        <v>8952</v>
      </c>
      <c r="C2085" t="s">
        <v>5907</v>
      </c>
      <c r="F2085">
        <v>1</v>
      </c>
      <c r="G2085" s="1" t="s">
        <v>2201</v>
      </c>
      <c r="I2085" s="1" t="s">
        <v>11473</v>
      </c>
      <c r="O2085" t="s">
        <v>22</v>
      </c>
    </row>
    <row r="2086" spans="1:15">
      <c r="A2086" t="s">
        <v>6039</v>
      </c>
      <c r="B2086" t="s">
        <v>6039</v>
      </c>
      <c r="C2086" t="s">
        <v>4994</v>
      </c>
      <c r="F2086">
        <v>1</v>
      </c>
      <c r="G2086" s="1" t="s">
        <v>2202</v>
      </c>
      <c r="I2086" s="1" t="s">
        <v>11473</v>
      </c>
      <c r="O2086" t="s">
        <v>22</v>
      </c>
    </row>
    <row r="2087" spans="1:15">
      <c r="A2087" t="s">
        <v>10042</v>
      </c>
      <c r="B2087" t="s">
        <v>10042</v>
      </c>
      <c r="C2087" t="s">
        <v>4994</v>
      </c>
      <c r="F2087">
        <v>1</v>
      </c>
      <c r="G2087" s="1" t="s">
        <v>2203</v>
      </c>
      <c r="I2087" s="1" t="s">
        <v>11473</v>
      </c>
      <c r="O2087" t="s">
        <v>22</v>
      </c>
    </row>
    <row r="2088" spans="1:15">
      <c r="A2088" t="s">
        <v>8417</v>
      </c>
      <c r="B2088" t="s">
        <v>8417</v>
      </c>
      <c r="C2088" t="s">
        <v>4635</v>
      </c>
      <c r="F2088">
        <v>1</v>
      </c>
      <c r="G2088" s="1" t="s">
        <v>2204</v>
      </c>
      <c r="I2088" s="1" t="s">
        <v>11473</v>
      </c>
      <c r="O2088" t="s">
        <v>22</v>
      </c>
    </row>
    <row r="2089" spans="1:15">
      <c r="A2089" t="s">
        <v>11198</v>
      </c>
      <c r="B2089" t="s">
        <v>11198</v>
      </c>
      <c r="C2089" t="s">
        <v>4635</v>
      </c>
      <c r="F2089">
        <v>1</v>
      </c>
      <c r="G2089" s="1" t="s">
        <v>2205</v>
      </c>
      <c r="I2089" s="1" t="s">
        <v>11473</v>
      </c>
      <c r="O2089" t="s">
        <v>22</v>
      </c>
    </row>
    <row r="2090" spans="1:15">
      <c r="A2090" t="s">
        <v>5547</v>
      </c>
      <c r="B2090" t="s">
        <v>5547</v>
      </c>
      <c r="C2090" t="s">
        <v>5548</v>
      </c>
      <c r="F2090">
        <v>1</v>
      </c>
      <c r="G2090" s="1" t="s">
        <v>2206</v>
      </c>
      <c r="I2090" s="1" t="s">
        <v>11473</v>
      </c>
      <c r="O2090" t="s">
        <v>22</v>
      </c>
    </row>
    <row r="2091" spans="1:15">
      <c r="A2091" t="s">
        <v>6088</v>
      </c>
      <c r="B2091" t="s">
        <v>6088</v>
      </c>
      <c r="C2091" t="s">
        <v>5548</v>
      </c>
      <c r="F2091">
        <v>1</v>
      </c>
      <c r="G2091" s="1" t="s">
        <v>2207</v>
      </c>
      <c r="I2091" s="1" t="s">
        <v>11473</v>
      </c>
      <c r="O2091" t="s">
        <v>22</v>
      </c>
    </row>
    <row r="2092" spans="1:15">
      <c r="A2092" t="s">
        <v>11426</v>
      </c>
      <c r="B2092" t="s">
        <v>11426</v>
      </c>
      <c r="C2092" t="s">
        <v>5548</v>
      </c>
      <c r="F2092">
        <v>1</v>
      </c>
      <c r="G2092" s="1" t="s">
        <v>2208</v>
      </c>
      <c r="I2092" s="1" t="s">
        <v>11473</v>
      </c>
      <c r="O2092" t="s">
        <v>22</v>
      </c>
    </row>
    <row r="2093" spans="1:15">
      <c r="A2093" t="s">
        <v>7256</v>
      </c>
      <c r="B2093" t="s">
        <v>7256</v>
      </c>
      <c r="C2093" t="s">
        <v>4956</v>
      </c>
      <c r="F2093">
        <v>1</v>
      </c>
      <c r="G2093" s="1" t="s">
        <v>2209</v>
      </c>
      <c r="I2093" s="1" t="s">
        <v>11473</v>
      </c>
      <c r="O2093" t="s">
        <v>22</v>
      </c>
    </row>
    <row r="2094" spans="1:15">
      <c r="A2094" t="s">
        <v>9979</v>
      </c>
      <c r="B2094" t="s">
        <v>9979</v>
      </c>
      <c r="C2094" t="s">
        <v>4956</v>
      </c>
      <c r="F2094">
        <v>1</v>
      </c>
      <c r="G2094" s="1" t="s">
        <v>2210</v>
      </c>
      <c r="I2094" s="1" t="s">
        <v>11473</v>
      </c>
      <c r="O2094" t="s">
        <v>22</v>
      </c>
    </row>
    <row r="2095" spans="1:15">
      <c r="A2095" t="s">
        <v>9386</v>
      </c>
      <c r="B2095" t="s">
        <v>9386</v>
      </c>
      <c r="C2095" t="s">
        <v>5166</v>
      </c>
      <c r="F2095">
        <v>1</v>
      </c>
      <c r="G2095" s="1" t="s">
        <v>2211</v>
      </c>
      <c r="I2095" s="1" t="s">
        <v>11473</v>
      </c>
      <c r="O2095" t="s">
        <v>22</v>
      </c>
    </row>
    <row r="2096" spans="1:15">
      <c r="A2096" t="s">
        <v>9257</v>
      </c>
      <c r="B2096" t="s">
        <v>9257</v>
      </c>
      <c r="C2096" t="s">
        <v>5005</v>
      </c>
      <c r="F2096">
        <v>1</v>
      </c>
      <c r="G2096" s="1" t="s">
        <v>2212</v>
      </c>
      <c r="I2096" s="1" t="s">
        <v>11473</v>
      </c>
      <c r="O2096" t="s">
        <v>22</v>
      </c>
    </row>
    <row r="2097" spans="1:15">
      <c r="A2097" t="s">
        <v>10894</v>
      </c>
      <c r="B2097" t="s">
        <v>10894</v>
      </c>
      <c r="C2097" t="s">
        <v>5005</v>
      </c>
      <c r="F2097">
        <v>1</v>
      </c>
      <c r="G2097" s="1" t="s">
        <v>2213</v>
      </c>
      <c r="I2097" s="1" t="s">
        <v>11473</v>
      </c>
      <c r="O2097" t="s">
        <v>22</v>
      </c>
    </row>
    <row r="2098" spans="1:15">
      <c r="A2098" t="s">
        <v>6049</v>
      </c>
      <c r="B2098" t="s">
        <v>6049</v>
      </c>
      <c r="C2098" t="s">
        <v>6050</v>
      </c>
      <c r="F2098">
        <v>1</v>
      </c>
      <c r="G2098" s="1" t="s">
        <v>2214</v>
      </c>
      <c r="I2098" s="1" t="s">
        <v>11473</v>
      </c>
      <c r="O2098" t="s">
        <v>22</v>
      </c>
    </row>
    <row r="2099" spans="1:15">
      <c r="A2099" t="s">
        <v>5833</v>
      </c>
      <c r="B2099" t="s">
        <v>5833</v>
      </c>
      <c r="C2099" t="s">
        <v>4634</v>
      </c>
      <c r="F2099">
        <v>1</v>
      </c>
      <c r="G2099" s="1" t="s">
        <v>2215</v>
      </c>
      <c r="I2099" s="1" t="s">
        <v>11473</v>
      </c>
      <c r="O2099" t="s">
        <v>22</v>
      </c>
    </row>
    <row r="2100" spans="1:15">
      <c r="A2100" t="s">
        <v>7225</v>
      </c>
      <c r="B2100" t="s">
        <v>7225</v>
      </c>
      <c r="C2100" t="s">
        <v>4634</v>
      </c>
      <c r="F2100">
        <v>1</v>
      </c>
      <c r="G2100" s="1" t="s">
        <v>2216</v>
      </c>
      <c r="I2100" s="1" t="s">
        <v>11473</v>
      </c>
      <c r="O2100" t="s">
        <v>22</v>
      </c>
    </row>
    <row r="2101" spans="1:15">
      <c r="A2101" t="s">
        <v>8600</v>
      </c>
      <c r="B2101" t="s">
        <v>8600</v>
      </c>
      <c r="C2101" t="s">
        <v>8601</v>
      </c>
      <c r="F2101">
        <v>1</v>
      </c>
      <c r="G2101" s="1" t="s">
        <v>2217</v>
      </c>
      <c r="I2101" s="1" t="s">
        <v>11473</v>
      </c>
      <c r="O2101" t="s">
        <v>22</v>
      </c>
    </row>
    <row r="2102" spans="1:15">
      <c r="A2102" t="s">
        <v>6010</v>
      </c>
      <c r="B2102" t="s">
        <v>6010</v>
      </c>
      <c r="C2102" t="s">
        <v>4337</v>
      </c>
      <c r="F2102">
        <v>1</v>
      </c>
      <c r="G2102" s="1" t="s">
        <v>2218</v>
      </c>
      <c r="I2102" s="1" t="s">
        <v>11473</v>
      </c>
      <c r="O2102" t="s">
        <v>22</v>
      </c>
    </row>
    <row r="2103" spans="1:15">
      <c r="A2103" t="s">
        <v>10919</v>
      </c>
      <c r="B2103" t="s">
        <v>10919</v>
      </c>
      <c r="C2103" t="s">
        <v>4337</v>
      </c>
      <c r="F2103">
        <v>1</v>
      </c>
      <c r="G2103" s="1" t="s">
        <v>2219</v>
      </c>
      <c r="I2103" s="1" t="s">
        <v>11473</v>
      </c>
      <c r="O2103" t="s">
        <v>22</v>
      </c>
    </row>
    <row r="2104" spans="1:15">
      <c r="A2104" t="s">
        <v>8208</v>
      </c>
      <c r="B2104" t="s">
        <v>8208</v>
      </c>
      <c r="C2104" t="s">
        <v>8209</v>
      </c>
      <c r="F2104">
        <v>1</v>
      </c>
      <c r="G2104" s="1" t="s">
        <v>2220</v>
      </c>
      <c r="I2104" s="1" t="s">
        <v>11473</v>
      </c>
      <c r="O2104" t="s">
        <v>22</v>
      </c>
    </row>
    <row r="2105" spans="1:15">
      <c r="A2105" t="s">
        <v>6110</v>
      </c>
      <c r="B2105" t="s">
        <v>6110</v>
      </c>
      <c r="C2105" t="s">
        <v>6111</v>
      </c>
      <c r="F2105">
        <v>1</v>
      </c>
      <c r="G2105" s="1" t="s">
        <v>2221</v>
      </c>
      <c r="I2105" s="1" t="s">
        <v>11473</v>
      </c>
      <c r="O2105" t="s">
        <v>22</v>
      </c>
    </row>
    <row r="2106" spans="1:15">
      <c r="A2106" t="s">
        <v>7696</v>
      </c>
      <c r="B2106" t="s">
        <v>7696</v>
      </c>
      <c r="C2106" t="s">
        <v>7697</v>
      </c>
      <c r="F2106">
        <v>1</v>
      </c>
      <c r="G2106" s="1" t="s">
        <v>2222</v>
      </c>
      <c r="I2106" s="1" t="s">
        <v>11473</v>
      </c>
      <c r="O2106" t="s">
        <v>22</v>
      </c>
    </row>
    <row r="2107" spans="1:15">
      <c r="A2107" t="s">
        <v>8173</v>
      </c>
      <c r="B2107" t="s">
        <v>8173</v>
      </c>
      <c r="C2107" t="s">
        <v>8174</v>
      </c>
      <c r="F2107">
        <v>1</v>
      </c>
      <c r="G2107" s="1" t="s">
        <v>2223</v>
      </c>
      <c r="I2107" s="1" t="s">
        <v>11473</v>
      </c>
      <c r="O2107" t="s">
        <v>22</v>
      </c>
    </row>
    <row r="2108" spans="1:15">
      <c r="A2108" t="s">
        <v>9403</v>
      </c>
      <c r="B2108" t="s">
        <v>9403</v>
      </c>
      <c r="C2108" t="s">
        <v>9404</v>
      </c>
      <c r="F2108">
        <v>1</v>
      </c>
      <c r="G2108" s="1" t="s">
        <v>2224</v>
      </c>
      <c r="I2108" s="1" t="s">
        <v>11473</v>
      </c>
      <c r="O2108" t="s">
        <v>22</v>
      </c>
    </row>
    <row r="2109" spans="1:15">
      <c r="A2109" t="s">
        <v>7083</v>
      </c>
      <c r="B2109" t="s">
        <v>7083</v>
      </c>
      <c r="C2109" t="s">
        <v>7084</v>
      </c>
      <c r="F2109">
        <v>1</v>
      </c>
      <c r="G2109" s="1" t="s">
        <v>2225</v>
      </c>
      <c r="I2109" s="1" t="s">
        <v>11473</v>
      </c>
      <c r="O2109" t="s">
        <v>22</v>
      </c>
    </row>
    <row r="2110" spans="1:15">
      <c r="A2110" t="s">
        <v>6076</v>
      </c>
      <c r="B2110" t="s">
        <v>6076</v>
      </c>
      <c r="C2110" t="s">
        <v>6077</v>
      </c>
      <c r="F2110">
        <v>1</v>
      </c>
      <c r="G2110" s="1" t="s">
        <v>2226</v>
      </c>
      <c r="I2110" s="1" t="s">
        <v>11473</v>
      </c>
      <c r="O2110" t="s">
        <v>22</v>
      </c>
    </row>
    <row r="2111" spans="1:15">
      <c r="A2111" t="s">
        <v>9553</v>
      </c>
      <c r="B2111" t="s">
        <v>9553</v>
      </c>
      <c r="C2111" t="s">
        <v>5010</v>
      </c>
      <c r="F2111">
        <v>1</v>
      </c>
      <c r="G2111" s="1" t="s">
        <v>2227</v>
      </c>
      <c r="I2111" s="1" t="s">
        <v>11473</v>
      </c>
      <c r="O2111" t="s">
        <v>22</v>
      </c>
    </row>
    <row r="2112" spans="1:15">
      <c r="A2112" t="s">
        <v>6099</v>
      </c>
      <c r="B2112" t="s">
        <v>6099</v>
      </c>
      <c r="C2112" t="s">
        <v>4605</v>
      </c>
      <c r="F2112">
        <v>1</v>
      </c>
      <c r="G2112" s="1" t="s">
        <v>2228</v>
      </c>
      <c r="I2112" s="1" t="s">
        <v>11473</v>
      </c>
      <c r="O2112" t="s">
        <v>22</v>
      </c>
    </row>
    <row r="2113" spans="1:15">
      <c r="A2113" t="s">
        <v>10188</v>
      </c>
      <c r="B2113" t="s">
        <v>10188</v>
      </c>
      <c r="C2113" t="s">
        <v>4605</v>
      </c>
      <c r="F2113">
        <v>1</v>
      </c>
      <c r="G2113" s="1" t="s">
        <v>2229</v>
      </c>
      <c r="I2113" s="1" t="s">
        <v>11473</v>
      </c>
      <c r="O2113" t="s">
        <v>22</v>
      </c>
    </row>
    <row r="2114" spans="1:15">
      <c r="A2114" t="s">
        <v>5898</v>
      </c>
      <c r="B2114" t="s">
        <v>5898</v>
      </c>
      <c r="C2114" t="s">
        <v>5899</v>
      </c>
      <c r="F2114">
        <v>1</v>
      </c>
      <c r="G2114" s="1" t="s">
        <v>2230</v>
      </c>
      <c r="I2114" s="1" t="s">
        <v>11473</v>
      </c>
      <c r="O2114" t="s">
        <v>22</v>
      </c>
    </row>
    <row r="2115" spans="1:15">
      <c r="A2115" t="s">
        <v>6106</v>
      </c>
      <c r="B2115" t="s">
        <v>6106</v>
      </c>
      <c r="C2115" t="s">
        <v>6107</v>
      </c>
      <c r="F2115">
        <v>1</v>
      </c>
      <c r="G2115" s="1" t="s">
        <v>2231</v>
      </c>
      <c r="I2115" s="1" t="s">
        <v>11473</v>
      </c>
      <c r="O2115" t="s">
        <v>22</v>
      </c>
    </row>
    <row r="2116" spans="1:15">
      <c r="A2116" t="s">
        <v>6224</v>
      </c>
      <c r="B2116" t="s">
        <v>6224</v>
      </c>
      <c r="C2116" t="s">
        <v>4595</v>
      </c>
      <c r="F2116">
        <v>1</v>
      </c>
      <c r="G2116" s="1" t="s">
        <v>2232</v>
      </c>
      <c r="I2116" s="1" t="s">
        <v>11473</v>
      </c>
      <c r="O2116" t="s">
        <v>22</v>
      </c>
    </row>
    <row r="2117" spans="1:15">
      <c r="A2117" t="s">
        <v>7134</v>
      </c>
      <c r="B2117" t="s">
        <v>7134</v>
      </c>
      <c r="C2117" t="s">
        <v>5136</v>
      </c>
      <c r="F2117">
        <v>1</v>
      </c>
      <c r="G2117" s="1" t="s">
        <v>2233</v>
      </c>
      <c r="I2117" s="1" t="s">
        <v>11473</v>
      </c>
      <c r="O2117" t="s">
        <v>22</v>
      </c>
    </row>
    <row r="2118" spans="1:15">
      <c r="A2118" t="s">
        <v>10970</v>
      </c>
      <c r="B2118" t="s">
        <v>10970</v>
      </c>
      <c r="C2118" t="s">
        <v>5136</v>
      </c>
      <c r="F2118">
        <v>1</v>
      </c>
      <c r="G2118" s="1" t="s">
        <v>2234</v>
      </c>
      <c r="I2118" s="1" t="s">
        <v>11473</v>
      </c>
      <c r="O2118" t="s">
        <v>22</v>
      </c>
    </row>
    <row r="2119" spans="1:15">
      <c r="A2119" t="s">
        <v>6403</v>
      </c>
      <c r="B2119" t="s">
        <v>6403</v>
      </c>
      <c r="C2119" t="s">
        <v>4946</v>
      </c>
      <c r="F2119">
        <v>1</v>
      </c>
      <c r="G2119" s="1" t="s">
        <v>2235</v>
      </c>
      <c r="I2119" s="1" t="s">
        <v>11473</v>
      </c>
      <c r="O2119" t="s">
        <v>22</v>
      </c>
    </row>
    <row r="2120" spans="1:15">
      <c r="A2120" t="s">
        <v>7474</v>
      </c>
      <c r="B2120" t="s">
        <v>7474</v>
      </c>
      <c r="C2120" t="s">
        <v>4946</v>
      </c>
      <c r="F2120">
        <v>1</v>
      </c>
      <c r="G2120" s="1" t="s">
        <v>2236</v>
      </c>
      <c r="I2120" s="1" t="s">
        <v>11473</v>
      </c>
      <c r="O2120" t="s">
        <v>22</v>
      </c>
    </row>
    <row r="2121" spans="1:15">
      <c r="A2121" t="s">
        <v>7907</v>
      </c>
      <c r="B2121" t="s">
        <v>7907</v>
      </c>
      <c r="C2121" t="s">
        <v>4946</v>
      </c>
      <c r="F2121">
        <v>1</v>
      </c>
      <c r="G2121" s="1" t="s">
        <v>2237</v>
      </c>
      <c r="I2121" s="1" t="s">
        <v>11473</v>
      </c>
      <c r="O2121" t="s">
        <v>22</v>
      </c>
    </row>
    <row r="2122" spans="1:15">
      <c r="A2122" t="s">
        <v>9367</v>
      </c>
      <c r="B2122" t="s">
        <v>9367</v>
      </c>
      <c r="C2122" t="s">
        <v>4946</v>
      </c>
      <c r="F2122">
        <v>1</v>
      </c>
      <c r="G2122" s="1" t="s">
        <v>2238</v>
      </c>
      <c r="I2122" s="1" t="s">
        <v>11473</v>
      </c>
      <c r="O2122" t="s">
        <v>22</v>
      </c>
    </row>
    <row r="2123" spans="1:15">
      <c r="A2123" t="s">
        <v>9975</v>
      </c>
      <c r="B2123" t="s">
        <v>9975</v>
      </c>
      <c r="C2123" t="s">
        <v>4946</v>
      </c>
      <c r="F2123">
        <v>1</v>
      </c>
      <c r="G2123" s="1" t="s">
        <v>2239</v>
      </c>
      <c r="I2123" s="1" t="s">
        <v>11473</v>
      </c>
      <c r="O2123" t="s">
        <v>22</v>
      </c>
    </row>
    <row r="2124" spans="1:15">
      <c r="A2124" t="s">
        <v>7471</v>
      </c>
      <c r="B2124" t="s">
        <v>7471</v>
      </c>
      <c r="C2124" t="s">
        <v>7472</v>
      </c>
      <c r="F2124">
        <v>1</v>
      </c>
      <c r="G2124" s="1" t="s">
        <v>2240</v>
      </c>
      <c r="I2124" s="1" t="s">
        <v>11473</v>
      </c>
      <c r="O2124" t="s">
        <v>22</v>
      </c>
    </row>
    <row r="2125" spans="1:15">
      <c r="A2125" t="s">
        <v>10056</v>
      </c>
      <c r="B2125" t="s">
        <v>10056</v>
      </c>
      <c r="C2125" t="s">
        <v>10057</v>
      </c>
      <c r="F2125">
        <v>1</v>
      </c>
      <c r="G2125" s="1" t="s">
        <v>2241</v>
      </c>
      <c r="I2125" s="1" t="s">
        <v>11473</v>
      </c>
      <c r="O2125" t="s">
        <v>22</v>
      </c>
    </row>
    <row r="2126" spans="1:15">
      <c r="A2126" t="s">
        <v>7234</v>
      </c>
      <c r="B2126" t="s">
        <v>7234</v>
      </c>
      <c r="C2126" t="s">
        <v>4407</v>
      </c>
      <c r="F2126">
        <v>1</v>
      </c>
      <c r="G2126" s="1" t="s">
        <v>2242</v>
      </c>
      <c r="I2126" s="1" t="s">
        <v>11473</v>
      </c>
      <c r="O2126" t="s">
        <v>22</v>
      </c>
    </row>
    <row r="2127" spans="1:15">
      <c r="A2127" t="s">
        <v>10884</v>
      </c>
      <c r="B2127" t="s">
        <v>10884</v>
      </c>
      <c r="C2127" t="s">
        <v>10885</v>
      </c>
      <c r="F2127">
        <v>1</v>
      </c>
      <c r="G2127" s="1" t="s">
        <v>2243</v>
      </c>
      <c r="I2127" s="1" t="s">
        <v>11473</v>
      </c>
      <c r="O2127" t="s">
        <v>22</v>
      </c>
    </row>
    <row r="2128" spans="1:15">
      <c r="A2128" t="s">
        <v>9329</v>
      </c>
      <c r="B2128" t="s">
        <v>9329</v>
      </c>
      <c r="C2128" t="s">
        <v>9330</v>
      </c>
      <c r="F2128">
        <v>1</v>
      </c>
      <c r="G2128" s="1" t="s">
        <v>2244</v>
      </c>
      <c r="I2128" s="1" t="s">
        <v>11473</v>
      </c>
      <c r="O2128" t="s">
        <v>22</v>
      </c>
    </row>
    <row r="2129" spans="1:15">
      <c r="A2129" t="s">
        <v>11277</v>
      </c>
      <c r="B2129" t="s">
        <v>11277</v>
      </c>
      <c r="C2129" t="s">
        <v>9330</v>
      </c>
      <c r="F2129">
        <v>1</v>
      </c>
      <c r="G2129" s="1" t="s">
        <v>2245</v>
      </c>
      <c r="I2129" s="1" t="s">
        <v>11473</v>
      </c>
      <c r="O2129" t="s">
        <v>22</v>
      </c>
    </row>
    <row r="2130" spans="1:15">
      <c r="A2130" t="s">
        <v>5892</v>
      </c>
      <c r="B2130" t="s">
        <v>5892</v>
      </c>
      <c r="C2130" t="s">
        <v>5893</v>
      </c>
      <c r="F2130">
        <v>1</v>
      </c>
      <c r="G2130" s="1" t="s">
        <v>2246</v>
      </c>
      <c r="I2130" s="1" t="s">
        <v>11473</v>
      </c>
      <c r="O2130" t="s">
        <v>22</v>
      </c>
    </row>
    <row r="2131" spans="1:15">
      <c r="A2131" t="s">
        <v>7503</v>
      </c>
      <c r="B2131" t="s">
        <v>7503</v>
      </c>
      <c r="C2131" t="s">
        <v>7504</v>
      </c>
      <c r="F2131">
        <v>1</v>
      </c>
      <c r="G2131" s="1" t="s">
        <v>2247</v>
      </c>
      <c r="I2131" s="1" t="s">
        <v>11473</v>
      </c>
      <c r="O2131" t="s">
        <v>22</v>
      </c>
    </row>
    <row r="2132" spans="1:15">
      <c r="A2132" t="s">
        <v>7908</v>
      </c>
      <c r="B2132" t="s">
        <v>7908</v>
      </c>
      <c r="C2132" t="s">
        <v>7909</v>
      </c>
      <c r="F2132">
        <v>1</v>
      </c>
      <c r="G2132" s="1" t="s">
        <v>2248</v>
      </c>
      <c r="I2132" s="1" t="s">
        <v>11473</v>
      </c>
      <c r="O2132" t="s">
        <v>22</v>
      </c>
    </row>
    <row r="2133" spans="1:15">
      <c r="A2133" t="s">
        <v>6663</v>
      </c>
      <c r="B2133" t="s">
        <v>6663</v>
      </c>
      <c r="C2133" t="s">
        <v>6664</v>
      </c>
      <c r="F2133">
        <v>1</v>
      </c>
      <c r="G2133" s="1" t="s">
        <v>2249</v>
      </c>
      <c r="I2133" s="1" t="s">
        <v>11473</v>
      </c>
      <c r="O2133" t="s">
        <v>22</v>
      </c>
    </row>
    <row r="2134" spans="1:15">
      <c r="A2134" t="s">
        <v>7088</v>
      </c>
      <c r="B2134" t="s">
        <v>7088</v>
      </c>
      <c r="C2134" t="s">
        <v>6664</v>
      </c>
      <c r="F2134">
        <v>1</v>
      </c>
      <c r="G2134" s="1" t="s">
        <v>2250</v>
      </c>
      <c r="I2134" s="1" t="s">
        <v>11473</v>
      </c>
      <c r="O2134" t="s">
        <v>22</v>
      </c>
    </row>
    <row r="2135" spans="1:15">
      <c r="A2135" t="s">
        <v>6250</v>
      </c>
      <c r="B2135" t="s">
        <v>6250</v>
      </c>
      <c r="C2135" t="s">
        <v>6251</v>
      </c>
      <c r="F2135">
        <v>1</v>
      </c>
      <c r="G2135" s="1" t="s">
        <v>2251</v>
      </c>
      <c r="I2135" s="1" t="s">
        <v>11473</v>
      </c>
      <c r="O2135" t="s">
        <v>22</v>
      </c>
    </row>
    <row r="2136" spans="1:15">
      <c r="A2136" t="s">
        <v>10948</v>
      </c>
      <c r="B2136" t="s">
        <v>10948</v>
      </c>
      <c r="C2136" t="s">
        <v>10949</v>
      </c>
      <c r="F2136">
        <v>1</v>
      </c>
      <c r="G2136" s="1" t="s">
        <v>2252</v>
      </c>
      <c r="I2136" s="1" t="s">
        <v>11473</v>
      </c>
      <c r="O2136" t="s">
        <v>22</v>
      </c>
    </row>
    <row r="2137" spans="1:15">
      <c r="A2137" t="s">
        <v>7698</v>
      </c>
      <c r="B2137" t="s">
        <v>7698</v>
      </c>
      <c r="C2137" t="s">
        <v>5327</v>
      </c>
      <c r="F2137">
        <v>1</v>
      </c>
      <c r="G2137" s="1" t="s">
        <v>2253</v>
      </c>
      <c r="I2137" s="1" t="s">
        <v>11473</v>
      </c>
      <c r="O2137" t="s">
        <v>22</v>
      </c>
    </row>
    <row r="2138" spans="1:15">
      <c r="A2138" t="s">
        <v>10222</v>
      </c>
      <c r="B2138" t="s">
        <v>10222</v>
      </c>
      <c r="C2138" t="s">
        <v>10223</v>
      </c>
      <c r="F2138">
        <v>1</v>
      </c>
      <c r="G2138" s="1" t="s">
        <v>2254</v>
      </c>
      <c r="I2138" s="1" t="s">
        <v>11473</v>
      </c>
      <c r="O2138" t="s">
        <v>22</v>
      </c>
    </row>
    <row r="2139" spans="1:15">
      <c r="A2139" t="s">
        <v>10280</v>
      </c>
      <c r="B2139" t="s">
        <v>10280</v>
      </c>
      <c r="C2139" t="s">
        <v>10223</v>
      </c>
      <c r="F2139">
        <v>1</v>
      </c>
      <c r="G2139" s="1" t="s">
        <v>2255</v>
      </c>
      <c r="I2139" s="1" t="s">
        <v>11473</v>
      </c>
      <c r="O2139" t="s">
        <v>22</v>
      </c>
    </row>
    <row r="2140" spans="1:15">
      <c r="A2140" t="s">
        <v>10026</v>
      </c>
      <c r="B2140" t="s">
        <v>10026</v>
      </c>
      <c r="C2140" t="s">
        <v>10027</v>
      </c>
      <c r="F2140">
        <v>1</v>
      </c>
      <c r="G2140" s="1" t="s">
        <v>2256</v>
      </c>
      <c r="I2140" s="1" t="s">
        <v>11473</v>
      </c>
      <c r="O2140" t="s">
        <v>22</v>
      </c>
    </row>
    <row r="2141" spans="1:15">
      <c r="A2141" t="s">
        <v>9331</v>
      </c>
      <c r="B2141" t="s">
        <v>9331</v>
      </c>
      <c r="C2141" t="s">
        <v>9332</v>
      </c>
      <c r="F2141">
        <v>1</v>
      </c>
      <c r="G2141" s="1" t="s">
        <v>2257</v>
      </c>
      <c r="I2141" s="1" t="s">
        <v>11473</v>
      </c>
      <c r="O2141" t="s">
        <v>22</v>
      </c>
    </row>
    <row r="2142" spans="1:15">
      <c r="A2142" t="s">
        <v>9455</v>
      </c>
      <c r="B2142" t="s">
        <v>9455</v>
      </c>
      <c r="C2142" t="s">
        <v>9456</v>
      </c>
      <c r="F2142">
        <v>1</v>
      </c>
      <c r="G2142" s="1" t="s">
        <v>2258</v>
      </c>
      <c r="I2142" s="1" t="s">
        <v>11473</v>
      </c>
      <c r="O2142" t="s">
        <v>22</v>
      </c>
    </row>
    <row r="2143" spans="1:15">
      <c r="A2143" t="s">
        <v>11453</v>
      </c>
      <c r="B2143" t="s">
        <v>11453</v>
      </c>
      <c r="C2143" t="s">
        <v>11454</v>
      </c>
      <c r="F2143">
        <v>1</v>
      </c>
      <c r="G2143" s="1" t="s">
        <v>2259</v>
      </c>
      <c r="I2143" s="1" t="s">
        <v>11473</v>
      </c>
      <c r="O2143" t="s">
        <v>22</v>
      </c>
    </row>
    <row r="2144" spans="1:15">
      <c r="A2144" t="s">
        <v>7240</v>
      </c>
      <c r="B2144" t="s">
        <v>7240</v>
      </c>
      <c r="C2144" t="s">
        <v>4603</v>
      </c>
      <c r="F2144">
        <v>1</v>
      </c>
      <c r="G2144" s="1" t="s">
        <v>2260</v>
      </c>
      <c r="I2144" s="1" t="s">
        <v>11473</v>
      </c>
      <c r="O2144" t="s">
        <v>22</v>
      </c>
    </row>
    <row r="2145" spans="1:15">
      <c r="A2145" t="s">
        <v>9495</v>
      </c>
      <c r="B2145" t="s">
        <v>9495</v>
      </c>
      <c r="C2145" t="s">
        <v>9496</v>
      </c>
      <c r="F2145">
        <v>1</v>
      </c>
      <c r="G2145" s="1" t="s">
        <v>2261</v>
      </c>
      <c r="I2145" s="1" t="s">
        <v>11473</v>
      </c>
      <c r="O2145" t="s">
        <v>22</v>
      </c>
    </row>
    <row r="2146" spans="1:15">
      <c r="A2146" t="s">
        <v>7517</v>
      </c>
      <c r="B2146" t="s">
        <v>7517</v>
      </c>
      <c r="C2146" t="s">
        <v>5094</v>
      </c>
      <c r="F2146">
        <v>1</v>
      </c>
      <c r="G2146" s="1" t="s">
        <v>2262</v>
      </c>
      <c r="I2146" s="1" t="s">
        <v>11473</v>
      </c>
      <c r="O2146" t="s">
        <v>22</v>
      </c>
    </row>
    <row r="2147" spans="1:15">
      <c r="A2147" t="s">
        <v>9832</v>
      </c>
      <c r="B2147" t="s">
        <v>9832</v>
      </c>
      <c r="C2147" t="s">
        <v>4287</v>
      </c>
      <c r="F2147">
        <v>1</v>
      </c>
      <c r="G2147" s="1" t="s">
        <v>2263</v>
      </c>
      <c r="I2147" s="1" t="s">
        <v>11473</v>
      </c>
      <c r="O2147" t="s">
        <v>22</v>
      </c>
    </row>
    <row r="2148" spans="1:15">
      <c r="A2148" t="s">
        <v>5516</v>
      </c>
      <c r="B2148" t="s">
        <v>5516</v>
      </c>
      <c r="C2148" t="s">
        <v>4552</v>
      </c>
      <c r="F2148">
        <v>1</v>
      </c>
      <c r="G2148" s="1" t="s">
        <v>2264</v>
      </c>
      <c r="I2148" s="1" t="s">
        <v>11473</v>
      </c>
      <c r="O2148" t="s">
        <v>22</v>
      </c>
    </row>
    <row r="2149" spans="1:15">
      <c r="A2149" t="s">
        <v>6101</v>
      </c>
      <c r="B2149" t="s">
        <v>6101</v>
      </c>
      <c r="C2149" t="s">
        <v>6102</v>
      </c>
      <c r="F2149">
        <v>1</v>
      </c>
      <c r="G2149" s="1" t="s">
        <v>2265</v>
      </c>
      <c r="I2149" s="1" t="s">
        <v>11473</v>
      </c>
      <c r="O2149" t="s">
        <v>22</v>
      </c>
    </row>
    <row r="2150" spans="1:15">
      <c r="A2150" t="s">
        <v>10451</v>
      </c>
      <c r="B2150" t="s">
        <v>10451</v>
      </c>
      <c r="C2150" t="s">
        <v>5077</v>
      </c>
      <c r="F2150">
        <v>1</v>
      </c>
      <c r="G2150" s="1" t="s">
        <v>2266</v>
      </c>
      <c r="I2150" s="1" t="s">
        <v>11473</v>
      </c>
      <c r="O2150" t="s">
        <v>22</v>
      </c>
    </row>
    <row r="2151" spans="1:15">
      <c r="A2151" t="s">
        <v>7952</v>
      </c>
      <c r="B2151" t="s">
        <v>7952</v>
      </c>
      <c r="C2151" t="s">
        <v>7953</v>
      </c>
      <c r="F2151">
        <v>1</v>
      </c>
      <c r="G2151" s="1" t="s">
        <v>2267</v>
      </c>
      <c r="I2151" s="1" t="s">
        <v>11473</v>
      </c>
      <c r="O2151" t="s">
        <v>22</v>
      </c>
    </row>
    <row r="2152" spans="1:15">
      <c r="A2152" t="s">
        <v>9988</v>
      </c>
      <c r="B2152" t="s">
        <v>9988</v>
      </c>
      <c r="C2152" t="s">
        <v>9989</v>
      </c>
      <c r="F2152">
        <v>1</v>
      </c>
      <c r="G2152" s="1" t="s">
        <v>2268</v>
      </c>
      <c r="I2152" s="1" t="s">
        <v>11473</v>
      </c>
      <c r="O2152" t="s">
        <v>22</v>
      </c>
    </row>
    <row r="2153" spans="1:15">
      <c r="A2153" t="s">
        <v>6089</v>
      </c>
      <c r="B2153" t="s">
        <v>6089</v>
      </c>
      <c r="C2153" t="s">
        <v>10</v>
      </c>
      <c r="F2153">
        <v>1</v>
      </c>
      <c r="G2153" s="1" t="s">
        <v>2269</v>
      </c>
      <c r="I2153" s="1" t="s">
        <v>11473</v>
      </c>
      <c r="O2153" t="s">
        <v>22</v>
      </c>
    </row>
    <row r="2154" spans="1:15">
      <c r="A2154" t="s">
        <v>6108</v>
      </c>
      <c r="B2154" t="s">
        <v>6108</v>
      </c>
      <c r="C2154" t="s">
        <v>10</v>
      </c>
      <c r="F2154">
        <v>1</v>
      </c>
      <c r="G2154" s="1" t="s">
        <v>2270</v>
      </c>
      <c r="I2154" s="1" t="s">
        <v>11473</v>
      </c>
      <c r="O2154" t="s">
        <v>22</v>
      </c>
    </row>
    <row r="2155" spans="1:15">
      <c r="A2155" t="s">
        <v>6859</v>
      </c>
      <c r="B2155" t="s">
        <v>6859</v>
      </c>
      <c r="C2155" t="s">
        <v>10</v>
      </c>
      <c r="F2155">
        <v>1</v>
      </c>
      <c r="G2155" s="1" t="s">
        <v>2271</v>
      </c>
      <c r="I2155" s="1" t="s">
        <v>11473</v>
      </c>
      <c r="O2155" t="s">
        <v>22</v>
      </c>
    </row>
    <row r="2156" spans="1:15">
      <c r="A2156" t="s">
        <v>7771</v>
      </c>
      <c r="B2156" t="s">
        <v>7771</v>
      </c>
      <c r="C2156" t="s">
        <v>10</v>
      </c>
      <c r="F2156">
        <v>1</v>
      </c>
      <c r="G2156" s="1" t="s">
        <v>2272</v>
      </c>
      <c r="I2156" s="1" t="s">
        <v>11473</v>
      </c>
      <c r="O2156" t="s">
        <v>22</v>
      </c>
    </row>
    <row r="2157" spans="1:15">
      <c r="A2157" t="s">
        <v>10545</v>
      </c>
      <c r="B2157" t="s">
        <v>10545</v>
      </c>
      <c r="C2157" t="s">
        <v>10</v>
      </c>
      <c r="F2157">
        <v>1</v>
      </c>
      <c r="G2157" s="1" t="s">
        <v>2273</v>
      </c>
      <c r="I2157" s="1" t="s">
        <v>11473</v>
      </c>
      <c r="O2157" t="s">
        <v>22</v>
      </c>
    </row>
    <row r="2158" spans="1:15">
      <c r="A2158" t="s">
        <v>10099</v>
      </c>
      <c r="B2158" t="s">
        <v>10099</v>
      </c>
      <c r="C2158" t="s">
        <v>5352</v>
      </c>
      <c r="F2158">
        <v>1</v>
      </c>
      <c r="G2158" s="1" t="s">
        <v>2274</v>
      </c>
      <c r="I2158" s="1" t="s">
        <v>11473</v>
      </c>
      <c r="O2158" t="s">
        <v>22</v>
      </c>
    </row>
    <row r="2159" spans="1:15">
      <c r="A2159" t="s">
        <v>5733</v>
      </c>
      <c r="B2159" t="s">
        <v>5733</v>
      </c>
      <c r="C2159" t="s">
        <v>4670</v>
      </c>
      <c r="F2159">
        <v>1</v>
      </c>
      <c r="G2159" s="1" t="s">
        <v>2275</v>
      </c>
      <c r="I2159" s="1" t="s">
        <v>11473</v>
      </c>
      <c r="O2159" t="s">
        <v>22</v>
      </c>
    </row>
    <row r="2160" spans="1:15">
      <c r="A2160" t="s">
        <v>6061</v>
      </c>
      <c r="B2160" t="s">
        <v>6061</v>
      </c>
      <c r="C2160" t="s">
        <v>4670</v>
      </c>
      <c r="F2160">
        <v>1</v>
      </c>
      <c r="G2160" s="1" t="s">
        <v>2276</v>
      </c>
      <c r="I2160" s="1" t="s">
        <v>11473</v>
      </c>
      <c r="O2160" t="s">
        <v>22</v>
      </c>
    </row>
    <row r="2161" spans="1:15">
      <c r="A2161" t="s">
        <v>7248</v>
      </c>
      <c r="B2161" t="s">
        <v>7248</v>
      </c>
      <c r="C2161" t="s">
        <v>4903</v>
      </c>
      <c r="F2161">
        <v>1</v>
      </c>
      <c r="G2161" s="1" t="s">
        <v>2277</v>
      </c>
      <c r="I2161" s="1" t="s">
        <v>11473</v>
      </c>
      <c r="O2161" t="s">
        <v>22</v>
      </c>
    </row>
    <row r="2162" spans="1:15">
      <c r="A2162" t="s">
        <v>11026</v>
      </c>
      <c r="B2162" t="s">
        <v>11026</v>
      </c>
      <c r="C2162" t="s">
        <v>4903</v>
      </c>
      <c r="F2162">
        <v>1</v>
      </c>
      <c r="G2162" s="1" t="s">
        <v>2278</v>
      </c>
      <c r="I2162" s="1" t="s">
        <v>11473</v>
      </c>
      <c r="O2162" t="s">
        <v>22</v>
      </c>
    </row>
    <row r="2163" spans="1:15">
      <c r="A2163" t="s">
        <v>9412</v>
      </c>
      <c r="B2163" t="s">
        <v>9412</v>
      </c>
      <c r="C2163" t="s">
        <v>4290</v>
      </c>
      <c r="F2163">
        <v>1</v>
      </c>
      <c r="G2163" s="1" t="s">
        <v>2279</v>
      </c>
      <c r="I2163" s="1" t="s">
        <v>11473</v>
      </c>
      <c r="O2163" t="s">
        <v>22</v>
      </c>
    </row>
    <row r="2164" spans="1:15">
      <c r="A2164" t="s">
        <v>9861</v>
      </c>
      <c r="B2164" t="s">
        <v>9861</v>
      </c>
      <c r="C2164" t="s">
        <v>5003</v>
      </c>
      <c r="F2164">
        <v>1</v>
      </c>
      <c r="G2164" s="1" t="s">
        <v>2280</v>
      </c>
      <c r="I2164" s="1" t="s">
        <v>11473</v>
      </c>
      <c r="O2164" t="s">
        <v>22</v>
      </c>
    </row>
    <row r="2165" spans="1:15">
      <c r="A2165" t="s">
        <v>8570</v>
      </c>
      <c r="B2165" t="s">
        <v>8570</v>
      </c>
      <c r="C2165" t="s">
        <v>4215</v>
      </c>
      <c r="F2165">
        <v>1</v>
      </c>
      <c r="G2165" s="1" t="s">
        <v>2281</v>
      </c>
      <c r="I2165" s="1" t="s">
        <v>11473</v>
      </c>
      <c r="O2165" t="s">
        <v>22</v>
      </c>
    </row>
    <row r="2166" spans="1:15">
      <c r="A2166" t="s">
        <v>6261</v>
      </c>
      <c r="B2166" t="s">
        <v>6261</v>
      </c>
      <c r="C2166" t="s">
        <v>4606</v>
      </c>
      <c r="F2166">
        <v>1</v>
      </c>
      <c r="G2166" s="1" t="s">
        <v>2282</v>
      </c>
      <c r="I2166" s="1" t="s">
        <v>11473</v>
      </c>
      <c r="O2166" t="s">
        <v>22</v>
      </c>
    </row>
    <row r="2167" spans="1:15">
      <c r="A2167" t="s">
        <v>5426</v>
      </c>
      <c r="B2167" t="s">
        <v>5426</v>
      </c>
      <c r="C2167" t="s">
        <v>4295</v>
      </c>
      <c r="F2167">
        <v>1</v>
      </c>
      <c r="G2167" s="1" t="s">
        <v>2283</v>
      </c>
      <c r="I2167" s="1" t="s">
        <v>11473</v>
      </c>
      <c r="O2167" t="s">
        <v>22</v>
      </c>
    </row>
    <row r="2168" spans="1:15">
      <c r="A2168" t="s">
        <v>5571</v>
      </c>
      <c r="B2168" t="s">
        <v>5571</v>
      </c>
      <c r="C2168" t="s">
        <v>4295</v>
      </c>
      <c r="F2168">
        <v>1</v>
      </c>
      <c r="G2168" s="1" t="s">
        <v>2284</v>
      </c>
      <c r="I2168" s="1" t="s">
        <v>11473</v>
      </c>
      <c r="O2168" t="s">
        <v>22</v>
      </c>
    </row>
    <row r="2169" spans="1:15">
      <c r="A2169" t="s">
        <v>6072</v>
      </c>
      <c r="B2169" t="s">
        <v>6072</v>
      </c>
      <c r="C2169" t="s">
        <v>4295</v>
      </c>
      <c r="F2169">
        <v>1</v>
      </c>
      <c r="G2169" s="1" t="s">
        <v>2285</v>
      </c>
      <c r="I2169" s="1" t="s">
        <v>11473</v>
      </c>
      <c r="O2169" t="s">
        <v>22</v>
      </c>
    </row>
    <row r="2170" spans="1:15">
      <c r="A2170" t="s">
        <v>6059</v>
      </c>
      <c r="B2170" t="s">
        <v>6059</v>
      </c>
      <c r="C2170" t="s">
        <v>4054</v>
      </c>
      <c r="F2170">
        <v>1</v>
      </c>
      <c r="G2170" s="1" t="s">
        <v>2286</v>
      </c>
      <c r="I2170" s="1" t="s">
        <v>11473</v>
      </c>
      <c r="O2170" t="s">
        <v>22</v>
      </c>
    </row>
    <row r="2171" spans="1:15">
      <c r="A2171" t="s">
        <v>7070</v>
      </c>
      <c r="B2171" t="s">
        <v>7070</v>
      </c>
      <c r="C2171" t="s">
        <v>4054</v>
      </c>
      <c r="F2171">
        <v>1</v>
      </c>
      <c r="G2171" s="1" t="s">
        <v>2287</v>
      </c>
      <c r="I2171" s="1" t="s">
        <v>11473</v>
      </c>
      <c r="O2171" t="s">
        <v>22</v>
      </c>
    </row>
    <row r="2172" spans="1:15">
      <c r="A2172" t="s">
        <v>10083</v>
      </c>
      <c r="B2172" t="s">
        <v>10083</v>
      </c>
      <c r="C2172" t="s">
        <v>4054</v>
      </c>
      <c r="F2172">
        <v>1</v>
      </c>
      <c r="G2172" s="1" t="s">
        <v>2288</v>
      </c>
      <c r="I2172" s="1" t="s">
        <v>11473</v>
      </c>
      <c r="O2172" t="s">
        <v>22</v>
      </c>
    </row>
    <row r="2173" spans="1:15">
      <c r="A2173" t="s">
        <v>10179</v>
      </c>
      <c r="B2173" t="s">
        <v>10179</v>
      </c>
      <c r="C2173" t="s">
        <v>4054</v>
      </c>
      <c r="F2173">
        <v>1</v>
      </c>
      <c r="G2173" s="1" t="s">
        <v>2289</v>
      </c>
      <c r="I2173" s="1" t="s">
        <v>11473</v>
      </c>
      <c r="O2173" t="s">
        <v>22</v>
      </c>
    </row>
    <row r="2174" spans="1:15">
      <c r="A2174" t="s">
        <v>10629</v>
      </c>
      <c r="B2174" t="s">
        <v>10629</v>
      </c>
      <c r="C2174" t="s">
        <v>4054</v>
      </c>
      <c r="F2174">
        <v>1</v>
      </c>
      <c r="G2174" s="1" t="s">
        <v>2290</v>
      </c>
      <c r="I2174" s="1" t="s">
        <v>11473</v>
      </c>
      <c r="O2174" t="s">
        <v>22</v>
      </c>
    </row>
    <row r="2175" spans="1:15">
      <c r="A2175" t="s">
        <v>5432</v>
      </c>
      <c r="B2175" t="s">
        <v>5432</v>
      </c>
      <c r="C2175" t="s">
        <v>4687</v>
      </c>
      <c r="F2175">
        <v>1</v>
      </c>
      <c r="G2175" s="1" t="s">
        <v>2291</v>
      </c>
      <c r="I2175" s="1" t="s">
        <v>11473</v>
      </c>
      <c r="O2175" t="s">
        <v>22</v>
      </c>
    </row>
    <row r="2176" spans="1:15">
      <c r="A2176" t="s">
        <v>7089</v>
      </c>
      <c r="B2176" t="s">
        <v>7089</v>
      </c>
      <c r="C2176" t="s">
        <v>4687</v>
      </c>
      <c r="F2176">
        <v>1</v>
      </c>
      <c r="G2176" s="1" t="s">
        <v>2292</v>
      </c>
      <c r="I2176" s="1" t="s">
        <v>11473</v>
      </c>
      <c r="O2176" t="s">
        <v>22</v>
      </c>
    </row>
    <row r="2177" spans="1:15">
      <c r="A2177" t="s">
        <v>8679</v>
      </c>
      <c r="B2177" t="s">
        <v>8679</v>
      </c>
      <c r="C2177" t="s">
        <v>4687</v>
      </c>
      <c r="F2177">
        <v>1</v>
      </c>
      <c r="G2177" s="1" t="s">
        <v>2293</v>
      </c>
      <c r="I2177" s="1" t="s">
        <v>11473</v>
      </c>
      <c r="O2177" t="s">
        <v>22</v>
      </c>
    </row>
    <row r="2178" spans="1:15">
      <c r="A2178" t="s">
        <v>10627</v>
      </c>
      <c r="B2178" t="s">
        <v>10627</v>
      </c>
      <c r="C2178" t="s">
        <v>4687</v>
      </c>
      <c r="F2178">
        <v>1</v>
      </c>
      <c r="G2178" s="1" t="s">
        <v>2294</v>
      </c>
      <c r="I2178" s="1" t="s">
        <v>11473</v>
      </c>
      <c r="O2178" t="s">
        <v>22</v>
      </c>
    </row>
    <row r="2179" spans="1:15">
      <c r="A2179" t="s">
        <v>11296</v>
      </c>
      <c r="B2179" t="s">
        <v>11296</v>
      </c>
      <c r="C2179" t="s">
        <v>11297</v>
      </c>
      <c r="F2179">
        <v>1</v>
      </c>
      <c r="G2179" s="1" t="s">
        <v>2295</v>
      </c>
      <c r="I2179" s="1" t="s">
        <v>11473</v>
      </c>
      <c r="O2179" t="s">
        <v>22</v>
      </c>
    </row>
    <row r="2180" spans="1:15">
      <c r="A2180" t="s">
        <v>5889</v>
      </c>
      <c r="B2180" t="s">
        <v>5889</v>
      </c>
      <c r="C2180" t="s">
        <v>4330</v>
      </c>
      <c r="F2180">
        <v>1</v>
      </c>
      <c r="G2180" s="1" t="s">
        <v>2296</v>
      </c>
      <c r="I2180" s="1" t="s">
        <v>11473</v>
      </c>
      <c r="O2180" t="s">
        <v>22</v>
      </c>
    </row>
    <row r="2181" spans="1:15">
      <c r="A2181" t="s">
        <v>7975</v>
      </c>
      <c r="B2181" t="s">
        <v>7975</v>
      </c>
      <c r="C2181" t="s">
        <v>4330</v>
      </c>
      <c r="F2181">
        <v>1</v>
      </c>
      <c r="G2181" s="1" t="s">
        <v>2297</v>
      </c>
      <c r="I2181" s="1" t="s">
        <v>11473</v>
      </c>
      <c r="O2181" t="s">
        <v>22</v>
      </c>
    </row>
    <row r="2182" spans="1:15">
      <c r="A2182" t="s">
        <v>8229</v>
      </c>
      <c r="B2182" t="s">
        <v>8229</v>
      </c>
      <c r="C2182" t="s">
        <v>4330</v>
      </c>
      <c r="F2182">
        <v>1</v>
      </c>
      <c r="G2182" s="1" t="s">
        <v>2298</v>
      </c>
      <c r="I2182" s="1" t="s">
        <v>11473</v>
      </c>
      <c r="O2182" t="s">
        <v>22</v>
      </c>
    </row>
    <row r="2183" spans="1:15">
      <c r="A2183" t="s">
        <v>5868</v>
      </c>
      <c r="B2183" t="s">
        <v>5868</v>
      </c>
      <c r="C2183" t="s">
        <v>4760</v>
      </c>
      <c r="F2183">
        <v>1</v>
      </c>
      <c r="G2183" s="1" t="s">
        <v>2299</v>
      </c>
      <c r="I2183" s="1" t="s">
        <v>11473</v>
      </c>
      <c r="O2183" t="s">
        <v>22</v>
      </c>
    </row>
    <row r="2184" spans="1:15">
      <c r="A2184" t="s">
        <v>10720</v>
      </c>
      <c r="B2184" t="s">
        <v>10720</v>
      </c>
      <c r="C2184" t="s">
        <v>4760</v>
      </c>
      <c r="F2184">
        <v>1</v>
      </c>
      <c r="G2184" s="1" t="s">
        <v>2300</v>
      </c>
      <c r="I2184" s="1" t="s">
        <v>11473</v>
      </c>
      <c r="O2184" t="s">
        <v>22</v>
      </c>
    </row>
    <row r="2185" spans="1:15">
      <c r="A2185" t="s">
        <v>6090</v>
      </c>
      <c r="B2185" t="s">
        <v>6090</v>
      </c>
      <c r="C2185" t="s">
        <v>6091</v>
      </c>
      <c r="F2185">
        <v>1</v>
      </c>
      <c r="G2185" s="1" t="s">
        <v>2301</v>
      </c>
      <c r="I2185" s="1" t="s">
        <v>11473</v>
      </c>
      <c r="O2185" t="s">
        <v>22</v>
      </c>
    </row>
    <row r="2186" spans="1:15">
      <c r="A2186" t="s">
        <v>6229</v>
      </c>
      <c r="B2186" t="s">
        <v>6229</v>
      </c>
      <c r="C2186" t="s">
        <v>4843</v>
      </c>
      <c r="F2186">
        <v>1</v>
      </c>
      <c r="G2186" s="1" t="s">
        <v>2302</v>
      </c>
      <c r="I2186" s="1" t="s">
        <v>11473</v>
      </c>
      <c r="O2186" t="s">
        <v>22</v>
      </c>
    </row>
    <row r="2187" spans="1:15">
      <c r="A2187" t="s">
        <v>7610</v>
      </c>
      <c r="B2187" t="s">
        <v>7610</v>
      </c>
      <c r="C2187" t="s">
        <v>4843</v>
      </c>
      <c r="F2187">
        <v>1</v>
      </c>
      <c r="G2187" s="1" t="s">
        <v>2303</v>
      </c>
      <c r="I2187" s="1" t="s">
        <v>11473</v>
      </c>
      <c r="O2187" t="s">
        <v>22</v>
      </c>
    </row>
    <row r="2188" spans="1:15">
      <c r="A2188" t="s">
        <v>8376</v>
      </c>
      <c r="B2188" t="s">
        <v>8376</v>
      </c>
      <c r="C2188" t="s">
        <v>5361</v>
      </c>
      <c r="F2188">
        <v>1</v>
      </c>
      <c r="G2188" s="1" t="s">
        <v>2304</v>
      </c>
      <c r="I2188" s="1" t="s">
        <v>11473</v>
      </c>
      <c r="O2188" t="s">
        <v>22</v>
      </c>
    </row>
    <row r="2189" spans="1:15">
      <c r="A2189" t="s">
        <v>10763</v>
      </c>
      <c r="B2189" t="s">
        <v>10763</v>
      </c>
      <c r="C2189" t="s">
        <v>5361</v>
      </c>
      <c r="F2189">
        <v>1</v>
      </c>
      <c r="G2189" s="1" t="s">
        <v>2305</v>
      </c>
      <c r="I2189" s="1" t="s">
        <v>11473</v>
      </c>
      <c r="O2189" t="s">
        <v>22</v>
      </c>
    </row>
    <row r="2190" spans="1:15">
      <c r="A2190" t="s">
        <v>9805</v>
      </c>
      <c r="B2190" t="s">
        <v>9805</v>
      </c>
      <c r="C2190" t="s">
        <v>5300</v>
      </c>
      <c r="F2190">
        <v>1</v>
      </c>
      <c r="G2190" s="1" t="s">
        <v>2306</v>
      </c>
      <c r="I2190" s="1" t="s">
        <v>11473</v>
      </c>
      <c r="O2190" t="s">
        <v>22</v>
      </c>
    </row>
    <row r="2191" spans="1:15">
      <c r="A2191" t="s">
        <v>7239</v>
      </c>
      <c r="B2191" t="s">
        <v>7239</v>
      </c>
      <c r="C2191" t="s">
        <v>4566</v>
      </c>
      <c r="F2191">
        <v>1</v>
      </c>
      <c r="G2191" s="1" t="s">
        <v>2307</v>
      </c>
      <c r="I2191" s="1" t="s">
        <v>11473</v>
      </c>
      <c r="O2191" t="s">
        <v>22</v>
      </c>
    </row>
    <row r="2192" spans="1:15">
      <c r="A2192" t="s">
        <v>7252</v>
      </c>
      <c r="B2192" t="s">
        <v>7252</v>
      </c>
      <c r="C2192" t="s">
        <v>4613</v>
      </c>
      <c r="F2192">
        <v>1</v>
      </c>
      <c r="G2192" s="1" t="s">
        <v>2308</v>
      </c>
      <c r="I2192" s="1" t="s">
        <v>11473</v>
      </c>
      <c r="O2192" t="s">
        <v>22</v>
      </c>
    </row>
    <row r="2193" spans="1:15">
      <c r="A2193" t="s">
        <v>8553</v>
      </c>
      <c r="B2193" t="s">
        <v>8553</v>
      </c>
      <c r="C2193" t="s">
        <v>4613</v>
      </c>
      <c r="F2193">
        <v>1</v>
      </c>
      <c r="G2193" s="1" t="s">
        <v>2309</v>
      </c>
      <c r="I2193" s="1" t="s">
        <v>11473</v>
      </c>
      <c r="O2193" t="s">
        <v>22</v>
      </c>
    </row>
    <row r="2194" spans="1:15">
      <c r="A2194" t="s">
        <v>6100</v>
      </c>
      <c r="B2194" t="s">
        <v>6100</v>
      </c>
      <c r="C2194" t="s">
        <v>4398</v>
      </c>
      <c r="F2194">
        <v>1</v>
      </c>
      <c r="G2194" s="1" t="s">
        <v>2310</v>
      </c>
      <c r="I2194" s="1" t="s">
        <v>11473</v>
      </c>
      <c r="O2194" t="s">
        <v>22</v>
      </c>
    </row>
    <row r="2195" spans="1:15">
      <c r="A2195" t="s">
        <v>6248</v>
      </c>
      <c r="B2195" t="s">
        <v>6248</v>
      </c>
      <c r="C2195" t="s">
        <v>5211</v>
      </c>
      <c r="F2195">
        <v>1</v>
      </c>
      <c r="G2195" s="1" t="s">
        <v>2311</v>
      </c>
      <c r="I2195" s="1" t="s">
        <v>11473</v>
      </c>
      <c r="O2195" t="s">
        <v>22</v>
      </c>
    </row>
    <row r="2196" spans="1:15">
      <c r="A2196" t="s">
        <v>10751</v>
      </c>
      <c r="B2196" t="s">
        <v>10751</v>
      </c>
      <c r="C2196" t="s">
        <v>5211</v>
      </c>
      <c r="F2196">
        <v>1</v>
      </c>
      <c r="G2196" s="1" t="s">
        <v>2312</v>
      </c>
      <c r="I2196" s="1" t="s">
        <v>11473</v>
      </c>
      <c r="O2196" t="s">
        <v>22</v>
      </c>
    </row>
    <row r="2197" spans="1:15">
      <c r="A2197" t="s">
        <v>5408</v>
      </c>
      <c r="B2197" t="s">
        <v>5408</v>
      </c>
      <c r="C2197" t="s">
        <v>4043</v>
      </c>
      <c r="F2197">
        <v>1</v>
      </c>
      <c r="G2197" s="1" t="s">
        <v>2313</v>
      </c>
      <c r="I2197" s="1" t="s">
        <v>11473</v>
      </c>
      <c r="O2197" t="s">
        <v>22</v>
      </c>
    </row>
    <row r="2198" spans="1:15">
      <c r="A2198" t="s">
        <v>9288</v>
      </c>
      <c r="B2198" t="s">
        <v>9288</v>
      </c>
      <c r="C2198" t="s">
        <v>4695</v>
      </c>
      <c r="F2198">
        <v>1</v>
      </c>
      <c r="G2198" s="1" t="s">
        <v>2314</v>
      </c>
      <c r="I2198" s="1" t="s">
        <v>11473</v>
      </c>
      <c r="O2198" t="s">
        <v>22</v>
      </c>
    </row>
    <row r="2199" spans="1:15">
      <c r="A2199" t="s">
        <v>6068</v>
      </c>
      <c r="B2199" t="s">
        <v>6068</v>
      </c>
      <c r="C2199" t="s">
        <v>4561</v>
      </c>
      <c r="F2199">
        <v>1</v>
      </c>
      <c r="G2199" s="1" t="s">
        <v>2315</v>
      </c>
      <c r="I2199" s="1" t="s">
        <v>11473</v>
      </c>
      <c r="O2199" t="s">
        <v>22</v>
      </c>
    </row>
    <row r="2200" spans="1:15">
      <c r="A2200" t="s">
        <v>6094</v>
      </c>
      <c r="B2200" t="s">
        <v>6094</v>
      </c>
      <c r="C2200" t="s">
        <v>4561</v>
      </c>
      <c r="F2200">
        <v>1</v>
      </c>
      <c r="G2200" s="1" t="s">
        <v>2316</v>
      </c>
      <c r="I2200" s="1" t="s">
        <v>11473</v>
      </c>
      <c r="O2200" t="s">
        <v>22</v>
      </c>
    </row>
    <row r="2201" spans="1:15">
      <c r="A2201" t="s">
        <v>10896</v>
      </c>
      <c r="B2201" t="s">
        <v>10896</v>
      </c>
      <c r="C2201" t="s">
        <v>4561</v>
      </c>
      <c r="F2201">
        <v>1</v>
      </c>
      <c r="G2201" s="1" t="s">
        <v>2317</v>
      </c>
      <c r="I2201" s="1" t="s">
        <v>11473</v>
      </c>
      <c r="O2201" t="s">
        <v>22</v>
      </c>
    </row>
    <row r="2202" spans="1:15">
      <c r="A2202" t="s">
        <v>11439</v>
      </c>
      <c r="B2202" t="s">
        <v>11439</v>
      </c>
      <c r="C2202" t="s">
        <v>4561</v>
      </c>
      <c r="F2202">
        <v>1</v>
      </c>
      <c r="G2202" s="1" t="s">
        <v>2318</v>
      </c>
      <c r="I2202" s="1" t="s">
        <v>11473</v>
      </c>
      <c r="O2202" t="s">
        <v>22</v>
      </c>
    </row>
    <row r="2203" spans="1:15">
      <c r="A2203" t="s">
        <v>6092</v>
      </c>
      <c r="B2203" t="s">
        <v>6092</v>
      </c>
      <c r="C2203" t="s">
        <v>4565</v>
      </c>
      <c r="F2203">
        <v>1</v>
      </c>
      <c r="G2203" s="1" t="s">
        <v>2319</v>
      </c>
      <c r="I2203" s="1" t="s">
        <v>11473</v>
      </c>
      <c r="O2203" t="s">
        <v>22</v>
      </c>
    </row>
    <row r="2204" spans="1:15">
      <c r="A2204" t="s">
        <v>7615</v>
      </c>
      <c r="B2204" t="s">
        <v>7615</v>
      </c>
      <c r="C2204" t="s">
        <v>4565</v>
      </c>
      <c r="F2204">
        <v>1</v>
      </c>
      <c r="G2204" s="1" t="s">
        <v>2320</v>
      </c>
      <c r="I2204" s="1" t="s">
        <v>11473</v>
      </c>
      <c r="O2204" t="s">
        <v>22</v>
      </c>
    </row>
    <row r="2205" spans="1:15">
      <c r="A2205" t="s">
        <v>8872</v>
      </c>
      <c r="B2205" t="s">
        <v>8872</v>
      </c>
      <c r="C2205" t="s">
        <v>4565</v>
      </c>
      <c r="F2205">
        <v>1</v>
      </c>
      <c r="G2205" s="1" t="s">
        <v>2321</v>
      </c>
      <c r="I2205" s="1" t="s">
        <v>11473</v>
      </c>
      <c r="O2205" t="s">
        <v>22</v>
      </c>
    </row>
    <row r="2206" spans="1:15">
      <c r="A2206" t="s">
        <v>6060</v>
      </c>
      <c r="B2206" t="s">
        <v>6060</v>
      </c>
      <c r="C2206" t="s">
        <v>4474</v>
      </c>
      <c r="F2206">
        <v>1</v>
      </c>
      <c r="G2206" s="1" t="s">
        <v>2322</v>
      </c>
      <c r="I2206" s="1" t="s">
        <v>11473</v>
      </c>
      <c r="O2206" t="s">
        <v>22</v>
      </c>
    </row>
    <row r="2207" spans="1:15">
      <c r="A2207" t="s">
        <v>10334</v>
      </c>
      <c r="B2207" t="s">
        <v>10334</v>
      </c>
      <c r="C2207" t="s">
        <v>4474</v>
      </c>
      <c r="F2207">
        <v>1</v>
      </c>
      <c r="G2207" s="1" t="s">
        <v>2323</v>
      </c>
      <c r="I2207" s="1" t="s">
        <v>11473</v>
      </c>
      <c r="O2207" t="s">
        <v>22</v>
      </c>
    </row>
    <row r="2208" spans="1:15">
      <c r="A2208" t="s">
        <v>5896</v>
      </c>
      <c r="B2208" t="s">
        <v>5896</v>
      </c>
      <c r="C2208" t="s">
        <v>4607</v>
      </c>
      <c r="F2208">
        <v>1</v>
      </c>
      <c r="G2208" s="1" t="s">
        <v>2324</v>
      </c>
      <c r="I2208" s="1" t="s">
        <v>11473</v>
      </c>
      <c r="O2208" t="s">
        <v>22</v>
      </c>
    </row>
    <row r="2209" spans="1:15">
      <c r="A2209" t="s">
        <v>6549</v>
      </c>
      <c r="B2209" t="s">
        <v>6549</v>
      </c>
      <c r="C2209" t="s">
        <v>4607</v>
      </c>
      <c r="F2209">
        <v>1</v>
      </c>
      <c r="G2209" s="1" t="s">
        <v>2325</v>
      </c>
      <c r="I2209" s="1" t="s">
        <v>11473</v>
      </c>
      <c r="O2209" t="s">
        <v>22</v>
      </c>
    </row>
    <row r="2210" spans="1:15">
      <c r="A2210" t="s">
        <v>6109</v>
      </c>
      <c r="B2210" t="s">
        <v>6109</v>
      </c>
      <c r="C2210" t="s">
        <v>4982</v>
      </c>
      <c r="F2210">
        <v>1</v>
      </c>
      <c r="G2210" s="1" t="s">
        <v>2326</v>
      </c>
      <c r="I2210" s="1" t="s">
        <v>11473</v>
      </c>
      <c r="O2210" t="s">
        <v>22</v>
      </c>
    </row>
    <row r="2211" spans="1:15">
      <c r="A2211" t="s">
        <v>10599</v>
      </c>
      <c r="B2211" t="s">
        <v>10599</v>
      </c>
      <c r="C2211" t="s">
        <v>4982</v>
      </c>
      <c r="F2211">
        <v>1</v>
      </c>
      <c r="G2211" s="1" t="s">
        <v>2327</v>
      </c>
      <c r="I2211" s="1" t="s">
        <v>11473</v>
      </c>
      <c r="O2211" t="s">
        <v>22</v>
      </c>
    </row>
    <row r="2212" spans="1:15">
      <c r="A2212" t="s">
        <v>7772</v>
      </c>
      <c r="B2212" t="s">
        <v>7772</v>
      </c>
      <c r="C2212" t="s">
        <v>4076</v>
      </c>
      <c r="F2212">
        <v>1</v>
      </c>
      <c r="G2212" s="1" t="s">
        <v>2328</v>
      </c>
      <c r="I2212" s="1" t="s">
        <v>11473</v>
      </c>
      <c r="O2212" t="s">
        <v>22</v>
      </c>
    </row>
    <row r="2213" spans="1:15">
      <c r="A2213" t="s">
        <v>10024</v>
      </c>
      <c r="B2213" t="s">
        <v>10024</v>
      </c>
      <c r="C2213" t="s">
        <v>4076</v>
      </c>
      <c r="F2213">
        <v>1</v>
      </c>
      <c r="G2213" s="1" t="s">
        <v>2329</v>
      </c>
      <c r="I2213" s="1" t="s">
        <v>11473</v>
      </c>
      <c r="O2213" t="s">
        <v>22</v>
      </c>
    </row>
    <row r="2214" spans="1:15">
      <c r="A2214" t="s">
        <v>10929</v>
      </c>
      <c r="B2214" t="s">
        <v>10929</v>
      </c>
      <c r="C2214" t="s">
        <v>10930</v>
      </c>
      <c r="F2214">
        <v>1</v>
      </c>
      <c r="G2214" s="1" t="s">
        <v>2330</v>
      </c>
      <c r="I2214" s="1" t="s">
        <v>11473</v>
      </c>
      <c r="O2214" t="s">
        <v>22</v>
      </c>
    </row>
    <row r="2215" spans="1:15">
      <c r="A2215" t="s">
        <v>5448</v>
      </c>
      <c r="B2215" t="s">
        <v>5448</v>
      </c>
      <c r="C2215" t="s">
        <v>5449</v>
      </c>
      <c r="F2215">
        <v>1</v>
      </c>
      <c r="G2215" s="1" t="s">
        <v>2331</v>
      </c>
      <c r="I2215" s="1" t="s">
        <v>11473</v>
      </c>
      <c r="O2215" t="s">
        <v>22</v>
      </c>
    </row>
    <row r="2216" spans="1:15">
      <c r="A2216" t="s">
        <v>5454</v>
      </c>
      <c r="B2216" t="s">
        <v>5454</v>
      </c>
      <c r="C2216" t="s">
        <v>5455</v>
      </c>
      <c r="F2216">
        <v>1</v>
      </c>
      <c r="G2216" s="1" t="s">
        <v>2332</v>
      </c>
      <c r="I2216" s="1" t="s">
        <v>11473</v>
      </c>
      <c r="O2216" t="s">
        <v>22</v>
      </c>
    </row>
    <row r="2217" spans="1:15">
      <c r="A2217" t="s">
        <v>9828</v>
      </c>
      <c r="B2217" t="s">
        <v>9828</v>
      </c>
      <c r="C2217" t="s">
        <v>9829</v>
      </c>
      <c r="F2217">
        <v>1</v>
      </c>
      <c r="G2217" s="1" t="s">
        <v>2333</v>
      </c>
      <c r="I2217" s="1" t="s">
        <v>11473</v>
      </c>
      <c r="O2217" t="s">
        <v>22</v>
      </c>
    </row>
    <row r="2218" spans="1:15">
      <c r="A2218" t="s">
        <v>6082</v>
      </c>
      <c r="B2218" t="s">
        <v>6082</v>
      </c>
      <c r="C2218" t="s">
        <v>4870</v>
      </c>
      <c r="F2218">
        <v>1</v>
      </c>
      <c r="G2218" s="1" t="s">
        <v>2334</v>
      </c>
      <c r="I2218" s="1" t="s">
        <v>11473</v>
      </c>
      <c r="O2218" t="s">
        <v>22</v>
      </c>
    </row>
    <row r="2219" spans="1:15">
      <c r="A2219" t="s">
        <v>10939</v>
      </c>
      <c r="B2219" t="s">
        <v>10939</v>
      </c>
      <c r="C2219" t="s">
        <v>4870</v>
      </c>
      <c r="F2219">
        <v>1</v>
      </c>
      <c r="G2219" s="1" t="s">
        <v>2335</v>
      </c>
      <c r="I2219" s="1" t="s">
        <v>11473</v>
      </c>
      <c r="O2219" t="s">
        <v>22</v>
      </c>
    </row>
    <row r="2220" spans="1:15">
      <c r="A2220" t="s">
        <v>8471</v>
      </c>
      <c r="B2220" t="s">
        <v>8471</v>
      </c>
      <c r="C2220" t="s">
        <v>4949</v>
      </c>
      <c r="F2220">
        <v>1</v>
      </c>
      <c r="G2220" s="1" t="s">
        <v>2336</v>
      </c>
      <c r="I2220" s="1" t="s">
        <v>11473</v>
      </c>
      <c r="O2220" t="s">
        <v>22</v>
      </c>
    </row>
    <row r="2221" spans="1:15">
      <c r="A2221" t="s">
        <v>11034</v>
      </c>
      <c r="B2221" t="s">
        <v>11034</v>
      </c>
      <c r="C2221" t="s">
        <v>11035</v>
      </c>
      <c r="F2221">
        <v>1</v>
      </c>
      <c r="G2221" s="1" t="s">
        <v>2337</v>
      </c>
      <c r="I2221" s="1" t="s">
        <v>11473</v>
      </c>
      <c r="O2221" t="s">
        <v>22</v>
      </c>
    </row>
    <row r="2222" spans="1:15">
      <c r="A2222" t="s">
        <v>8306</v>
      </c>
      <c r="B2222" t="s">
        <v>8306</v>
      </c>
      <c r="C2222" t="s">
        <v>4999</v>
      </c>
      <c r="F2222">
        <v>1</v>
      </c>
      <c r="G2222" s="1" t="s">
        <v>2338</v>
      </c>
      <c r="I2222" s="1" t="s">
        <v>11473</v>
      </c>
      <c r="O2222" t="s">
        <v>22</v>
      </c>
    </row>
    <row r="2223" spans="1:15">
      <c r="A2223" t="s">
        <v>7137</v>
      </c>
      <c r="B2223" t="s">
        <v>7137</v>
      </c>
      <c r="C2223" t="s">
        <v>7138</v>
      </c>
      <c r="F2223">
        <v>1</v>
      </c>
      <c r="G2223" s="1" t="s">
        <v>2339</v>
      </c>
      <c r="I2223" s="1" t="s">
        <v>11473</v>
      </c>
      <c r="O2223" t="s">
        <v>22</v>
      </c>
    </row>
    <row r="2224" spans="1:15">
      <c r="A2224" t="s">
        <v>11449</v>
      </c>
      <c r="B2224" t="s">
        <v>11449</v>
      </c>
      <c r="C2224" t="s">
        <v>7138</v>
      </c>
      <c r="F2224">
        <v>1</v>
      </c>
      <c r="G2224" s="1" t="s">
        <v>2340</v>
      </c>
      <c r="I2224" s="1" t="s">
        <v>11473</v>
      </c>
      <c r="O2224" t="s">
        <v>22</v>
      </c>
    </row>
    <row r="2225" spans="1:15">
      <c r="A2225" t="s">
        <v>7086</v>
      </c>
      <c r="B2225" t="s">
        <v>7086</v>
      </c>
      <c r="C2225" t="s">
        <v>4674</v>
      </c>
      <c r="F2225">
        <v>1</v>
      </c>
      <c r="G2225" s="1" t="s">
        <v>2341</v>
      </c>
      <c r="I2225" s="1" t="s">
        <v>11473</v>
      </c>
      <c r="O2225" t="s">
        <v>22</v>
      </c>
    </row>
    <row r="2226" spans="1:15">
      <c r="A2226" t="s">
        <v>10611</v>
      </c>
      <c r="B2226" t="s">
        <v>10611</v>
      </c>
      <c r="C2226" t="s">
        <v>4608</v>
      </c>
      <c r="F2226">
        <v>1</v>
      </c>
      <c r="G2226" s="1" t="s">
        <v>2342</v>
      </c>
      <c r="I2226" s="1" t="s">
        <v>11473</v>
      </c>
      <c r="O2226" t="s">
        <v>22</v>
      </c>
    </row>
    <row r="2227" spans="1:15">
      <c r="A2227" t="s">
        <v>5913</v>
      </c>
      <c r="B2227" t="s">
        <v>5913</v>
      </c>
      <c r="C2227" t="s">
        <v>4177</v>
      </c>
      <c r="F2227">
        <v>1</v>
      </c>
      <c r="G2227" s="1" t="s">
        <v>2343</v>
      </c>
      <c r="I2227" s="1" t="s">
        <v>11473</v>
      </c>
      <c r="O2227" t="s">
        <v>22</v>
      </c>
    </row>
    <row r="2228" spans="1:15">
      <c r="A2228" t="s">
        <v>10038</v>
      </c>
      <c r="B2228" t="s">
        <v>10038</v>
      </c>
      <c r="C2228" t="s">
        <v>4177</v>
      </c>
      <c r="F2228">
        <v>1</v>
      </c>
      <c r="G2228" s="1" t="s">
        <v>2344</v>
      </c>
      <c r="I2228" s="1" t="s">
        <v>11473</v>
      </c>
      <c r="O2228" t="s">
        <v>22</v>
      </c>
    </row>
    <row r="2229" spans="1:15">
      <c r="A2229" t="s">
        <v>7095</v>
      </c>
      <c r="B2229" t="s">
        <v>7095</v>
      </c>
      <c r="C2229" t="s">
        <v>7096</v>
      </c>
      <c r="F2229">
        <v>1</v>
      </c>
      <c r="G2229" s="1" t="s">
        <v>2345</v>
      </c>
      <c r="I2229" s="1" t="s">
        <v>11473</v>
      </c>
      <c r="O2229" t="s">
        <v>22</v>
      </c>
    </row>
    <row r="2230" spans="1:15">
      <c r="A2230" t="s">
        <v>5902</v>
      </c>
      <c r="B2230" t="s">
        <v>5902</v>
      </c>
      <c r="C2230" t="s">
        <v>4591</v>
      </c>
      <c r="F2230">
        <v>1</v>
      </c>
      <c r="G2230" s="1" t="s">
        <v>2346</v>
      </c>
      <c r="I2230" s="1" t="s">
        <v>11473</v>
      </c>
      <c r="O2230" t="s">
        <v>22</v>
      </c>
    </row>
    <row r="2231" spans="1:15">
      <c r="A2231" t="s">
        <v>6209</v>
      </c>
      <c r="B2231" t="s">
        <v>6209</v>
      </c>
      <c r="C2231" t="s">
        <v>4591</v>
      </c>
      <c r="F2231">
        <v>1</v>
      </c>
      <c r="G2231" s="1" t="s">
        <v>2347</v>
      </c>
      <c r="I2231" s="1" t="s">
        <v>11473</v>
      </c>
      <c r="O2231" t="s">
        <v>22</v>
      </c>
    </row>
    <row r="2232" spans="1:15">
      <c r="A2232" t="s">
        <v>7385</v>
      </c>
      <c r="B2232" t="s">
        <v>7385</v>
      </c>
      <c r="C2232" t="s">
        <v>4569</v>
      </c>
      <c r="F2232">
        <v>1</v>
      </c>
      <c r="G2232" s="1" t="s">
        <v>2348</v>
      </c>
      <c r="I2232" s="1" t="s">
        <v>11473</v>
      </c>
      <c r="O2232" t="s">
        <v>22</v>
      </c>
    </row>
    <row r="2233" spans="1:15">
      <c r="A2233" t="s">
        <v>9136</v>
      </c>
      <c r="B2233" t="s">
        <v>9136</v>
      </c>
      <c r="C2233" t="s">
        <v>4569</v>
      </c>
      <c r="F2233">
        <v>1</v>
      </c>
      <c r="G2233" s="1" t="s">
        <v>2349</v>
      </c>
      <c r="I2233" s="1" t="s">
        <v>11473</v>
      </c>
      <c r="O2233" t="s">
        <v>22</v>
      </c>
    </row>
    <row r="2234" spans="1:15">
      <c r="A2234" t="s">
        <v>9303</v>
      </c>
      <c r="B2234" t="s">
        <v>9303</v>
      </c>
      <c r="C2234" t="s">
        <v>4569</v>
      </c>
      <c r="F2234">
        <v>1</v>
      </c>
      <c r="G2234" s="1" t="s">
        <v>2350</v>
      </c>
      <c r="I2234" s="1" t="s">
        <v>11473</v>
      </c>
      <c r="O2234" t="s">
        <v>22</v>
      </c>
    </row>
    <row r="2235" spans="1:15">
      <c r="A2235" t="s">
        <v>10031</v>
      </c>
      <c r="B2235" t="s">
        <v>10031</v>
      </c>
      <c r="C2235" t="s">
        <v>10032</v>
      </c>
      <c r="F2235">
        <v>1</v>
      </c>
      <c r="G2235" s="1" t="s">
        <v>2351</v>
      </c>
      <c r="I2235" s="1" t="s">
        <v>11473</v>
      </c>
      <c r="O2235" t="s">
        <v>22</v>
      </c>
    </row>
    <row r="2236" spans="1:15">
      <c r="A2236" t="s">
        <v>5437</v>
      </c>
      <c r="B2236" t="s">
        <v>5437</v>
      </c>
      <c r="C2236" t="s">
        <v>5438</v>
      </c>
      <c r="F2236">
        <v>1</v>
      </c>
      <c r="G2236" s="1" t="s">
        <v>2352</v>
      </c>
      <c r="I2236" s="1" t="s">
        <v>11473</v>
      </c>
      <c r="O2236" t="s">
        <v>22</v>
      </c>
    </row>
    <row r="2237" spans="1:15">
      <c r="A2237" t="s">
        <v>9055</v>
      </c>
      <c r="B2237" t="s">
        <v>9055</v>
      </c>
      <c r="C2237" t="s">
        <v>9056</v>
      </c>
      <c r="F2237">
        <v>1</v>
      </c>
      <c r="G2237" s="1" t="s">
        <v>2353</v>
      </c>
      <c r="I2237" s="1" t="s">
        <v>11473</v>
      </c>
      <c r="O2237" t="s">
        <v>22</v>
      </c>
    </row>
    <row r="2238" spans="1:15">
      <c r="A2238" t="s">
        <v>6066</v>
      </c>
      <c r="B2238" t="s">
        <v>6066</v>
      </c>
      <c r="C2238" t="s">
        <v>6067</v>
      </c>
      <c r="F2238">
        <v>1</v>
      </c>
      <c r="G2238" s="1" t="s">
        <v>2354</v>
      </c>
      <c r="I2238" s="1" t="s">
        <v>11473</v>
      </c>
      <c r="O2238" t="s">
        <v>22</v>
      </c>
    </row>
    <row r="2239" spans="1:15">
      <c r="A2239" t="s">
        <v>7230</v>
      </c>
      <c r="B2239" t="s">
        <v>7230</v>
      </c>
      <c r="C2239" t="s">
        <v>6067</v>
      </c>
      <c r="F2239">
        <v>1</v>
      </c>
      <c r="G2239" s="1" t="s">
        <v>2355</v>
      </c>
      <c r="I2239" s="1" t="s">
        <v>11473</v>
      </c>
      <c r="O2239" t="s">
        <v>22</v>
      </c>
    </row>
    <row r="2240" spans="1:15">
      <c r="A2240" t="s">
        <v>10003</v>
      </c>
      <c r="B2240" t="s">
        <v>10003</v>
      </c>
      <c r="C2240" t="s">
        <v>6067</v>
      </c>
      <c r="F2240">
        <v>1</v>
      </c>
      <c r="G2240" s="1" t="s">
        <v>2356</v>
      </c>
      <c r="I2240" s="1" t="s">
        <v>11473</v>
      </c>
      <c r="O2240" t="s">
        <v>22</v>
      </c>
    </row>
    <row r="2241" spans="1:15">
      <c r="A2241" t="s">
        <v>5409</v>
      </c>
      <c r="B2241" t="s">
        <v>5409</v>
      </c>
      <c r="C2241" t="s">
        <v>5302</v>
      </c>
      <c r="F2241">
        <v>1</v>
      </c>
      <c r="G2241" s="1" t="s">
        <v>2357</v>
      </c>
      <c r="I2241" s="1" t="s">
        <v>11473</v>
      </c>
      <c r="O2241" t="s">
        <v>22</v>
      </c>
    </row>
    <row r="2242" spans="1:15">
      <c r="A2242" t="s">
        <v>5436</v>
      </c>
      <c r="B2242" t="s">
        <v>5436</v>
      </c>
      <c r="C2242" t="s">
        <v>5247</v>
      </c>
      <c r="F2242">
        <v>1</v>
      </c>
      <c r="G2242" s="1" t="s">
        <v>2358</v>
      </c>
      <c r="I2242" s="1" t="s">
        <v>11473</v>
      </c>
      <c r="O2242" t="s">
        <v>22</v>
      </c>
    </row>
    <row r="2243" spans="1:15">
      <c r="A2243" t="s">
        <v>7116</v>
      </c>
      <c r="B2243" t="s">
        <v>7116</v>
      </c>
      <c r="C2243" t="s">
        <v>5247</v>
      </c>
      <c r="F2243">
        <v>1</v>
      </c>
      <c r="G2243" s="1" t="s">
        <v>2359</v>
      </c>
      <c r="I2243" s="1" t="s">
        <v>11473</v>
      </c>
      <c r="O2243" t="s">
        <v>22</v>
      </c>
    </row>
    <row r="2244" spans="1:15">
      <c r="A2244" t="s">
        <v>8240</v>
      </c>
      <c r="B2244" t="s">
        <v>8240</v>
      </c>
      <c r="C2244" t="s">
        <v>5247</v>
      </c>
      <c r="F2244">
        <v>1</v>
      </c>
      <c r="G2244" s="1" t="s">
        <v>2360</v>
      </c>
      <c r="I2244" s="1" t="s">
        <v>11473</v>
      </c>
      <c r="O2244" t="s">
        <v>22</v>
      </c>
    </row>
    <row r="2245" spans="1:15">
      <c r="A2245" t="s">
        <v>10244</v>
      </c>
      <c r="B2245" t="s">
        <v>10244</v>
      </c>
      <c r="C2245" t="s">
        <v>10245</v>
      </c>
      <c r="F2245">
        <v>1</v>
      </c>
      <c r="G2245" s="1" t="s">
        <v>2361</v>
      </c>
      <c r="I2245" s="1" t="s">
        <v>11473</v>
      </c>
      <c r="O2245" t="s">
        <v>22</v>
      </c>
    </row>
    <row r="2246" spans="1:15">
      <c r="A2246" t="s">
        <v>9345</v>
      </c>
      <c r="B2246" t="s">
        <v>9345</v>
      </c>
      <c r="C2246" t="s">
        <v>4289</v>
      </c>
      <c r="F2246">
        <v>1</v>
      </c>
      <c r="G2246" s="1" t="s">
        <v>2362</v>
      </c>
      <c r="I2246" s="1" t="s">
        <v>11473</v>
      </c>
      <c r="O2246" t="s">
        <v>22</v>
      </c>
    </row>
    <row r="2247" spans="1:15">
      <c r="A2247" t="s">
        <v>9986</v>
      </c>
      <c r="B2247" t="s">
        <v>9986</v>
      </c>
      <c r="C2247" t="s">
        <v>9987</v>
      </c>
      <c r="F2247">
        <v>1</v>
      </c>
      <c r="G2247" s="1" t="s">
        <v>2363</v>
      </c>
      <c r="I2247" s="1" t="s">
        <v>11473</v>
      </c>
      <c r="O2247" t="s">
        <v>22</v>
      </c>
    </row>
    <row r="2248" spans="1:15">
      <c r="A2248" t="s">
        <v>9392</v>
      </c>
      <c r="B2248" t="s">
        <v>9392</v>
      </c>
      <c r="C2248" t="s">
        <v>9393</v>
      </c>
      <c r="F2248">
        <v>1</v>
      </c>
      <c r="G2248" s="1" t="s">
        <v>2364</v>
      </c>
      <c r="I2248" s="1" t="s">
        <v>11473</v>
      </c>
      <c r="O2248" t="s">
        <v>22</v>
      </c>
    </row>
    <row r="2249" spans="1:15">
      <c r="A2249" t="s">
        <v>8348</v>
      </c>
      <c r="B2249" t="s">
        <v>8348</v>
      </c>
      <c r="C2249" t="s">
        <v>5353</v>
      </c>
      <c r="F2249">
        <v>1</v>
      </c>
      <c r="G2249" s="1" t="s">
        <v>2365</v>
      </c>
      <c r="I2249" s="1" t="s">
        <v>11473</v>
      </c>
      <c r="O2249" t="s">
        <v>22</v>
      </c>
    </row>
    <row r="2250" spans="1:15">
      <c r="A2250" t="s">
        <v>11243</v>
      </c>
      <c r="B2250" t="s">
        <v>11243</v>
      </c>
      <c r="C2250" t="s">
        <v>5353</v>
      </c>
      <c r="F2250">
        <v>1</v>
      </c>
      <c r="G2250" s="1" t="s">
        <v>2366</v>
      </c>
      <c r="I2250" s="1" t="s">
        <v>11473</v>
      </c>
      <c r="O2250" t="s">
        <v>22</v>
      </c>
    </row>
    <row r="2251" spans="1:15">
      <c r="A2251" t="s">
        <v>9926</v>
      </c>
      <c r="B2251" t="s">
        <v>9926</v>
      </c>
      <c r="C2251" t="s">
        <v>4469</v>
      </c>
      <c r="F2251">
        <v>1</v>
      </c>
      <c r="G2251" s="1" t="s">
        <v>2367</v>
      </c>
      <c r="I2251" s="1" t="s">
        <v>11473</v>
      </c>
      <c r="O2251" t="s">
        <v>22</v>
      </c>
    </row>
    <row r="2252" spans="1:15">
      <c r="A2252" t="s">
        <v>7126</v>
      </c>
      <c r="B2252" t="s">
        <v>7126</v>
      </c>
      <c r="C2252" t="s">
        <v>4470</v>
      </c>
      <c r="F2252">
        <v>1</v>
      </c>
      <c r="G2252" s="1" t="s">
        <v>2368</v>
      </c>
      <c r="I2252" s="1" t="s">
        <v>11473</v>
      </c>
      <c r="O2252" t="s">
        <v>22</v>
      </c>
    </row>
    <row r="2253" spans="1:15">
      <c r="A2253" t="s">
        <v>8227</v>
      </c>
      <c r="B2253" t="s">
        <v>8227</v>
      </c>
      <c r="C2253" t="s">
        <v>4875</v>
      </c>
      <c r="F2253">
        <v>1</v>
      </c>
      <c r="G2253" s="1" t="s">
        <v>2369</v>
      </c>
      <c r="I2253" s="1" t="s">
        <v>11473</v>
      </c>
      <c r="O2253" t="s">
        <v>22</v>
      </c>
    </row>
    <row r="2254" spans="1:15">
      <c r="A2254" t="s">
        <v>6981</v>
      </c>
      <c r="B2254" t="s">
        <v>6981</v>
      </c>
      <c r="C2254" t="s">
        <v>6982</v>
      </c>
      <c r="F2254">
        <v>1</v>
      </c>
      <c r="G2254" s="1" t="s">
        <v>2370</v>
      </c>
      <c r="I2254" s="1" t="s">
        <v>11473</v>
      </c>
      <c r="O2254" t="s">
        <v>22</v>
      </c>
    </row>
    <row r="2255" spans="1:15">
      <c r="A2255" t="s">
        <v>5574</v>
      </c>
      <c r="B2255" t="s">
        <v>5574</v>
      </c>
      <c r="C2255" t="s">
        <v>12</v>
      </c>
      <c r="F2255">
        <v>1</v>
      </c>
      <c r="G2255" s="1" t="s">
        <v>2371</v>
      </c>
      <c r="I2255" s="1" t="s">
        <v>11473</v>
      </c>
      <c r="O2255" t="s">
        <v>22</v>
      </c>
    </row>
    <row r="2256" spans="1:15">
      <c r="A2256" t="s">
        <v>9909</v>
      </c>
      <c r="B2256" t="s">
        <v>9909</v>
      </c>
      <c r="C2256" t="s">
        <v>12</v>
      </c>
      <c r="F2256">
        <v>1</v>
      </c>
      <c r="G2256" s="1" t="s">
        <v>2372</v>
      </c>
      <c r="I2256" s="1" t="s">
        <v>11473</v>
      </c>
      <c r="O2256" t="s">
        <v>22</v>
      </c>
    </row>
    <row r="2257" spans="1:15">
      <c r="A2257" t="s">
        <v>7233</v>
      </c>
      <c r="B2257" t="s">
        <v>7233</v>
      </c>
      <c r="C2257" t="s">
        <v>4598</v>
      </c>
      <c r="F2257">
        <v>1</v>
      </c>
      <c r="G2257" s="1" t="s">
        <v>2373</v>
      </c>
      <c r="I2257" s="1" t="s">
        <v>11473</v>
      </c>
      <c r="O2257" t="s">
        <v>22</v>
      </c>
    </row>
    <row r="2258" spans="1:15">
      <c r="A2258" t="s">
        <v>5887</v>
      </c>
      <c r="B2258" t="s">
        <v>5887</v>
      </c>
      <c r="C2258" t="s">
        <v>5888</v>
      </c>
      <c r="F2258">
        <v>1</v>
      </c>
      <c r="G2258" s="1" t="s">
        <v>2374</v>
      </c>
      <c r="I2258" s="1" t="s">
        <v>11473</v>
      </c>
      <c r="O2258" t="s">
        <v>22</v>
      </c>
    </row>
    <row r="2259" spans="1:15">
      <c r="A2259" t="s">
        <v>6246</v>
      </c>
      <c r="B2259" t="s">
        <v>6246</v>
      </c>
      <c r="C2259" t="s">
        <v>5888</v>
      </c>
      <c r="F2259">
        <v>1</v>
      </c>
      <c r="G2259" s="1" t="s">
        <v>2375</v>
      </c>
      <c r="I2259" s="1" t="s">
        <v>11473</v>
      </c>
      <c r="O2259" t="s">
        <v>22</v>
      </c>
    </row>
    <row r="2260" spans="1:15">
      <c r="A2260" t="s">
        <v>5564</v>
      </c>
      <c r="B2260" t="s">
        <v>5564</v>
      </c>
      <c r="C2260" t="s">
        <v>4190</v>
      </c>
      <c r="F2260">
        <v>1</v>
      </c>
      <c r="G2260" s="1" t="s">
        <v>2376</v>
      </c>
      <c r="I2260" s="1" t="s">
        <v>11473</v>
      </c>
      <c r="O2260" t="s">
        <v>22</v>
      </c>
    </row>
    <row r="2261" spans="1:15">
      <c r="A2261" t="s">
        <v>6042</v>
      </c>
      <c r="B2261" t="s">
        <v>6042</v>
      </c>
      <c r="C2261" t="s">
        <v>4667</v>
      </c>
      <c r="F2261">
        <v>1</v>
      </c>
      <c r="G2261" s="1" t="s">
        <v>2377</v>
      </c>
      <c r="I2261" s="1" t="s">
        <v>11473</v>
      </c>
      <c r="O2261" t="s">
        <v>22</v>
      </c>
    </row>
    <row r="2262" spans="1:15">
      <c r="A2262" t="s">
        <v>10017</v>
      </c>
      <c r="B2262" t="s">
        <v>10017</v>
      </c>
      <c r="C2262" t="s">
        <v>4667</v>
      </c>
      <c r="F2262">
        <v>1</v>
      </c>
      <c r="G2262" s="1" t="s">
        <v>2378</v>
      </c>
      <c r="I2262" s="1" t="s">
        <v>11473</v>
      </c>
      <c r="O2262" t="s">
        <v>22</v>
      </c>
    </row>
    <row r="2263" spans="1:15">
      <c r="A2263" t="s">
        <v>5165</v>
      </c>
      <c r="B2263" t="s">
        <v>5165</v>
      </c>
      <c r="C2263" t="s">
        <v>4667</v>
      </c>
      <c r="F2263">
        <v>1</v>
      </c>
      <c r="G2263" s="1" t="s">
        <v>2379</v>
      </c>
      <c r="I2263" s="1" t="s">
        <v>11473</v>
      </c>
      <c r="O2263" t="s">
        <v>22</v>
      </c>
    </row>
    <row r="2264" spans="1:15">
      <c r="A2264" t="s">
        <v>10589</v>
      </c>
      <c r="B2264" t="s">
        <v>10589</v>
      </c>
      <c r="C2264" t="s">
        <v>4667</v>
      </c>
      <c r="F2264">
        <v>1</v>
      </c>
      <c r="G2264" s="1" t="s">
        <v>2380</v>
      </c>
      <c r="I2264" s="1" t="s">
        <v>11473</v>
      </c>
      <c r="O2264" t="s">
        <v>22</v>
      </c>
    </row>
    <row r="2265" spans="1:15">
      <c r="A2265" t="s">
        <v>10385</v>
      </c>
      <c r="B2265" t="s">
        <v>10385</v>
      </c>
      <c r="C2265" t="s">
        <v>4247</v>
      </c>
      <c r="F2265">
        <v>1</v>
      </c>
      <c r="G2265" s="1" t="s">
        <v>2381</v>
      </c>
      <c r="I2265" s="1" t="s">
        <v>11473</v>
      </c>
      <c r="O2265" t="s">
        <v>22</v>
      </c>
    </row>
    <row r="2266" spans="1:15">
      <c r="A2266" t="s">
        <v>10659</v>
      </c>
      <c r="B2266" t="s">
        <v>10659</v>
      </c>
      <c r="C2266" t="s">
        <v>4247</v>
      </c>
      <c r="F2266">
        <v>1</v>
      </c>
      <c r="G2266" s="1" t="s">
        <v>2382</v>
      </c>
      <c r="I2266" s="1" t="s">
        <v>11473</v>
      </c>
      <c r="O2266" t="s">
        <v>22</v>
      </c>
    </row>
    <row r="2267" spans="1:15">
      <c r="A2267" t="s">
        <v>11349</v>
      </c>
      <c r="B2267" t="s">
        <v>11349</v>
      </c>
      <c r="C2267" t="s">
        <v>4247</v>
      </c>
      <c r="F2267">
        <v>1</v>
      </c>
      <c r="G2267" s="1" t="s">
        <v>2383</v>
      </c>
      <c r="I2267" s="1" t="s">
        <v>11473</v>
      </c>
      <c r="O2267" t="s">
        <v>22</v>
      </c>
    </row>
    <row r="2268" spans="1:15">
      <c r="A2268" t="s">
        <v>5567</v>
      </c>
      <c r="B2268" t="s">
        <v>5567</v>
      </c>
      <c r="C2268" t="s">
        <v>5568</v>
      </c>
      <c r="F2268">
        <v>1</v>
      </c>
      <c r="G2268" s="1" t="s">
        <v>2384</v>
      </c>
      <c r="I2268" s="1" t="s">
        <v>11473</v>
      </c>
      <c r="O2268" t="s">
        <v>22</v>
      </c>
    </row>
    <row r="2269" spans="1:15">
      <c r="A2269" t="s">
        <v>5839</v>
      </c>
      <c r="B2269" t="s">
        <v>5839</v>
      </c>
      <c r="C2269" t="s">
        <v>5568</v>
      </c>
      <c r="F2269">
        <v>1</v>
      </c>
      <c r="G2269" s="1" t="s">
        <v>2385</v>
      </c>
      <c r="I2269" s="1" t="s">
        <v>11473</v>
      </c>
      <c r="O2269" t="s">
        <v>22</v>
      </c>
    </row>
    <row r="2270" spans="1:15">
      <c r="A2270" t="s">
        <v>8096</v>
      </c>
      <c r="B2270" t="s">
        <v>8096</v>
      </c>
      <c r="C2270" t="s">
        <v>5568</v>
      </c>
      <c r="F2270">
        <v>1</v>
      </c>
      <c r="G2270" s="1" t="s">
        <v>2386</v>
      </c>
      <c r="I2270" s="1" t="s">
        <v>11473</v>
      </c>
      <c r="O2270" t="s">
        <v>22</v>
      </c>
    </row>
    <row r="2271" spans="1:15">
      <c r="A2271" t="s">
        <v>8279</v>
      </c>
      <c r="B2271" t="s">
        <v>8279</v>
      </c>
      <c r="C2271" t="s">
        <v>5568</v>
      </c>
      <c r="F2271">
        <v>1</v>
      </c>
      <c r="G2271" s="1" t="s">
        <v>2387</v>
      </c>
      <c r="I2271" s="1" t="s">
        <v>11473</v>
      </c>
      <c r="O2271" t="s">
        <v>22</v>
      </c>
    </row>
    <row r="2272" spans="1:15">
      <c r="A2272" t="s">
        <v>10410</v>
      </c>
      <c r="B2272" t="s">
        <v>10410</v>
      </c>
      <c r="C2272" t="s">
        <v>10411</v>
      </c>
      <c r="F2272">
        <v>1</v>
      </c>
      <c r="G2272" s="1" t="s">
        <v>2388</v>
      </c>
      <c r="I2272" s="1" t="s">
        <v>11473</v>
      </c>
      <c r="O2272" t="s">
        <v>22</v>
      </c>
    </row>
    <row r="2273" spans="1:15">
      <c r="A2273" t="s">
        <v>10307</v>
      </c>
      <c r="B2273" t="s">
        <v>10307</v>
      </c>
      <c r="C2273" t="s">
        <v>4694</v>
      </c>
      <c r="F2273">
        <v>1</v>
      </c>
      <c r="G2273" s="1" t="s">
        <v>2389</v>
      </c>
      <c r="I2273" s="1" t="s">
        <v>11473</v>
      </c>
      <c r="O2273" t="s">
        <v>22</v>
      </c>
    </row>
    <row r="2274" spans="1:15">
      <c r="A2274" t="s">
        <v>10902</v>
      </c>
      <c r="B2274" t="s">
        <v>10902</v>
      </c>
      <c r="C2274" t="s">
        <v>4694</v>
      </c>
      <c r="F2274">
        <v>1</v>
      </c>
      <c r="G2274" s="1" t="s">
        <v>2390</v>
      </c>
      <c r="I2274" s="1" t="s">
        <v>11473</v>
      </c>
      <c r="O2274" t="s">
        <v>22</v>
      </c>
    </row>
    <row r="2275" spans="1:15">
      <c r="A2275" t="s">
        <v>6081</v>
      </c>
      <c r="B2275" t="s">
        <v>6081</v>
      </c>
      <c r="C2275" t="s">
        <v>4471</v>
      </c>
      <c r="F2275">
        <v>1</v>
      </c>
      <c r="G2275" s="1" t="s">
        <v>2391</v>
      </c>
      <c r="I2275" s="1" t="s">
        <v>11473</v>
      </c>
      <c r="O2275" t="s">
        <v>22</v>
      </c>
    </row>
    <row r="2276" spans="1:15">
      <c r="A2276" t="s">
        <v>10625</v>
      </c>
      <c r="B2276" t="s">
        <v>10625</v>
      </c>
      <c r="C2276" t="s">
        <v>4471</v>
      </c>
      <c r="F2276">
        <v>1</v>
      </c>
      <c r="G2276" s="1" t="s">
        <v>2392</v>
      </c>
      <c r="I2276" s="1" t="s">
        <v>11473</v>
      </c>
      <c r="O2276" t="s">
        <v>22</v>
      </c>
    </row>
    <row r="2277" spans="1:15">
      <c r="A2277" t="s">
        <v>11027</v>
      </c>
      <c r="B2277" t="s">
        <v>11027</v>
      </c>
      <c r="C2277" t="s">
        <v>4611</v>
      </c>
      <c r="F2277">
        <v>1</v>
      </c>
      <c r="G2277" s="1" t="s">
        <v>2393</v>
      </c>
      <c r="I2277" s="1" t="s">
        <v>11473</v>
      </c>
      <c r="O2277" t="s">
        <v>22</v>
      </c>
    </row>
    <row r="2278" spans="1:15">
      <c r="A2278" t="s">
        <v>7249</v>
      </c>
      <c r="B2278" t="s">
        <v>7249</v>
      </c>
      <c r="C2278" t="s">
        <v>4304</v>
      </c>
      <c r="F2278">
        <v>1</v>
      </c>
      <c r="G2278" s="1" t="s">
        <v>2394</v>
      </c>
      <c r="I2278" s="1" t="s">
        <v>11473</v>
      </c>
      <c r="O2278" t="s">
        <v>22</v>
      </c>
    </row>
    <row r="2279" spans="1:15">
      <c r="A2279" t="s">
        <v>7250</v>
      </c>
      <c r="B2279" t="s">
        <v>7250</v>
      </c>
      <c r="C2279" t="s">
        <v>4288</v>
      </c>
      <c r="F2279">
        <v>1</v>
      </c>
      <c r="G2279" s="1" t="s">
        <v>2395</v>
      </c>
      <c r="I2279" s="1" t="s">
        <v>11473</v>
      </c>
      <c r="O2279" t="s">
        <v>22</v>
      </c>
    </row>
    <row r="2280" spans="1:15">
      <c r="A2280" t="s">
        <v>10691</v>
      </c>
      <c r="B2280" t="s">
        <v>10691</v>
      </c>
      <c r="C2280" t="s">
        <v>4288</v>
      </c>
      <c r="F2280">
        <v>1</v>
      </c>
      <c r="G2280" s="1" t="s">
        <v>2396</v>
      </c>
      <c r="I2280" s="1" t="s">
        <v>11473</v>
      </c>
      <c r="O2280" t="s">
        <v>22</v>
      </c>
    </row>
    <row r="2281" spans="1:15">
      <c r="A2281" t="s">
        <v>5883</v>
      </c>
      <c r="B2281" t="s">
        <v>5883</v>
      </c>
      <c r="C2281" t="s">
        <v>5884</v>
      </c>
      <c r="F2281">
        <v>1</v>
      </c>
      <c r="G2281" s="1" t="s">
        <v>2397</v>
      </c>
      <c r="I2281" s="1" t="s">
        <v>11473</v>
      </c>
      <c r="O2281" t="s">
        <v>22</v>
      </c>
    </row>
    <row r="2282" spans="1:15">
      <c r="A2282" t="s">
        <v>9912</v>
      </c>
      <c r="B2282" t="s">
        <v>9912</v>
      </c>
      <c r="C2282" t="s">
        <v>5884</v>
      </c>
      <c r="F2282">
        <v>1</v>
      </c>
      <c r="G2282" s="1" t="s">
        <v>2398</v>
      </c>
      <c r="I2282" s="1" t="s">
        <v>11473</v>
      </c>
      <c r="O2282" t="s">
        <v>22</v>
      </c>
    </row>
    <row r="2283" spans="1:15">
      <c r="A2283" t="s">
        <v>5904</v>
      </c>
      <c r="B2283" t="s">
        <v>5904</v>
      </c>
      <c r="C2283" t="s">
        <v>5905</v>
      </c>
      <c r="F2283">
        <v>1</v>
      </c>
      <c r="G2283" s="1" t="s">
        <v>2399</v>
      </c>
      <c r="I2283" s="1" t="s">
        <v>11473</v>
      </c>
      <c r="O2283" t="s">
        <v>22</v>
      </c>
    </row>
    <row r="2284" spans="1:15">
      <c r="A2284" t="s">
        <v>5456</v>
      </c>
      <c r="B2284" t="s">
        <v>5456</v>
      </c>
      <c r="C2284" t="s">
        <v>4106</v>
      </c>
      <c r="F2284">
        <v>1</v>
      </c>
      <c r="G2284" s="1" t="s">
        <v>2400</v>
      </c>
      <c r="I2284" s="1" t="s">
        <v>11473</v>
      </c>
      <c r="O2284" t="s">
        <v>22</v>
      </c>
    </row>
    <row r="2285" spans="1:15">
      <c r="A2285" t="s">
        <v>7131</v>
      </c>
      <c r="B2285" t="s">
        <v>7131</v>
      </c>
      <c r="C2285" t="s">
        <v>4106</v>
      </c>
      <c r="F2285">
        <v>1</v>
      </c>
      <c r="G2285" s="1" t="s">
        <v>2401</v>
      </c>
      <c r="I2285" s="1" t="s">
        <v>11473</v>
      </c>
      <c r="O2285" t="s">
        <v>22</v>
      </c>
    </row>
    <row r="2286" spans="1:15">
      <c r="A2286" t="s">
        <v>5421</v>
      </c>
      <c r="B2286" t="s">
        <v>5421</v>
      </c>
      <c r="C2286" t="s">
        <v>4236</v>
      </c>
      <c r="F2286">
        <v>1</v>
      </c>
      <c r="G2286" s="1" t="s">
        <v>2402</v>
      </c>
      <c r="I2286" s="1" t="s">
        <v>11473</v>
      </c>
      <c r="O2286" t="s">
        <v>22</v>
      </c>
    </row>
    <row r="2287" spans="1:15">
      <c r="A2287" t="s">
        <v>5551</v>
      </c>
      <c r="B2287" t="s">
        <v>5551</v>
      </c>
      <c r="C2287" t="s">
        <v>4236</v>
      </c>
      <c r="F2287">
        <v>1</v>
      </c>
      <c r="G2287" s="1" t="s">
        <v>2403</v>
      </c>
      <c r="I2287" s="1" t="s">
        <v>11473</v>
      </c>
      <c r="O2287" t="s">
        <v>22</v>
      </c>
    </row>
    <row r="2288" spans="1:15">
      <c r="A2288" t="s">
        <v>9950</v>
      </c>
      <c r="B2288" t="s">
        <v>9950</v>
      </c>
      <c r="C2288" t="s">
        <v>4696</v>
      </c>
      <c r="F2288">
        <v>1</v>
      </c>
      <c r="G2288" s="1" t="s">
        <v>2404</v>
      </c>
      <c r="I2288" s="1" t="s">
        <v>11473</v>
      </c>
      <c r="O2288" t="s">
        <v>22</v>
      </c>
    </row>
    <row r="2289" spans="1:15">
      <c r="A2289" t="s">
        <v>9314</v>
      </c>
      <c r="B2289" t="s">
        <v>9314</v>
      </c>
      <c r="C2289" t="s">
        <v>5076</v>
      </c>
      <c r="F2289">
        <v>1</v>
      </c>
      <c r="G2289" s="1" t="s">
        <v>2405</v>
      </c>
      <c r="I2289" s="1" t="s">
        <v>11473</v>
      </c>
      <c r="O2289" t="s">
        <v>22</v>
      </c>
    </row>
    <row r="2290" spans="1:15">
      <c r="A2290" t="s">
        <v>9194</v>
      </c>
      <c r="B2290" t="s">
        <v>9194</v>
      </c>
      <c r="C2290" t="s">
        <v>4853</v>
      </c>
      <c r="F2290">
        <v>1</v>
      </c>
      <c r="G2290" s="1" t="s">
        <v>2406</v>
      </c>
      <c r="I2290" s="1" t="s">
        <v>11473</v>
      </c>
      <c r="O2290" t="s">
        <v>22</v>
      </c>
    </row>
    <row r="2291" spans="1:15">
      <c r="A2291" t="s">
        <v>10271</v>
      </c>
      <c r="B2291" t="s">
        <v>10271</v>
      </c>
      <c r="C2291" t="s">
        <v>4853</v>
      </c>
      <c r="F2291">
        <v>1</v>
      </c>
      <c r="G2291" s="1" t="s">
        <v>2407</v>
      </c>
      <c r="I2291" s="1" t="s">
        <v>11473</v>
      </c>
      <c r="O2291" t="s">
        <v>22</v>
      </c>
    </row>
    <row r="2292" spans="1:15">
      <c r="A2292" t="s">
        <v>9819</v>
      </c>
      <c r="B2292" t="s">
        <v>9819</v>
      </c>
      <c r="C2292" t="s">
        <v>4716</v>
      </c>
      <c r="F2292">
        <v>1</v>
      </c>
      <c r="G2292" s="1" t="s">
        <v>2408</v>
      </c>
      <c r="I2292" s="1" t="s">
        <v>11473</v>
      </c>
      <c r="O2292" t="s">
        <v>22</v>
      </c>
    </row>
    <row r="2293" spans="1:15">
      <c r="A2293" t="s">
        <v>9800</v>
      </c>
      <c r="B2293" t="s">
        <v>9800</v>
      </c>
      <c r="C2293" t="s">
        <v>9801</v>
      </c>
      <c r="F2293">
        <v>1</v>
      </c>
      <c r="G2293" s="1" t="s">
        <v>2409</v>
      </c>
      <c r="I2293" s="1" t="s">
        <v>11473</v>
      </c>
      <c r="O2293" t="s">
        <v>22</v>
      </c>
    </row>
    <row r="2294" spans="1:15">
      <c r="A2294" t="s">
        <v>9540</v>
      </c>
      <c r="B2294" t="s">
        <v>9540</v>
      </c>
      <c r="C2294" t="s">
        <v>5044</v>
      </c>
      <c r="F2294">
        <v>1</v>
      </c>
      <c r="G2294" s="1" t="s">
        <v>2410</v>
      </c>
      <c r="I2294" s="1" t="s">
        <v>11473</v>
      </c>
      <c r="O2294" t="s">
        <v>22</v>
      </c>
    </row>
    <row r="2295" spans="1:15">
      <c r="A2295" t="s">
        <v>10615</v>
      </c>
      <c r="B2295" t="s">
        <v>10615</v>
      </c>
      <c r="C2295" t="s">
        <v>4033</v>
      </c>
      <c r="F2295">
        <v>1</v>
      </c>
      <c r="G2295" s="1" t="s">
        <v>2411</v>
      </c>
      <c r="I2295" s="1" t="s">
        <v>11473</v>
      </c>
      <c r="O2295" t="s">
        <v>22</v>
      </c>
    </row>
    <row r="2296" spans="1:15">
      <c r="A2296" t="s">
        <v>7127</v>
      </c>
      <c r="B2296" t="s">
        <v>7127</v>
      </c>
      <c r="C2296" t="s">
        <v>4457</v>
      </c>
      <c r="F2296">
        <v>1</v>
      </c>
      <c r="G2296" s="1" t="s">
        <v>2412</v>
      </c>
      <c r="I2296" s="1" t="s">
        <v>11473</v>
      </c>
      <c r="O2296" t="s">
        <v>22</v>
      </c>
    </row>
    <row r="2297" spans="1:15">
      <c r="A2297" t="s">
        <v>5818</v>
      </c>
      <c r="B2297" t="s">
        <v>5818</v>
      </c>
      <c r="C2297" t="s">
        <v>4030</v>
      </c>
      <c r="F2297">
        <v>1</v>
      </c>
      <c r="G2297" s="1" t="s">
        <v>2413</v>
      </c>
      <c r="I2297" s="1" t="s">
        <v>11473</v>
      </c>
      <c r="O2297" t="s">
        <v>22</v>
      </c>
    </row>
    <row r="2298" spans="1:15">
      <c r="A2298" t="s">
        <v>7132</v>
      </c>
      <c r="B2298" t="s">
        <v>7132</v>
      </c>
      <c r="C2298" t="s">
        <v>4467</v>
      </c>
      <c r="F2298">
        <v>1</v>
      </c>
      <c r="G2298" s="1" t="s">
        <v>2414</v>
      </c>
      <c r="I2298" s="1" t="s">
        <v>11473</v>
      </c>
      <c r="O2298" t="s">
        <v>22</v>
      </c>
    </row>
    <row r="2299" spans="1:15">
      <c r="A2299" t="s">
        <v>8427</v>
      </c>
      <c r="B2299" t="s">
        <v>8427</v>
      </c>
      <c r="C2299" t="s">
        <v>4467</v>
      </c>
      <c r="F2299">
        <v>1</v>
      </c>
      <c r="G2299" s="1" t="s">
        <v>2415</v>
      </c>
      <c r="I2299" s="1" t="s">
        <v>11473</v>
      </c>
      <c r="O2299" t="s">
        <v>22</v>
      </c>
    </row>
    <row r="2300" spans="1:15">
      <c r="A2300" t="s">
        <v>7115</v>
      </c>
      <c r="B2300" t="s">
        <v>7115</v>
      </c>
      <c r="C2300" t="s">
        <v>4296</v>
      </c>
      <c r="F2300">
        <v>1</v>
      </c>
      <c r="G2300" s="1" t="s">
        <v>2416</v>
      </c>
      <c r="I2300" s="1" t="s">
        <v>11473</v>
      </c>
      <c r="O2300" t="s">
        <v>22</v>
      </c>
    </row>
    <row r="2301" spans="1:15">
      <c r="A2301" t="s">
        <v>9812</v>
      </c>
      <c r="B2301" t="s">
        <v>9812</v>
      </c>
      <c r="C2301" t="s">
        <v>4296</v>
      </c>
      <c r="F2301">
        <v>1</v>
      </c>
      <c r="G2301" s="1" t="s">
        <v>2417</v>
      </c>
      <c r="I2301" s="1" t="s">
        <v>11473</v>
      </c>
      <c r="O2301" t="s">
        <v>22</v>
      </c>
    </row>
    <row r="2302" spans="1:15">
      <c r="A2302" t="s">
        <v>10770</v>
      </c>
      <c r="B2302" t="s">
        <v>10770</v>
      </c>
      <c r="C2302" t="s">
        <v>4296</v>
      </c>
      <c r="F2302">
        <v>1</v>
      </c>
      <c r="G2302" s="1" t="s">
        <v>2418</v>
      </c>
      <c r="I2302" s="1" t="s">
        <v>11473</v>
      </c>
      <c r="O2302" t="s">
        <v>22</v>
      </c>
    </row>
    <row r="2303" spans="1:15">
      <c r="A2303" t="s">
        <v>6096</v>
      </c>
      <c r="B2303" t="s">
        <v>6096</v>
      </c>
      <c r="C2303" t="s">
        <v>4659</v>
      </c>
      <c r="F2303">
        <v>1</v>
      </c>
      <c r="G2303" s="1" t="s">
        <v>2419</v>
      </c>
      <c r="I2303" s="1" t="s">
        <v>11473</v>
      </c>
      <c r="O2303" t="s">
        <v>22</v>
      </c>
    </row>
    <row r="2304" spans="1:15">
      <c r="A2304" t="s">
        <v>6241</v>
      </c>
      <c r="B2304" t="s">
        <v>6241</v>
      </c>
      <c r="C2304" t="s">
        <v>4659</v>
      </c>
      <c r="F2304">
        <v>1</v>
      </c>
      <c r="G2304" s="1" t="s">
        <v>2420</v>
      </c>
      <c r="I2304" s="1" t="s">
        <v>11473</v>
      </c>
      <c r="O2304" t="s">
        <v>22</v>
      </c>
    </row>
    <row r="2305" spans="1:15">
      <c r="A2305" t="s">
        <v>6071</v>
      </c>
      <c r="B2305" t="s">
        <v>6071</v>
      </c>
      <c r="C2305" t="s">
        <v>4198</v>
      </c>
      <c r="F2305">
        <v>1</v>
      </c>
      <c r="G2305" s="1" t="s">
        <v>2421</v>
      </c>
      <c r="I2305" s="1" t="s">
        <v>11473</v>
      </c>
      <c r="O2305" t="s">
        <v>22</v>
      </c>
    </row>
    <row r="2306" spans="1:15">
      <c r="A2306" t="s">
        <v>7054</v>
      </c>
      <c r="B2306" t="s">
        <v>7054</v>
      </c>
      <c r="C2306" t="s">
        <v>4198</v>
      </c>
      <c r="F2306">
        <v>1</v>
      </c>
      <c r="G2306" s="1" t="s">
        <v>2422</v>
      </c>
      <c r="I2306" s="1" t="s">
        <v>11473</v>
      </c>
      <c r="O2306" t="s">
        <v>22</v>
      </c>
    </row>
    <row r="2307" spans="1:15">
      <c r="A2307" t="s">
        <v>8177</v>
      </c>
      <c r="B2307" t="s">
        <v>8177</v>
      </c>
      <c r="C2307" t="s">
        <v>4198</v>
      </c>
      <c r="F2307">
        <v>1</v>
      </c>
      <c r="G2307" s="1" t="s">
        <v>2423</v>
      </c>
      <c r="I2307" s="1" t="s">
        <v>11473</v>
      </c>
      <c r="O2307" t="s">
        <v>22</v>
      </c>
    </row>
    <row r="2308" spans="1:15">
      <c r="A2308" t="s">
        <v>8379</v>
      </c>
      <c r="B2308" t="s">
        <v>8379</v>
      </c>
      <c r="C2308" t="s">
        <v>4198</v>
      </c>
      <c r="F2308">
        <v>1</v>
      </c>
      <c r="G2308" s="1" t="s">
        <v>2424</v>
      </c>
      <c r="I2308" s="1" t="s">
        <v>11473</v>
      </c>
      <c r="O2308" t="s">
        <v>22</v>
      </c>
    </row>
    <row r="2309" spans="1:15">
      <c r="A2309" t="s">
        <v>7721</v>
      </c>
      <c r="B2309" t="s">
        <v>7721</v>
      </c>
      <c r="C2309" t="s">
        <v>5355</v>
      </c>
      <c r="F2309">
        <v>1</v>
      </c>
      <c r="G2309" s="1" t="s">
        <v>2425</v>
      </c>
      <c r="I2309" s="1" t="s">
        <v>11473</v>
      </c>
      <c r="O2309" t="s">
        <v>22</v>
      </c>
    </row>
    <row r="2310" spans="1:15">
      <c r="A2310" t="s">
        <v>9711</v>
      </c>
      <c r="B2310" t="s">
        <v>9711</v>
      </c>
      <c r="C2310" t="s">
        <v>5355</v>
      </c>
      <c r="F2310">
        <v>1</v>
      </c>
      <c r="G2310" s="1" t="s">
        <v>2426</v>
      </c>
      <c r="I2310" s="1" t="s">
        <v>11473</v>
      </c>
      <c r="O2310" t="s">
        <v>22</v>
      </c>
    </row>
    <row r="2311" spans="1:15">
      <c r="A2311" t="s">
        <v>10172</v>
      </c>
      <c r="B2311" t="s">
        <v>10172</v>
      </c>
      <c r="C2311" t="s">
        <v>5355</v>
      </c>
      <c r="F2311">
        <v>1</v>
      </c>
      <c r="G2311" s="1" t="s">
        <v>2427</v>
      </c>
      <c r="I2311" s="1" t="s">
        <v>11473</v>
      </c>
      <c r="O2311" t="s">
        <v>22</v>
      </c>
    </row>
    <row r="2312" spans="1:15">
      <c r="A2312" t="s">
        <v>10547</v>
      </c>
      <c r="B2312" t="s">
        <v>10547</v>
      </c>
      <c r="C2312" t="s">
        <v>5355</v>
      </c>
      <c r="F2312">
        <v>1</v>
      </c>
      <c r="G2312" s="1" t="s">
        <v>2428</v>
      </c>
      <c r="I2312" s="1" t="s">
        <v>11473</v>
      </c>
      <c r="O2312" t="s">
        <v>22</v>
      </c>
    </row>
    <row r="2313" spans="1:15">
      <c r="A2313" t="s">
        <v>11251</v>
      </c>
      <c r="B2313" t="s">
        <v>11251</v>
      </c>
      <c r="C2313" t="s">
        <v>4104</v>
      </c>
      <c r="F2313">
        <v>1</v>
      </c>
      <c r="G2313" s="1" t="s">
        <v>2429</v>
      </c>
      <c r="I2313" s="1" t="s">
        <v>11473</v>
      </c>
      <c r="O2313" t="s">
        <v>22</v>
      </c>
    </row>
    <row r="2314" spans="1:15">
      <c r="A2314" t="s">
        <v>7235</v>
      </c>
      <c r="B2314" t="s">
        <v>7235</v>
      </c>
      <c r="C2314" t="s">
        <v>4073</v>
      </c>
      <c r="F2314">
        <v>1</v>
      </c>
      <c r="G2314" s="1" t="s">
        <v>2430</v>
      </c>
      <c r="I2314" s="1" t="s">
        <v>11473</v>
      </c>
      <c r="O2314" t="s">
        <v>22</v>
      </c>
    </row>
    <row r="2315" spans="1:15">
      <c r="A2315" t="s">
        <v>8607</v>
      </c>
      <c r="B2315" t="s">
        <v>8607</v>
      </c>
      <c r="C2315" t="s">
        <v>4073</v>
      </c>
      <c r="F2315">
        <v>1</v>
      </c>
      <c r="G2315" s="1" t="s">
        <v>2431</v>
      </c>
      <c r="I2315" s="1" t="s">
        <v>11473</v>
      </c>
      <c r="O2315" t="s">
        <v>22</v>
      </c>
    </row>
    <row r="2316" spans="1:15">
      <c r="A2316" t="s">
        <v>6949</v>
      </c>
      <c r="B2316" t="s">
        <v>6949</v>
      </c>
      <c r="C2316" t="s">
        <v>6950</v>
      </c>
      <c r="F2316">
        <v>1</v>
      </c>
      <c r="G2316" s="1" t="s">
        <v>2432</v>
      </c>
      <c r="I2316" s="1" t="s">
        <v>11473</v>
      </c>
      <c r="O2316" t="s">
        <v>22</v>
      </c>
    </row>
    <row r="2317" spans="1:15">
      <c r="A2317" t="s">
        <v>8580</v>
      </c>
      <c r="B2317" t="s">
        <v>8580</v>
      </c>
      <c r="C2317" t="s">
        <v>6950</v>
      </c>
      <c r="F2317">
        <v>1</v>
      </c>
      <c r="G2317" s="1" t="s">
        <v>2433</v>
      </c>
      <c r="I2317" s="1" t="s">
        <v>11473</v>
      </c>
      <c r="O2317" t="s">
        <v>22</v>
      </c>
    </row>
    <row r="2318" spans="1:15">
      <c r="A2318" t="s">
        <v>6249</v>
      </c>
      <c r="B2318" t="s">
        <v>6249</v>
      </c>
      <c r="C2318" t="s">
        <v>4683</v>
      </c>
      <c r="F2318">
        <v>1</v>
      </c>
      <c r="G2318" s="1" t="s">
        <v>2434</v>
      </c>
      <c r="I2318" s="1" t="s">
        <v>11473</v>
      </c>
      <c r="O2318" t="s">
        <v>22</v>
      </c>
    </row>
    <row r="2319" spans="1:15">
      <c r="A2319" t="s">
        <v>6932</v>
      </c>
      <c r="B2319" t="s">
        <v>6932</v>
      </c>
      <c r="C2319" t="s">
        <v>4683</v>
      </c>
      <c r="F2319">
        <v>1</v>
      </c>
      <c r="G2319" s="1" t="s">
        <v>2435</v>
      </c>
      <c r="I2319" s="1" t="s">
        <v>11473</v>
      </c>
      <c r="O2319" t="s">
        <v>22</v>
      </c>
    </row>
    <row r="2320" spans="1:15">
      <c r="A2320" t="s">
        <v>5458</v>
      </c>
      <c r="B2320" t="s">
        <v>5458</v>
      </c>
      <c r="C2320" t="s">
        <v>4666</v>
      </c>
      <c r="F2320">
        <v>1</v>
      </c>
      <c r="G2320" s="1" t="s">
        <v>2436</v>
      </c>
      <c r="I2320" s="1" t="s">
        <v>11473</v>
      </c>
      <c r="O2320" t="s">
        <v>22</v>
      </c>
    </row>
    <row r="2321" spans="1:15">
      <c r="A2321" t="s">
        <v>9280</v>
      </c>
      <c r="B2321" t="s">
        <v>9280</v>
      </c>
      <c r="C2321" t="s">
        <v>4666</v>
      </c>
      <c r="F2321">
        <v>1</v>
      </c>
      <c r="G2321" s="1" t="s">
        <v>2437</v>
      </c>
      <c r="I2321" s="1" t="s">
        <v>11473</v>
      </c>
      <c r="O2321" t="s">
        <v>22</v>
      </c>
    </row>
    <row r="2322" spans="1:15">
      <c r="A2322" t="s">
        <v>10018</v>
      </c>
      <c r="B2322" t="s">
        <v>10018</v>
      </c>
      <c r="C2322" t="s">
        <v>4589</v>
      </c>
      <c r="F2322">
        <v>1</v>
      </c>
      <c r="G2322" s="1" t="s">
        <v>2438</v>
      </c>
      <c r="I2322" s="1" t="s">
        <v>11473</v>
      </c>
      <c r="O2322" t="s">
        <v>22</v>
      </c>
    </row>
    <row r="2323" spans="1:15">
      <c r="A2323" t="s">
        <v>9802</v>
      </c>
      <c r="B2323" t="s">
        <v>9802</v>
      </c>
      <c r="C2323" t="s">
        <v>4860</v>
      </c>
      <c r="F2323">
        <v>1</v>
      </c>
      <c r="G2323" s="1" t="s">
        <v>2439</v>
      </c>
      <c r="I2323" s="1" t="s">
        <v>11473</v>
      </c>
      <c r="O2323" t="s">
        <v>22</v>
      </c>
    </row>
    <row r="2324" spans="1:15">
      <c r="A2324" t="s">
        <v>11018</v>
      </c>
      <c r="B2324" t="s">
        <v>11018</v>
      </c>
      <c r="C2324" t="s">
        <v>4860</v>
      </c>
      <c r="F2324">
        <v>1</v>
      </c>
      <c r="G2324" s="1" t="s">
        <v>2440</v>
      </c>
      <c r="I2324" s="1" t="s">
        <v>11473</v>
      </c>
      <c r="O2324" t="s">
        <v>22</v>
      </c>
    </row>
    <row r="2325" spans="1:15">
      <c r="A2325" t="s">
        <v>8079</v>
      </c>
      <c r="B2325" t="s">
        <v>8079</v>
      </c>
      <c r="C2325" t="s">
        <v>5095</v>
      </c>
      <c r="F2325">
        <v>1</v>
      </c>
      <c r="G2325" s="1" t="s">
        <v>2441</v>
      </c>
      <c r="I2325" s="1" t="s">
        <v>11473</v>
      </c>
      <c r="O2325" t="s">
        <v>22</v>
      </c>
    </row>
    <row r="2326" spans="1:15">
      <c r="A2326" t="s">
        <v>10873</v>
      </c>
      <c r="B2326" t="s">
        <v>10873</v>
      </c>
      <c r="C2326" t="s">
        <v>5095</v>
      </c>
      <c r="F2326">
        <v>1</v>
      </c>
      <c r="G2326" s="1" t="s">
        <v>2442</v>
      </c>
      <c r="I2326" s="1" t="s">
        <v>11473</v>
      </c>
      <c r="O2326" t="s">
        <v>22</v>
      </c>
    </row>
    <row r="2327" spans="1:15">
      <c r="A2327" t="s">
        <v>5890</v>
      </c>
      <c r="B2327" t="s">
        <v>5890</v>
      </c>
      <c r="C2327" t="s">
        <v>5096</v>
      </c>
      <c r="F2327">
        <v>1</v>
      </c>
      <c r="G2327" s="1" t="s">
        <v>2443</v>
      </c>
      <c r="I2327" s="1" t="s">
        <v>11473</v>
      </c>
      <c r="O2327" t="s">
        <v>22</v>
      </c>
    </row>
    <row r="2328" spans="1:15">
      <c r="A2328" t="s">
        <v>7255</v>
      </c>
      <c r="B2328" t="s">
        <v>7255</v>
      </c>
      <c r="C2328" t="s">
        <v>5096</v>
      </c>
      <c r="F2328">
        <v>1</v>
      </c>
      <c r="G2328" s="1" t="s">
        <v>2444</v>
      </c>
      <c r="I2328" s="1" t="s">
        <v>11473</v>
      </c>
      <c r="O2328" t="s">
        <v>22</v>
      </c>
    </row>
    <row r="2329" spans="1:15">
      <c r="A2329" t="s">
        <v>8531</v>
      </c>
      <c r="B2329" t="s">
        <v>8531</v>
      </c>
      <c r="C2329" t="s">
        <v>5096</v>
      </c>
      <c r="F2329">
        <v>1</v>
      </c>
      <c r="G2329" s="1" t="s">
        <v>2445</v>
      </c>
      <c r="I2329" s="1" t="s">
        <v>11473</v>
      </c>
      <c r="O2329" t="s">
        <v>22</v>
      </c>
    </row>
    <row r="2330" spans="1:15">
      <c r="A2330" t="s">
        <v>5452</v>
      </c>
      <c r="B2330" t="s">
        <v>5452</v>
      </c>
      <c r="C2330" t="s">
        <v>5453</v>
      </c>
      <c r="F2330">
        <v>1</v>
      </c>
      <c r="G2330" s="1" t="s">
        <v>2446</v>
      </c>
      <c r="I2330" s="1" t="s">
        <v>11473</v>
      </c>
      <c r="O2330" t="s">
        <v>22</v>
      </c>
    </row>
    <row r="2331" spans="1:15">
      <c r="A2331" t="s">
        <v>6112</v>
      </c>
      <c r="B2331" t="s">
        <v>6112</v>
      </c>
      <c r="C2331" t="s">
        <v>5453</v>
      </c>
      <c r="F2331">
        <v>1</v>
      </c>
      <c r="G2331" s="1" t="s">
        <v>2447</v>
      </c>
      <c r="I2331" s="1" t="s">
        <v>11473</v>
      </c>
      <c r="O2331" t="s">
        <v>22</v>
      </c>
    </row>
    <row r="2332" spans="1:15">
      <c r="A2332" t="s">
        <v>9220</v>
      </c>
      <c r="B2332" t="s">
        <v>9220</v>
      </c>
      <c r="C2332" t="s">
        <v>5453</v>
      </c>
      <c r="F2332">
        <v>1</v>
      </c>
      <c r="G2332" s="1" t="s">
        <v>2448</v>
      </c>
      <c r="I2332" s="1" t="s">
        <v>11473</v>
      </c>
      <c r="O2332" t="s">
        <v>22</v>
      </c>
    </row>
    <row r="2333" spans="1:15">
      <c r="A2333" t="s">
        <v>5908</v>
      </c>
      <c r="B2333" t="s">
        <v>5908</v>
      </c>
      <c r="C2333" t="s">
        <v>5909</v>
      </c>
      <c r="F2333">
        <v>1</v>
      </c>
      <c r="G2333" s="1" t="s">
        <v>2449</v>
      </c>
      <c r="I2333" s="1" t="s">
        <v>11473</v>
      </c>
      <c r="O2333" t="s">
        <v>22</v>
      </c>
    </row>
    <row r="2334" spans="1:15">
      <c r="A2334" t="s">
        <v>6087</v>
      </c>
      <c r="B2334" t="s">
        <v>6087</v>
      </c>
      <c r="C2334" t="s">
        <v>4588</v>
      </c>
      <c r="F2334">
        <v>1</v>
      </c>
      <c r="G2334" s="1" t="s">
        <v>2450</v>
      </c>
      <c r="I2334" s="1" t="s">
        <v>11473</v>
      </c>
      <c r="O2334" t="s">
        <v>22</v>
      </c>
    </row>
    <row r="2335" spans="1:15">
      <c r="A2335" t="s">
        <v>7254</v>
      </c>
      <c r="B2335" t="s">
        <v>7254</v>
      </c>
      <c r="C2335" t="s">
        <v>4588</v>
      </c>
      <c r="F2335">
        <v>1</v>
      </c>
      <c r="G2335" s="1" t="s">
        <v>2451</v>
      </c>
      <c r="I2335" s="1" t="s">
        <v>11473</v>
      </c>
      <c r="O2335" t="s">
        <v>22</v>
      </c>
    </row>
    <row r="2336" spans="1:15">
      <c r="A2336" t="s">
        <v>8993</v>
      </c>
      <c r="B2336" t="s">
        <v>8993</v>
      </c>
      <c r="C2336" t="s">
        <v>4588</v>
      </c>
      <c r="F2336">
        <v>1</v>
      </c>
      <c r="G2336" s="1" t="s">
        <v>2452</v>
      </c>
      <c r="I2336" s="1" t="s">
        <v>11473</v>
      </c>
      <c r="O2336" t="s">
        <v>22</v>
      </c>
    </row>
    <row r="2337" spans="1:15">
      <c r="A2337" t="s">
        <v>10417</v>
      </c>
      <c r="B2337" t="s">
        <v>10417</v>
      </c>
      <c r="C2337" t="s">
        <v>4588</v>
      </c>
      <c r="F2337">
        <v>1</v>
      </c>
      <c r="G2337" s="1" t="s">
        <v>2453</v>
      </c>
      <c r="I2337" s="1" t="s">
        <v>11473</v>
      </c>
      <c r="O2337" t="s">
        <v>22</v>
      </c>
    </row>
    <row r="2338" spans="1:15">
      <c r="A2338" t="s">
        <v>5880</v>
      </c>
      <c r="B2338" t="s">
        <v>5880</v>
      </c>
      <c r="C2338" t="s">
        <v>4214</v>
      </c>
      <c r="F2338">
        <v>1</v>
      </c>
      <c r="G2338" s="1" t="s">
        <v>2454</v>
      </c>
      <c r="I2338" s="1" t="s">
        <v>11473</v>
      </c>
      <c r="O2338" t="s">
        <v>22</v>
      </c>
    </row>
    <row r="2339" spans="1:15">
      <c r="A2339" t="s">
        <v>8219</v>
      </c>
      <c r="B2339" t="s">
        <v>8219</v>
      </c>
      <c r="C2339" t="s">
        <v>4214</v>
      </c>
      <c r="F2339">
        <v>1</v>
      </c>
      <c r="G2339" s="1" t="s">
        <v>2455</v>
      </c>
      <c r="I2339" s="1" t="s">
        <v>11473</v>
      </c>
      <c r="O2339" t="s">
        <v>22</v>
      </c>
    </row>
    <row r="2340" spans="1:15">
      <c r="A2340" t="s">
        <v>9047</v>
      </c>
      <c r="B2340" t="s">
        <v>9047</v>
      </c>
      <c r="C2340" t="s">
        <v>4214</v>
      </c>
      <c r="F2340">
        <v>1</v>
      </c>
      <c r="G2340" s="1" t="s">
        <v>2456</v>
      </c>
      <c r="I2340" s="1" t="s">
        <v>11473</v>
      </c>
      <c r="O2340" t="s">
        <v>22</v>
      </c>
    </row>
    <row r="2341" spans="1:15">
      <c r="A2341" t="s">
        <v>9300</v>
      </c>
      <c r="B2341" t="s">
        <v>9300</v>
      </c>
      <c r="C2341" t="s">
        <v>4214</v>
      </c>
      <c r="F2341">
        <v>1</v>
      </c>
      <c r="G2341" s="1" t="s">
        <v>2457</v>
      </c>
      <c r="I2341" s="1" t="s">
        <v>11473</v>
      </c>
      <c r="O2341" t="s">
        <v>22</v>
      </c>
    </row>
    <row r="2342" spans="1:15">
      <c r="A2342" t="s">
        <v>9797</v>
      </c>
      <c r="B2342" t="s">
        <v>9797</v>
      </c>
      <c r="C2342" t="s">
        <v>4214</v>
      </c>
      <c r="F2342">
        <v>1</v>
      </c>
      <c r="G2342" s="1" t="s">
        <v>2458</v>
      </c>
      <c r="I2342" s="1" t="s">
        <v>11473</v>
      </c>
      <c r="O2342" t="s">
        <v>22</v>
      </c>
    </row>
    <row r="2343" spans="1:15">
      <c r="A2343" t="s">
        <v>5450</v>
      </c>
      <c r="B2343" t="s">
        <v>5450</v>
      </c>
      <c r="C2343" t="s">
        <v>4567</v>
      </c>
      <c r="F2343">
        <v>1</v>
      </c>
      <c r="G2343" s="1" t="s">
        <v>2459</v>
      </c>
      <c r="I2343" s="1" t="s">
        <v>11473</v>
      </c>
      <c r="O2343" t="s">
        <v>22</v>
      </c>
    </row>
    <row r="2344" spans="1:15">
      <c r="A2344" t="s">
        <v>6962</v>
      </c>
      <c r="B2344" t="s">
        <v>6962</v>
      </c>
      <c r="C2344" t="s">
        <v>4567</v>
      </c>
      <c r="F2344">
        <v>1</v>
      </c>
      <c r="G2344" s="1" t="s">
        <v>2460</v>
      </c>
      <c r="I2344" s="1" t="s">
        <v>11473</v>
      </c>
      <c r="O2344" t="s">
        <v>22</v>
      </c>
    </row>
    <row r="2345" spans="1:15">
      <c r="A2345" t="s">
        <v>4662</v>
      </c>
      <c r="B2345" t="s">
        <v>4662</v>
      </c>
      <c r="C2345" t="s">
        <v>4657</v>
      </c>
      <c r="F2345">
        <v>1</v>
      </c>
      <c r="G2345" s="1" t="s">
        <v>2461</v>
      </c>
      <c r="I2345" s="1" t="s">
        <v>11473</v>
      </c>
      <c r="O2345" t="s">
        <v>22</v>
      </c>
    </row>
    <row r="2346" spans="1:15">
      <c r="A2346" t="s">
        <v>10184</v>
      </c>
      <c r="B2346" t="s">
        <v>10184</v>
      </c>
      <c r="C2346" t="s">
        <v>5301</v>
      </c>
      <c r="F2346">
        <v>1</v>
      </c>
      <c r="G2346" s="1" t="s">
        <v>2462</v>
      </c>
      <c r="I2346" s="1" t="s">
        <v>11473</v>
      </c>
      <c r="O2346" t="s">
        <v>22</v>
      </c>
    </row>
    <row r="2347" spans="1:15">
      <c r="A2347" t="s">
        <v>8409</v>
      </c>
      <c r="B2347" t="s">
        <v>8409</v>
      </c>
      <c r="C2347" t="s">
        <v>4950</v>
      </c>
      <c r="F2347">
        <v>1</v>
      </c>
      <c r="G2347" s="1" t="s">
        <v>2463</v>
      </c>
      <c r="I2347" s="1" t="s">
        <v>11473</v>
      </c>
      <c r="O2347" t="s">
        <v>22</v>
      </c>
    </row>
    <row r="2348" spans="1:15">
      <c r="A2348" t="s">
        <v>10012</v>
      </c>
      <c r="B2348" t="s">
        <v>10012</v>
      </c>
      <c r="C2348" t="s">
        <v>4950</v>
      </c>
      <c r="F2348">
        <v>1</v>
      </c>
      <c r="G2348" s="1" t="s">
        <v>2464</v>
      </c>
      <c r="I2348" s="1" t="s">
        <v>11473</v>
      </c>
      <c r="O2348" t="s">
        <v>22</v>
      </c>
    </row>
    <row r="2349" spans="1:15">
      <c r="A2349" t="s">
        <v>6256</v>
      </c>
      <c r="B2349" t="s">
        <v>6256</v>
      </c>
      <c r="C2349" t="s">
        <v>6257</v>
      </c>
      <c r="F2349">
        <v>1</v>
      </c>
      <c r="G2349" s="1" t="s">
        <v>2465</v>
      </c>
      <c r="I2349" s="1" t="s">
        <v>11473</v>
      </c>
      <c r="O2349" t="s">
        <v>22</v>
      </c>
    </row>
    <row r="2350" spans="1:15">
      <c r="A2350" t="s">
        <v>6075</v>
      </c>
      <c r="B2350" t="s">
        <v>6075</v>
      </c>
      <c r="C2350" t="s">
        <v>4168</v>
      </c>
      <c r="F2350">
        <v>1</v>
      </c>
      <c r="G2350" s="1" t="s">
        <v>2466</v>
      </c>
      <c r="I2350" s="1" t="s">
        <v>11473</v>
      </c>
      <c r="O2350" t="s">
        <v>22</v>
      </c>
    </row>
    <row r="2351" spans="1:15">
      <c r="A2351" t="s">
        <v>5451</v>
      </c>
      <c r="B2351" t="s">
        <v>5451</v>
      </c>
      <c r="C2351" t="s">
        <v>4664</v>
      </c>
      <c r="F2351">
        <v>1</v>
      </c>
      <c r="G2351" s="1" t="s">
        <v>2467</v>
      </c>
      <c r="I2351" s="1" t="s">
        <v>11473</v>
      </c>
      <c r="O2351" t="s">
        <v>22</v>
      </c>
    </row>
    <row r="2352" spans="1:15">
      <c r="A2352" t="s">
        <v>5457</v>
      </c>
      <c r="B2352" t="s">
        <v>5457</v>
      </c>
      <c r="C2352" t="s">
        <v>4199</v>
      </c>
      <c r="F2352">
        <v>1</v>
      </c>
      <c r="G2352" s="1" t="s">
        <v>2468</v>
      </c>
      <c r="I2352" s="1" t="s">
        <v>11473</v>
      </c>
      <c r="O2352" t="s">
        <v>22</v>
      </c>
    </row>
    <row r="2353" spans="1:15">
      <c r="A2353" t="s">
        <v>8452</v>
      </c>
      <c r="B2353" t="s">
        <v>8452</v>
      </c>
      <c r="C2353" t="s">
        <v>4466</v>
      </c>
      <c r="F2353">
        <v>1</v>
      </c>
      <c r="G2353" s="1" t="s">
        <v>2469</v>
      </c>
      <c r="I2353" s="1" t="s">
        <v>11473</v>
      </c>
      <c r="O2353" t="s">
        <v>22</v>
      </c>
    </row>
    <row r="2354" spans="1:15">
      <c r="A2354" t="s">
        <v>10013</v>
      </c>
      <c r="B2354" t="s">
        <v>10013</v>
      </c>
      <c r="C2354" t="s">
        <v>4466</v>
      </c>
      <c r="F2354">
        <v>1</v>
      </c>
      <c r="G2354" s="1" t="s">
        <v>2470</v>
      </c>
      <c r="I2354" s="1" t="s">
        <v>11473</v>
      </c>
      <c r="O2354" t="s">
        <v>22</v>
      </c>
    </row>
    <row r="2355" spans="1:15">
      <c r="A2355" t="s">
        <v>5915</v>
      </c>
      <c r="B2355" t="s">
        <v>5915</v>
      </c>
      <c r="C2355" t="s">
        <v>4473</v>
      </c>
      <c r="F2355">
        <v>1</v>
      </c>
      <c r="G2355" s="1" t="s">
        <v>2471</v>
      </c>
      <c r="I2355" s="1" t="s">
        <v>11473</v>
      </c>
      <c r="O2355" t="s">
        <v>22</v>
      </c>
    </row>
    <row r="2356" spans="1:15">
      <c r="A2356" t="s">
        <v>10359</v>
      </c>
      <c r="B2356" t="s">
        <v>10359</v>
      </c>
      <c r="C2356" t="s">
        <v>4473</v>
      </c>
      <c r="F2356">
        <v>1</v>
      </c>
      <c r="G2356" s="1" t="s">
        <v>2472</v>
      </c>
      <c r="I2356" s="1" t="s">
        <v>11473</v>
      </c>
      <c r="O2356" t="s">
        <v>22</v>
      </c>
    </row>
    <row r="2357" spans="1:15">
      <c r="A2357" t="s">
        <v>5465</v>
      </c>
      <c r="B2357" t="s">
        <v>5465</v>
      </c>
      <c r="C2357" t="s">
        <v>5111</v>
      </c>
      <c r="F2357">
        <v>1</v>
      </c>
      <c r="G2357" s="1" t="s">
        <v>2473</v>
      </c>
      <c r="I2357" s="1" t="s">
        <v>11473</v>
      </c>
      <c r="O2357" t="s">
        <v>22</v>
      </c>
    </row>
    <row r="2358" spans="1:15">
      <c r="A2358" t="s">
        <v>9825</v>
      </c>
      <c r="B2358" t="s">
        <v>9825</v>
      </c>
      <c r="C2358" t="s">
        <v>9826</v>
      </c>
      <c r="F2358">
        <v>1</v>
      </c>
      <c r="G2358" s="1" t="s">
        <v>2474</v>
      </c>
      <c r="I2358" s="1" t="s">
        <v>11473</v>
      </c>
      <c r="O2358" t="s">
        <v>22</v>
      </c>
    </row>
    <row r="2359" spans="1:15">
      <c r="A2359" t="s">
        <v>5897</v>
      </c>
      <c r="B2359" t="s">
        <v>5897</v>
      </c>
      <c r="C2359" t="s">
        <v>4593</v>
      </c>
      <c r="F2359">
        <v>1</v>
      </c>
      <c r="G2359" s="1" t="s">
        <v>2475</v>
      </c>
      <c r="I2359" s="1" t="s">
        <v>11473</v>
      </c>
      <c r="O2359" t="s">
        <v>22</v>
      </c>
    </row>
    <row r="2360" spans="1:15">
      <c r="A2360" t="s">
        <v>7243</v>
      </c>
      <c r="B2360" t="s">
        <v>7243</v>
      </c>
      <c r="C2360" t="s">
        <v>4842</v>
      </c>
      <c r="F2360">
        <v>1</v>
      </c>
      <c r="G2360" s="1" t="s">
        <v>2476</v>
      </c>
      <c r="I2360" s="1" t="s">
        <v>11473</v>
      </c>
      <c r="O2360" t="s">
        <v>22</v>
      </c>
    </row>
    <row r="2361" spans="1:15">
      <c r="A2361" t="s">
        <v>7509</v>
      </c>
      <c r="B2361" t="s">
        <v>7509</v>
      </c>
      <c r="C2361" t="s">
        <v>4842</v>
      </c>
      <c r="F2361">
        <v>1</v>
      </c>
      <c r="G2361" s="1" t="s">
        <v>2477</v>
      </c>
      <c r="I2361" s="1" t="s">
        <v>11473</v>
      </c>
      <c r="O2361" t="s">
        <v>22</v>
      </c>
    </row>
    <row r="2362" spans="1:15">
      <c r="A2362" t="s">
        <v>10186</v>
      </c>
      <c r="B2362" t="s">
        <v>10186</v>
      </c>
      <c r="C2362" t="s">
        <v>4609</v>
      </c>
      <c r="F2362">
        <v>1</v>
      </c>
      <c r="G2362" s="1" t="s">
        <v>2478</v>
      </c>
      <c r="I2362" s="1" t="s">
        <v>11473</v>
      </c>
      <c r="O2362" t="s">
        <v>22</v>
      </c>
    </row>
    <row r="2363" spans="1:15">
      <c r="A2363" t="s">
        <v>7393</v>
      </c>
      <c r="B2363" t="s">
        <v>7393</v>
      </c>
      <c r="C2363" t="s">
        <v>5249</v>
      </c>
      <c r="F2363">
        <v>1</v>
      </c>
      <c r="G2363" s="1" t="s">
        <v>2479</v>
      </c>
      <c r="I2363" s="1" t="s">
        <v>11473</v>
      </c>
      <c r="O2363" t="s">
        <v>22</v>
      </c>
    </row>
    <row r="2364" spans="1:15">
      <c r="A2364" t="s">
        <v>10662</v>
      </c>
      <c r="B2364" t="s">
        <v>10662</v>
      </c>
      <c r="C2364" t="s">
        <v>4810</v>
      </c>
      <c r="F2364">
        <v>1</v>
      </c>
      <c r="G2364" s="1" t="s">
        <v>2480</v>
      </c>
      <c r="I2364" s="1" t="s">
        <v>11473</v>
      </c>
      <c r="O2364" t="s">
        <v>22</v>
      </c>
    </row>
    <row r="2365" spans="1:15">
      <c r="A2365" t="s">
        <v>7251</v>
      </c>
      <c r="B2365" t="s">
        <v>7251</v>
      </c>
      <c r="C2365" t="s">
        <v>4610</v>
      </c>
      <c r="F2365">
        <v>1</v>
      </c>
      <c r="G2365" s="1" t="s">
        <v>2481</v>
      </c>
      <c r="I2365" s="1" t="s">
        <v>11473</v>
      </c>
      <c r="O2365" t="s">
        <v>22</v>
      </c>
    </row>
    <row r="2366" spans="1:15">
      <c r="A2366" t="s">
        <v>6095</v>
      </c>
      <c r="B2366" t="s">
        <v>6095</v>
      </c>
      <c r="C2366" t="s">
        <v>4592</v>
      </c>
      <c r="F2366">
        <v>1</v>
      </c>
      <c r="G2366" s="1" t="s">
        <v>2482</v>
      </c>
      <c r="I2366" s="1" t="s">
        <v>11473</v>
      </c>
      <c r="O2366" t="s">
        <v>22</v>
      </c>
    </row>
    <row r="2367" spans="1:15">
      <c r="A2367" t="s">
        <v>9529</v>
      </c>
      <c r="B2367" t="s">
        <v>9529</v>
      </c>
      <c r="C2367" t="s">
        <v>4592</v>
      </c>
      <c r="F2367">
        <v>1</v>
      </c>
      <c r="G2367" s="1" t="s">
        <v>2483</v>
      </c>
      <c r="I2367" s="1" t="s">
        <v>11473</v>
      </c>
      <c r="O2367" t="s">
        <v>22</v>
      </c>
    </row>
    <row r="2368" spans="1:15">
      <c r="A2368" t="s">
        <v>5873</v>
      </c>
      <c r="B2368" t="s">
        <v>5873</v>
      </c>
      <c r="C2368" t="s">
        <v>5299</v>
      </c>
      <c r="F2368">
        <v>1</v>
      </c>
      <c r="G2368" s="1" t="s">
        <v>2484</v>
      </c>
      <c r="I2368" s="1" t="s">
        <v>11473</v>
      </c>
      <c r="O2368" t="s">
        <v>22</v>
      </c>
    </row>
    <row r="2369" spans="1:15">
      <c r="A2369" t="s">
        <v>7231</v>
      </c>
      <c r="B2369" t="s">
        <v>7231</v>
      </c>
      <c r="C2369" t="s">
        <v>7232</v>
      </c>
      <c r="F2369">
        <v>1</v>
      </c>
      <c r="G2369" s="1" t="s">
        <v>2485</v>
      </c>
      <c r="I2369" s="1" t="s">
        <v>11473</v>
      </c>
      <c r="O2369" t="s">
        <v>22</v>
      </c>
    </row>
    <row r="2370" spans="1:15">
      <c r="A2370" t="s">
        <v>8103</v>
      </c>
      <c r="B2370" t="s">
        <v>8103</v>
      </c>
      <c r="C2370" t="s">
        <v>8104</v>
      </c>
      <c r="F2370">
        <v>1</v>
      </c>
      <c r="G2370" s="1" t="s">
        <v>2486</v>
      </c>
      <c r="I2370" s="1" t="s">
        <v>11473</v>
      </c>
      <c r="O2370" t="s">
        <v>22</v>
      </c>
    </row>
    <row r="2371" spans="1:15">
      <c r="A2371" t="s">
        <v>8296</v>
      </c>
      <c r="B2371" t="s">
        <v>8296</v>
      </c>
      <c r="C2371" t="s">
        <v>8104</v>
      </c>
      <c r="F2371">
        <v>1</v>
      </c>
      <c r="G2371" s="1" t="s">
        <v>2487</v>
      </c>
      <c r="I2371" s="1" t="s">
        <v>11473</v>
      </c>
      <c r="O2371" t="s">
        <v>22</v>
      </c>
    </row>
    <row r="2372" spans="1:15">
      <c r="A2372" t="s">
        <v>8367</v>
      </c>
      <c r="B2372" t="s">
        <v>8367</v>
      </c>
      <c r="C2372" t="s">
        <v>4985</v>
      </c>
      <c r="F2372">
        <v>1</v>
      </c>
      <c r="G2372" s="1" t="s">
        <v>2488</v>
      </c>
      <c r="I2372" s="1" t="s">
        <v>11473</v>
      </c>
      <c r="O2372" t="s">
        <v>22</v>
      </c>
    </row>
    <row r="2373" spans="1:15">
      <c r="A2373" t="s">
        <v>6713</v>
      </c>
      <c r="B2373" t="s">
        <v>6713</v>
      </c>
      <c r="C2373" t="s">
        <v>4871</v>
      </c>
      <c r="F2373">
        <v>1</v>
      </c>
      <c r="G2373" s="1" t="s">
        <v>2489</v>
      </c>
      <c r="I2373" s="1" t="s">
        <v>11473</v>
      </c>
      <c r="O2373" t="s">
        <v>22</v>
      </c>
    </row>
    <row r="2374" spans="1:15">
      <c r="A2374" t="s">
        <v>7143</v>
      </c>
      <c r="B2374" t="s">
        <v>7143</v>
      </c>
      <c r="C2374" t="s">
        <v>4871</v>
      </c>
      <c r="F2374">
        <v>1</v>
      </c>
      <c r="G2374" s="1" t="s">
        <v>2490</v>
      </c>
      <c r="I2374" s="1" t="s">
        <v>11473</v>
      </c>
      <c r="O2374" t="s">
        <v>22</v>
      </c>
    </row>
    <row r="2375" spans="1:15">
      <c r="A2375" t="s">
        <v>9123</v>
      </c>
      <c r="B2375" t="s">
        <v>9123</v>
      </c>
      <c r="C2375" t="s">
        <v>4871</v>
      </c>
      <c r="F2375">
        <v>1</v>
      </c>
      <c r="G2375" s="1" t="s">
        <v>2491</v>
      </c>
      <c r="I2375" s="1" t="s">
        <v>11473</v>
      </c>
      <c r="O2375" t="s">
        <v>22</v>
      </c>
    </row>
    <row r="2376" spans="1:15">
      <c r="A2376" t="s">
        <v>9786</v>
      </c>
      <c r="B2376" t="s">
        <v>9786</v>
      </c>
      <c r="C2376" t="s">
        <v>4682</v>
      </c>
      <c r="F2376">
        <v>1</v>
      </c>
      <c r="G2376" s="1" t="s">
        <v>2492</v>
      </c>
      <c r="I2376" s="1" t="s">
        <v>11473</v>
      </c>
      <c r="O2376" t="s">
        <v>22</v>
      </c>
    </row>
    <row r="2377" spans="1:15">
      <c r="A2377" t="s">
        <v>5874</v>
      </c>
      <c r="B2377" t="s">
        <v>5874</v>
      </c>
      <c r="C2377" t="s">
        <v>5875</v>
      </c>
      <c r="F2377">
        <v>1</v>
      </c>
      <c r="G2377" s="1" t="s">
        <v>2493</v>
      </c>
      <c r="I2377" s="1" t="s">
        <v>11473</v>
      </c>
      <c r="O2377" t="s">
        <v>22</v>
      </c>
    </row>
    <row r="2378" spans="1:15">
      <c r="A2378" t="s">
        <v>8424</v>
      </c>
      <c r="B2378" t="s">
        <v>8424</v>
      </c>
      <c r="C2378" t="s">
        <v>5875</v>
      </c>
      <c r="F2378">
        <v>1</v>
      </c>
      <c r="G2378" s="1" t="s">
        <v>2494</v>
      </c>
      <c r="I2378" s="1" t="s">
        <v>11473</v>
      </c>
      <c r="O2378" t="s">
        <v>22</v>
      </c>
    </row>
    <row r="2379" spans="1:15">
      <c r="A2379" t="s">
        <v>11443</v>
      </c>
      <c r="B2379" t="s">
        <v>11443</v>
      </c>
      <c r="C2379" t="s">
        <v>5875</v>
      </c>
      <c r="F2379">
        <v>1</v>
      </c>
      <c r="G2379" s="1" t="s">
        <v>2495</v>
      </c>
      <c r="I2379" s="1" t="s">
        <v>11473</v>
      </c>
      <c r="O2379" t="s">
        <v>22</v>
      </c>
    </row>
    <row r="2380" spans="1:15">
      <c r="A2380" t="s">
        <v>5895</v>
      </c>
      <c r="B2380" t="s">
        <v>5895</v>
      </c>
      <c r="C2380" t="s">
        <v>4668</v>
      </c>
      <c r="F2380">
        <v>1</v>
      </c>
      <c r="G2380" s="1" t="s">
        <v>2496</v>
      </c>
      <c r="I2380" s="1" t="s">
        <v>11473</v>
      </c>
      <c r="O2380" t="s">
        <v>22</v>
      </c>
    </row>
    <row r="2381" spans="1:15">
      <c r="A2381" t="s">
        <v>11445</v>
      </c>
      <c r="B2381" t="s">
        <v>11445</v>
      </c>
      <c r="C2381" t="s">
        <v>4668</v>
      </c>
      <c r="F2381">
        <v>1</v>
      </c>
      <c r="G2381" s="1" t="s">
        <v>2497</v>
      </c>
      <c r="I2381" s="1" t="s">
        <v>11473</v>
      </c>
      <c r="O2381" t="s">
        <v>22</v>
      </c>
    </row>
    <row r="2382" spans="1:15">
      <c r="A2382" t="s">
        <v>5445</v>
      </c>
      <c r="B2382" t="s">
        <v>5445</v>
      </c>
      <c r="C2382" t="s">
        <v>4601</v>
      </c>
      <c r="F2382">
        <v>1</v>
      </c>
      <c r="G2382" s="1" t="s">
        <v>2498</v>
      </c>
      <c r="I2382" s="1" t="s">
        <v>11473</v>
      </c>
      <c r="O2382" t="s">
        <v>22</v>
      </c>
    </row>
    <row r="2383" spans="1:15">
      <c r="A2383" t="s">
        <v>7386</v>
      </c>
      <c r="B2383" t="s">
        <v>7386</v>
      </c>
      <c r="C2383" t="s">
        <v>4601</v>
      </c>
      <c r="F2383">
        <v>1</v>
      </c>
      <c r="G2383" s="1" t="s">
        <v>2499</v>
      </c>
      <c r="I2383" s="1" t="s">
        <v>11473</v>
      </c>
      <c r="O2383" t="s">
        <v>22</v>
      </c>
    </row>
    <row r="2384" spans="1:15">
      <c r="A2384" t="s">
        <v>9301</v>
      </c>
      <c r="B2384" t="s">
        <v>9301</v>
      </c>
      <c r="C2384" t="s">
        <v>4601</v>
      </c>
      <c r="F2384">
        <v>1</v>
      </c>
      <c r="G2384" s="1" t="s">
        <v>2500</v>
      </c>
      <c r="I2384" s="1" t="s">
        <v>11473</v>
      </c>
      <c r="O2384" t="s">
        <v>22</v>
      </c>
    </row>
    <row r="2385" spans="1:15">
      <c r="A2385" t="s">
        <v>11446</v>
      </c>
      <c r="B2385" t="s">
        <v>11446</v>
      </c>
      <c r="C2385" t="s">
        <v>4601</v>
      </c>
      <c r="F2385">
        <v>1</v>
      </c>
      <c r="G2385" s="1" t="s">
        <v>2501</v>
      </c>
      <c r="I2385" s="1" t="s">
        <v>11473</v>
      </c>
      <c r="O2385" t="s">
        <v>22</v>
      </c>
    </row>
    <row r="2386" spans="1:15">
      <c r="A2386" t="s">
        <v>7117</v>
      </c>
      <c r="B2386" t="s">
        <v>7117</v>
      </c>
      <c r="C2386" t="s">
        <v>7118</v>
      </c>
      <c r="F2386">
        <v>1</v>
      </c>
      <c r="G2386" s="1" t="s">
        <v>2502</v>
      </c>
      <c r="I2386" s="1" t="s">
        <v>11473</v>
      </c>
      <c r="O2386" t="s">
        <v>22</v>
      </c>
    </row>
    <row r="2387" spans="1:15">
      <c r="A2387" t="s">
        <v>9310</v>
      </c>
      <c r="B2387" t="s">
        <v>9310</v>
      </c>
      <c r="C2387" t="s">
        <v>7118</v>
      </c>
      <c r="F2387">
        <v>1</v>
      </c>
      <c r="G2387" s="1" t="s">
        <v>2503</v>
      </c>
      <c r="I2387" s="1" t="s">
        <v>11473</v>
      </c>
      <c r="O2387" t="s">
        <v>22</v>
      </c>
    </row>
    <row r="2388" spans="1:15">
      <c r="A2388" t="s">
        <v>5921</v>
      </c>
      <c r="B2388" t="s">
        <v>5921</v>
      </c>
      <c r="C2388" t="s">
        <v>5922</v>
      </c>
      <c r="F2388">
        <v>1</v>
      </c>
      <c r="G2388" s="1" t="s">
        <v>2504</v>
      </c>
      <c r="I2388" s="1" t="s">
        <v>11473</v>
      </c>
      <c r="O2388" t="s">
        <v>22</v>
      </c>
    </row>
    <row r="2389" spans="1:15">
      <c r="A2389" t="s">
        <v>8420</v>
      </c>
      <c r="B2389" t="s">
        <v>8420</v>
      </c>
      <c r="C2389" t="s">
        <v>5293</v>
      </c>
      <c r="F2389">
        <v>1</v>
      </c>
      <c r="G2389" s="1" t="s">
        <v>2505</v>
      </c>
      <c r="I2389" s="1" t="s">
        <v>11473</v>
      </c>
      <c r="O2389" t="s">
        <v>22</v>
      </c>
    </row>
    <row r="2390" spans="1:15">
      <c r="A2390" t="s">
        <v>9352</v>
      </c>
      <c r="B2390" t="s">
        <v>9352</v>
      </c>
      <c r="C2390" t="s">
        <v>5293</v>
      </c>
      <c r="F2390">
        <v>1</v>
      </c>
      <c r="G2390" s="1" t="s">
        <v>2506</v>
      </c>
      <c r="I2390" s="1" t="s">
        <v>11473</v>
      </c>
      <c r="O2390" t="s">
        <v>22</v>
      </c>
    </row>
    <row r="2391" spans="1:15">
      <c r="A2391" t="s">
        <v>9312</v>
      </c>
      <c r="B2391" t="s">
        <v>9312</v>
      </c>
      <c r="C2391" t="s">
        <v>5224</v>
      </c>
      <c r="F2391">
        <v>1</v>
      </c>
      <c r="G2391" s="1" t="s">
        <v>2507</v>
      </c>
      <c r="I2391" s="1" t="s">
        <v>11473</v>
      </c>
      <c r="O2391" t="s">
        <v>22</v>
      </c>
    </row>
    <row r="2392" spans="1:15">
      <c r="A2392" t="s">
        <v>9951</v>
      </c>
      <c r="B2392" t="s">
        <v>9951</v>
      </c>
      <c r="C2392" t="s">
        <v>5224</v>
      </c>
      <c r="F2392">
        <v>1</v>
      </c>
      <c r="G2392" s="1" t="s">
        <v>2508</v>
      </c>
      <c r="I2392" s="1" t="s">
        <v>11473</v>
      </c>
      <c r="O2392" t="s">
        <v>22</v>
      </c>
    </row>
    <row r="2393" spans="1:15">
      <c r="A2393" t="s">
        <v>10864</v>
      </c>
      <c r="B2393" t="s">
        <v>10864</v>
      </c>
      <c r="C2393" t="s">
        <v>5224</v>
      </c>
      <c r="F2393">
        <v>1</v>
      </c>
      <c r="G2393" s="1" t="s">
        <v>2509</v>
      </c>
      <c r="I2393" s="1" t="s">
        <v>11473</v>
      </c>
      <c r="O2393" t="s">
        <v>22</v>
      </c>
    </row>
    <row r="2394" spans="1:15">
      <c r="A2394" t="s">
        <v>5910</v>
      </c>
      <c r="B2394" t="s">
        <v>5910</v>
      </c>
      <c r="C2394" t="s">
        <v>5911</v>
      </c>
      <c r="F2394">
        <v>1</v>
      </c>
      <c r="G2394" s="1" t="s">
        <v>2510</v>
      </c>
      <c r="I2394" s="1" t="s">
        <v>11473</v>
      </c>
      <c r="O2394" t="s">
        <v>22</v>
      </c>
    </row>
    <row r="2395" spans="1:15">
      <c r="A2395" t="s">
        <v>8252</v>
      </c>
      <c r="B2395" t="s">
        <v>8252</v>
      </c>
      <c r="C2395" t="s">
        <v>5911</v>
      </c>
      <c r="F2395">
        <v>1</v>
      </c>
      <c r="G2395" s="1" t="s">
        <v>2511</v>
      </c>
      <c r="I2395" s="1" t="s">
        <v>11473</v>
      </c>
      <c r="O2395" t="s">
        <v>22</v>
      </c>
    </row>
    <row r="2396" spans="1:15">
      <c r="A2396" t="s">
        <v>10980</v>
      </c>
      <c r="B2396" t="s">
        <v>10980</v>
      </c>
      <c r="C2396" t="s">
        <v>5911</v>
      </c>
      <c r="F2396">
        <v>1</v>
      </c>
      <c r="G2396" s="1" t="s">
        <v>2512</v>
      </c>
      <c r="I2396" s="1" t="s">
        <v>11473</v>
      </c>
      <c r="O2396" t="s">
        <v>22</v>
      </c>
    </row>
    <row r="2397" spans="1:15">
      <c r="A2397" t="s">
        <v>9693</v>
      </c>
      <c r="B2397" t="s">
        <v>9693</v>
      </c>
      <c r="C2397" t="s">
        <v>4590</v>
      </c>
      <c r="F2397">
        <v>1</v>
      </c>
      <c r="G2397" s="1" t="s">
        <v>2513</v>
      </c>
      <c r="I2397" s="1" t="s">
        <v>11473</v>
      </c>
      <c r="O2397" t="s">
        <v>22</v>
      </c>
    </row>
    <row r="2398" spans="1:15">
      <c r="A2398" t="s">
        <v>6720</v>
      </c>
      <c r="B2398" t="s">
        <v>6720</v>
      </c>
      <c r="C2398" t="s">
        <v>4549</v>
      </c>
      <c r="F2398">
        <v>1</v>
      </c>
      <c r="G2398" s="1" t="s">
        <v>2514</v>
      </c>
      <c r="I2398" s="1" t="s">
        <v>11473</v>
      </c>
      <c r="O2398" t="s">
        <v>22</v>
      </c>
    </row>
    <row r="2399" spans="1:15">
      <c r="A2399" t="s">
        <v>10269</v>
      </c>
      <c r="B2399" t="s">
        <v>10269</v>
      </c>
      <c r="C2399" t="s">
        <v>4549</v>
      </c>
      <c r="F2399">
        <v>1</v>
      </c>
      <c r="G2399" s="1" t="s">
        <v>2515</v>
      </c>
      <c r="I2399" s="1" t="s">
        <v>11473</v>
      </c>
      <c r="O2399" t="s">
        <v>22</v>
      </c>
    </row>
    <row r="2400" spans="1:15">
      <c r="A2400" t="s">
        <v>5412</v>
      </c>
      <c r="B2400" t="s">
        <v>5412</v>
      </c>
      <c r="C2400" t="s">
        <v>4739</v>
      </c>
      <c r="F2400">
        <v>1</v>
      </c>
      <c r="G2400" s="1" t="s">
        <v>2516</v>
      </c>
      <c r="I2400" s="1" t="s">
        <v>11473</v>
      </c>
      <c r="O2400" t="s">
        <v>22</v>
      </c>
    </row>
    <row r="2401" spans="1:15">
      <c r="A2401" t="s">
        <v>10630</v>
      </c>
      <c r="B2401" t="s">
        <v>10630</v>
      </c>
      <c r="C2401" t="s">
        <v>4739</v>
      </c>
      <c r="F2401">
        <v>1</v>
      </c>
      <c r="G2401" s="1" t="s">
        <v>2517</v>
      </c>
      <c r="I2401" s="1" t="s">
        <v>11473</v>
      </c>
      <c r="O2401" t="s">
        <v>22</v>
      </c>
    </row>
    <row r="2402" spans="1:15">
      <c r="A2402" t="s">
        <v>5894</v>
      </c>
      <c r="B2402" t="s">
        <v>5894</v>
      </c>
      <c r="C2402" t="s">
        <v>4472</v>
      </c>
      <c r="F2402">
        <v>1</v>
      </c>
      <c r="G2402" s="1" t="s">
        <v>2518</v>
      </c>
      <c r="I2402" s="1" t="s">
        <v>11473</v>
      </c>
      <c r="O2402" t="s">
        <v>22</v>
      </c>
    </row>
    <row r="2403" spans="1:15">
      <c r="A2403" t="s">
        <v>6098</v>
      </c>
      <c r="B2403" t="s">
        <v>6098</v>
      </c>
      <c r="C2403" t="s">
        <v>4472</v>
      </c>
      <c r="F2403">
        <v>1</v>
      </c>
      <c r="G2403" s="1" t="s">
        <v>2519</v>
      </c>
      <c r="I2403" s="1" t="s">
        <v>11473</v>
      </c>
      <c r="O2403" t="s">
        <v>22</v>
      </c>
    </row>
    <row r="2404" spans="1:15">
      <c r="A2404" t="s">
        <v>7120</v>
      </c>
      <c r="B2404" t="s">
        <v>7120</v>
      </c>
      <c r="C2404" t="s">
        <v>4472</v>
      </c>
      <c r="F2404">
        <v>1</v>
      </c>
      <c r="G2404" s="1" t="s">
        <v>2520</v>
      </c>
      <c r="I2404" s="1" t="s">
        <v>11473</v>
      </c>
      <c r="O2404" t="s">
        <v>22</v>
      </c>
    </row>
    <row r="2405" spans="1:15">
      <c r="A2405" t="s">
        <v>7102</v>
      </c>
      <c r="B2405" t="s">
        <v>7102</v>
      </c>
      <c r="C2405" t="s">
        <v>7103</v>
      </c>
      <c r="F2405">
        <v>1</v>
      </c>
      <c r="G2405" s="1" t="s">
        <v>2521</v>
      </c>
      <c r="I2405" s="1" t="s">
        <v>11473</v>
      </c>
      <c r="O2405" t="s">
        <v>22</v>
      </c>
    </row>
    <row r="2406" spans="1:15">
      <c r="A2406" t="s">
        <v>7121</v>
      </c>
      <c r="B2406" t="s">
        <v>7121</v>
      </c>
      <c r="C2406" t="s">
        <v>7103</v>
      </c>
      <c r="F2406">
        <v>1</v>
      </c>
      <c r="G2406" s="1" t="s">
        <v>2522</v>
      </c>
      <c r="I2406" s="1" t="s">
        <v>11473</v>
      </c>
      <c r="O2406" t="s">
        <v>22</v>
      </c>
    </row>
    <row r="2407" spans="1:15">
      <c r="A2407" t="s">
        <v>6344</v>
      </c>
      <c r="B2407" t="s">
        <v>6344</v>
      </c>
      <c r="C2407" t="s">
        <v>5143</v>
      </c>
      <c r="F2407">
        <v>1</v>
      </c>
      <c r="G2407" s="1" t="s">
        <v>2523</v>
      </c>
      <c r="I2407" s="1" t="s">
        <v>11473</v>
      </c>
      <c r="O2407" t="s">
        <v>22</v>
      </c>
    </row>
    <row r="2408" spans="1:15">
      <c r="A2408" t="s">
        <v>10757</v>
      </c>
      <c r="B2408" t="s">
        <v>10757</v>
      </c>
      <c r="C2408" t="s">
        <v>5143</v>
      </c>
      <c r="F2408">
        <v>1</v>
      </c>
      <c r="G2408" s="1" t="s">
        <v>2524</v>
      </c>
      <c r="I2408" s="1" t="s">
        <v>11473</v>
      </c>
      <c r="O2408" t="s">
        <v>22</v>
      </c>
    </row>
    <row r="2409" spans="1:15">
      <c r="A2409" t="s">
        <v>5411</v>
      </c>
      <c r="B2409" t="s">
        <v>5411</v>
      </c>
      <c r="C2409" t="s">
        <v>5131</v>
      </c>
      <c r="F2409">
        <v>1</v>
      </c>
      <c r="G2409" s="1" t="s">
        <v>2525</v>
      </c>
      <c r="I2409" s="1" t="s">
        <v>11473</v>
      </c>
      <c r="O2409" t="s">
        <v>22</v>
      </c>
    </row>
    <row r="2410" spans="1:15">
      <c r="A2410" t="s">
        <v>7101</v>
      </c>
      <c r="B2410" t="s">
        <v>7101</v>
      </c>
      <c r="C2410" t="s">
        <v>5131</v>
      </c>
      <c r="F2410">
        <v>1</v>
      </c>
      <c r="G2410" s="1" t="s">
        <v>2526</v>
      </c>
      <c r="I2410" s="1" t="s">
        <v>11473</v>
      </c>
      <c r="O2410" t="s">
        <v>22</v>
      </c>
    </row>
    <row r="2411" spans="1:15">
      <c r="A2411" t="s">
        <v>9260</v>
      </c>
      <c r="B2411" t="s">
        <v>9260</v>
      </c>
      <c r="C2411" t="s">
        <v>5131</v>
      </c>
      <c r="F2411">
        <v>1</v>
      </c>
      <c r="G2411" s="1" t="s">
        <v>2527</v>
      </c>
      <c r="I2411" s="1" t="s">
        <v>11473</v>
      </c>
      <c r="O2411" t="s">
        <v>22</v>
      </c>
    </row>
    <row r="2412" spans="1:15">
      <c r="A2412" t="s">
        <v>10953</v>
      </c>
      <c r="B2412" t="s">
        <v>10953</v>
      </c>
      <c r="C2412" t="s">
        <v>5131</v>
      </c>
      <c r="F2412">
        <v>1</v>
      </c>
      <c r="G2412" s="1" t="s">
        <v>2528</v>
      </c>
      <c r="I2412" s="1" t="s">
        <v>11473</v>
      </c>
      <c r="O2412" t="s">
        <v>22</v>
      </c>
    </row>
    <row r="2413" spans="1:15">
      <c r="A2413" t="s">
        <v>11298</v>
      </c>
      <c r="B2413" t="s">
        <v>11298</v>
      </c>
      <c r="C2413" t="s">
        <v>5395</v>
      </c>
      <c r="F2413">
        <v>1</v>
      </c>
      <c r="G2413" s="1" t="s">
        <v>2529</v>
      </c>
      <c r="I2413" s="1" t="s">
        <v>11473</v>
      </c>
      <c r="O2413" t="s">
        <v>22</v>
      </c>
    </row>
    <row r="2414" spans="1:15">
      <c r="A2414" t="s">
        <v>6718</v>
      </c>
      <c r="B2414" t="s">
        <v>6718</v>
      </c>
      <c r="C2414" t="s">
        <v>4665</v>
      </c>
      <c r="F2414">
        <v>1</v>
      </c>
      <c r="G2414" s="1" t="s">
        <v>2530</v>
      </c>
      <c r="I2414" s="1" t="s">
        <v>11473</v>
      </c>
      <c r="O2414" t="s">
        <v>22</v>
      </c>
    </row>
    <row r="2415" spans="1:15">
      <c r="A2415" t="s">
        <v>8453</v>
      </c>
      <c r="B2415" t="s">
        <v>8453</v>
      </c>
      <c r="C2415" t="s">
        <v>4665</v>
      </c>
      <c r="F2415">
        <v>1</v>
      </c>
      <c r="G2415" s="1" t="s">
        <v>2531</v>
      </c>
      <c r="I2415" s="1" t="s">
        <v>11473</v>
      </c>
      <c r="O2415" t="s">
        <v>22</v>
      </c>
    </row>
    <row r="2416" spans="1:15">
      <c r="A2416" t="s">
        <v>10234</v>
      </c>
      <c r="B2416" t="s">
        <v>10234</v>
      </c>
      <c r="C2416" t="s">
        <v>4665</v>
      </c>
      <c r="F2416">
        <v>1</v>
      </c>
      <c r="G2416" s="1" t="s">
        <v>2532</v>
      </c>
      <c r="I2416" s="1" t="s">
        <v>11473</v>
      </c>
      <c r="O2416" t="s">
        <v>22</v>
      </c>
    </row>
    <row r="2417" spans="1:15">
      <c r="A2417" t="s">
        <v>6291</v>
      </c>
      <c r="B2417" t="s">
        <v>6291</v>
      </c>
      <c r="C2417" t="s">
        <v>4663</v>
      </c>
      <c r="F2417">
        <v>1</v>
      </c>
      <c r="G2417" s="1" t="s">
        <v>2533</v>
      </c>
      <c r="I2417" s="1" t="s">
        <v>11473</v>
      </c>
      <c r="O2417" t="s">
        <v>22</v>
      </c>
    </row>
    <row r="2418" spans="1:15">
      <c r="A2418" t="s">
        <v>6237</v>
      </c>
      <c r="B2418" t="s">
        <v>6237</v>
      </c>
      <c r="C2418" t="s">
        <v>5325</v>
      </c>
      <c r="F2418">
        <v>1</v>
      </c>
      <c r="G2418" s="1" t="s">
        <v>2534</v>
      </c>
      <c r="I2418" s="1" t="s">
        <v>11473</v>
      </c>
      <c r="O2418" t="s">
        <v>22</v>
      </c>
    </row>
    <row r="2419" spans="1:15">
      <c r="A2419" t="s">
        <v>7727</v>
      </c>
      <c r="B2419" t="s">
        <v>7727</v>
      </c>
      <c r="C2419" t="s">
        <v>5325</v>
      </c>
      <c r="F2419">
        <v>1</v>
      </c>
      <c r="G2419" s="1" t="s">
        <v>2535</v>
      </c>
      <c r="I2419" s="1" t="s">
        <v>11473</v>
      </c>
      <c r="O2419" t="s">
        <v>22</v>
      </c>
    </row>
    <row r="2420" spans="1:15">
      <c r="A2420" t="s">
        <v>5863</v>
      </c>
      <c r="B2420" t="s">
        <v>5863</v>
      </c>
      <c r="C2420" t="s">
        <v>5864</v>
      </c>
      <c r="F2420">
        <v>1</v>
      </c>
      <c r="G2420" s="1" t="s">
        <v>2536</v>
      </c>
      <c r="I2420" s="1" t="s">
        <v>11473</v>
      </c>
      <c r="O2420" t="s">
        <v>22</v>
      </c>
    </row>
    <row r="2421" spans="1:15">
      <c r="A2421" t="s">
        <v>6097</v>
      </c>
      <c r="B2421" t="s">
        <v>6097</v>
      </c>
      <c r="C2421" t="s">
        <v>5864</v>
      </c>
      <c r="F2421">
        <v>1</v>
      </c>
      <c r="G2421" s="1" t="s">
        <v>2537</v>
      </c>
      <c r="I2421" s="1" t="s">
        <v>11473</v>
      </c>
      <c r="O2421" t="s">
        <v>22</v>
      </c>
    </row>
    <row r="2422" spans="1:15">
      <c r="A2422" t="s">
        <v>7142</v>
      </c>
      <c r="B2422" t="s">
        <v>7142</v>
      </c>
      <c r="C2422" t="s">
        <v>5864</v>
      </c>
      <c r="F2422">
        <v>1</v>
      </c>
      <c r="G2422" s="1" t="s">
        <v>2538</v>
      </c>
      <c r="I2422" s="1" t="s">
        <v>11473</v>
      </c>
      <c r="O2422" t="s">
        <v>22</v>
      </c>
    </row>
    <row r="2423" spans="1:15">
      <c r="A2423" t="s">
        <v>10275</v>
      </c>
      <c r="B2423" t="s">
        <v>10275</v>
      </c>
      <c r="C2423" t="s">
        <v>5864</v>
      </c>
      <c r="F2423">
        <v>1</v>
      </c>
      <c r="G2423" s="1" t="s">
        <v>2539</v>
      </c>
      <c r="I2423" s="1" t="s">
        <v>11473</v>
      </c>
      <c r="O2423" t="s">
        <v>22</v>
      </c>
    </row>
    <row r="2424" spans="1:15">
      <c r="A2424" t="s">
        <v>10460</v>
      </c>
      <c r="B2424" t="s">
        <v>10460</v>
      </c>
      <c r="C2424" t="s">
        <v>5864</v>
      </c>
      <c r="F2424">
        <v>1</v>
      </c>
      <c r="G2424" s="1" t="s">
        <v>2540</v>
      </c>
      <c r="I2424" s="1" t="s">
        <v>11473</v>
      </c>
      <c r="O2424" t="s">
        <v>22</v>
      </c>
    </row>
    <row r="2425" spans="1:15">
      <c r="A2425" t="s">
        <v>7257</v>
      </c>
      <c r="B2425" t="s">
        <v>7257</v>
      </c>
      <c r="C2425" t="s">
        <v>4604</v>
      </c>
      <c r="F2425">
        <v>1</v>
      </c>
      <c r="G2425" s="1" t="s">
        <v>2541</v>
      </c>
      <c r="I2425" s="1" t="s">
        <v>11473</v>
      </c>
      <c r="O2425" t="s">
        <v>22</v>
      </c>
    </row>
    <row r="2426" spans="1:15">
      <c r="A2426" t="s">
        <v>7244</v>
      </c>
      <c r="B2426" t="s">
        <v>7244</v>
      </c>
      <c r="C2426" t="s">
        <v>7245</v>
      </c>
      <c r="F2426">
        <v>1</v>
      </c>
      <c r="G2426" s="1" t="s">
        <v>2542</v>
      </c>
      <c r="I2426" s="1" t="s">
        <v>11473</v>
      </c>
      <c r="O2426" t="s">
        <v>22</v>
      </c>
    </row>
    <row r="2427" spans="1:15">
      <c r="A2427" t="s">
        <v>9449</v>
      </c>
      <c r="B2427" t="s">
        <v>9449</v>
      </c>
      <c r="C2427" t="s">
        <v>7245</v>
      </c>
      <c r="F2427">
        <v>1</v>
      </c>
      <c r="G2427" s="1" t="s">
        <v>2543</v>
      </c>
      <c r="I2427" s="1" t="s">
        <v>11473</v>
      </c>
      <c r="O2427" t="s">
        <v>22</v>
      </c>
    </row>
    <row r="2428" spans="1:15">
      <c r="A2428" t="s">
        <v>7094</v>
      </c>
      <c r="B2428" t="s">
        <v>7094</v>
      </c>
      <c r="C2428" t="s">
        <v>4587</v>
      </c>
      <c r="F2428">
        <v>1</v>
      </c>
      <c r="G2428" s="1" t="s">
        <v>2544</v>
      </c>
      <c r="I2428" s="1" t="s">
        <v>11473</v>
      </c>
      <c r="O2428" t="s">
        <v>22</v>
      </c>
    </row>
    <row r="2429" spans="1:15">
      <c r="A2429" t="s">
        <v>9538</v>
      </c>
      <c r="B2429" t="s">
        <v>9538</v>
      </c>
      <c r="C2429" t="s">
        <v>4587</v>
      </c>
      <c r="F2429">
        <v>1</v>
      </c>
      <c r="G2429" s="1" t="s">
        <v>2545</v>
      </c>
      <c r="I2429" s="1" t="s">
        <v>11473</v>
      </c>
      <c r="O2429" t="s">
        <v>22</v>
      </c>
    </row>
    <row r="2430" spans="1:15">
      <c r="A2430" t="s">
        <v>9782</v>
      </c>
      <c r="B2430" t="s">
        <v>9782</v>
      </c>
      <c r="C2430" t="s">
        <v>4587</v>
      </c>
      <c r="F2430">
        <v>1</v>
      </c>
      <c r="G2430" s="1" t="s">
        <v>2546</v>
      </c>
      <c r="I2430" s="1" t="s">
        <v>11473</v>
      </c>
      <c r="O2430" t="s">
        <v>22</v>
      </c>
    </row>
    <row r="2431" spans="1:15">
      <c r="A2431" t="s">
        <v>9793</v>
      </c>
      <c r="B2431" t="s">
        <v>9793</v>
      </c>
      <c r="C2431" t="s">
        <v>4587</v>
      </c>
      <c r="F2431">
        <v>1</v>
      </c>
      <c r="G2431" s="1" t="s">
        <v>2547</v>
      </c>
      <c r="I2431" s="1" t="s">
        <v>11473</v>
      </c>
      <c r="O2431" t="s">
        <v>22</v>
      </c>
    </row>
    <row r="2432" spans="1:15">
      <c r="A2432" t="s">
        <v>10737</v>
      </c>
      <c r="B2432" t="s">
        <v>10737</v>
      </c>
      <c r="C2432" t="s">
        <v>4587</v>
      </c>
      <c r="F2432">
        <v>1</v>
      </c>
      <c r="G2432" s="1" t="s">
        <v>2548</v>
      </c>
      <c r="I2432" s="1" t="s">
        <v>11473</v>
      </c>
      <c r="O2432" t="s">
        <v>22</v>
      </c>
    </row>
    <row r="2433" spans="1:15">
      <c r="A2433" t="s">
        <v>5446</v>
      </c>
      <c r="B2433" t="s">
        <v>5446</v>
      </c>
      <c r="C2433" t="s">
        <v>4722</v>
      </c>
      <c r="F2433">
        <v>1</v>
      </c>
      <c r="G2433" s="1" t="s">
        <v>2549</v>
      </c>
      <c r="I2433" s="1" t="s">
        <v>11473</v>
      </c>
      <c r="O2433" t="s">
        <v>22</v>
      </c>
    </row>
    <row r="2434" spans="1:15">
      <c r="A2434" t="s">
        <v>5879</v>
      </c>
      <c r="B2434" t="s">
        <v>5879</v>
      </c>
      <c r="C2434" t="s">
        <v>4722</v>
      </c>
      <c r="F2434">
        <v>1</v>
      </c>
      <c r="G2434" s="1" t="s">
        <v>2550</v>
      </c>
      <c r="I2434" s="1" t="s">
        <v>11473</v>
      </c>
      <c r="O2434" t="s">
        <v>22</v>
      </c>
    </row>
    <row r="2435" spans="1:15">
      <c r="A2435" t="s">
        <v>7350</v>
      </c>
      <c r="B2435" t="s">
        <v>7350</v>
      </c>
      <c r="C2435" t="s">
        <v>4722</v>
      </c>
      <c r="F2435">
        <v>1</v>
      </c>
      <c r="G2435" s="1" t="s">
        <v>2551</v>
      </c>
      <c r="I2435" s="1" t="s">
        <v>11473</v>
      </c>
      <c r="O2435" t="s">
        <v>22</v>
      </c>
    </row>
    <row r="2436" spans="1:15">
      <c r="A2436" t="s">
        <v>9318</v>
      </c>
      <c r="B2436" t="s">
        <v>9318</v>
      </c>
      <c r="C2436" t="s">
        <v>4722</v>
      </c>
      <c r="F2436">
        <v>1</v>
      </c>
      <c r="G2436" s="1" t="s">
        <v>2552</v>
      </c>
      <c r="I2436" s="1" t="s">
        <v>11473</v>
      </c>
      <c r="O2436" t="s">
        <v>22</v>
      </c>
    </row>
    <row r="2437" spans="1:15">
      <c r="A2437" t="s">
        <v>10975</v>
      </c>
      <c r="B2437" t="s">
        <v>10975</v>
      </c>
      <c r="C2437" t="s">
        <v>4722</v>
      </c>
      <c r="F2437">
        <v>1</v>
      </c>
      <c r="G2437" s="1" t="s">
        <v>2553</v>
      </c>
      <c r="I2437" s="1" t="s">
        <v>11473</v>
      </c>
      <c r="O2437" t="s">
        <v>22</v>
      </c>
    </row>
    <row r="2438" spans="1:15">
      <c r="A2438" t="s">
        <v>5447</v>
      </c>
      <c r="B2438" t="s">
        <v>5447</v>
      </c>
      <c r="C2438" t="s">
        <v>4705</v>
      </c>
      <c r="F2438">
        <v>1</v>
      </c>
      <c r="G2438" s="1" t="s">
        <v>2554</v>
      </c>
      <c r="I2438" s="1" t="s">
        <v>11473</v>
      </c>
      <c r="O2438" t="s">
        <v>22</v>
      </c>
    </row>
    <row r="2439" spans="1:15">
      <c r="A2439" t="s">
        <v>5714</v>
      </c>
      <c r="B2439" t="s">
        <v>5714</v>
      </c>
      <c r="C2439" t="s">
        <v>4705</v>
      </c>
      <c r="F2439">
        <v>1</v>
      </c>
      <c r="G2439" s="1" t="s">
        <v>2555</v>
      </c>
      <c r="I2439" s="1" t="s">
        <v>11473</v>
      </c>
      <c r="O2439" t="s">
        <v>22</v>
      </c>
    </row>
    <row r="2440" spans="1:15">
      <c r="A2440" t="s">
        <v>10858</v>
      </c>
      <c r="B2440" t="s">
        <v>10858</v>
      </c>
      <c r="C2440" t="s">
        <v>4705</v>
      </c>
      <c r="F2440">
        <v>1</v>
      </c>
      <c r="G2440" s="1" t="s">
        <v>2556</v>
      </c>
      <c r="I2440" s="1" t="s">
        <v>11473</v>
      </c>
      <c r="O2440" t="s">
        <v>22</v>
      </c>
    </row>
    <row r="2441" spans="1:15">
      <c r="A2441" t="s">
        <v>5422</v>
      </c>
      <c r="B2441" t="s">
        <v>5422</v>
      </c>
      <c r="C2441" t="s">
        <v>5423</v>
      </c>
      <c r="F2441">
        <v>1</v>
      </c>
      <c r="G2441" s="1" t="s">
        <v>2557</v>
      </c>
      <c r="I2441" s="1" t="s">
        <v>11473</v>
      </c>
      <c r="O2441" t="s">
        <v>22</v>
      </c>
    </row>
    <row r="2442" spans="1:15">
      <c r="A2442" t="s">
        <v>10865</v>
      </c>
      <c r="B2442" t="s">
        <v>10865</v>
      </c>
      <c r="C2442" t="s">
        <v>4570</v>
      </c>
      <c r="F2442">
        <v>1</v>
      </c>
      <c r="G2442" s="1" t="s">
        <v>2558</v>
      </c>
      <c r="I2442" s="1" t="s">
        <v>11473</v>
      </c>
      <c r="O2442" t="s">
        <v>22</v>
      </c>
    </row>
    <row r="2443" spans="1:15">
      <c r="A2443" t="s">
        <v>11030</v>
      </c>
      <c r="B2443" t="s">
        <v>11030</v>
      </c>
      <c r="C2443" t="s">
        <v>4570</v>
      </c>
      <c r="F2443">
        <v>1</v>
      </c>
      <c r="G2443" s="1" t="s">
        <v>2559</v>
      </c>
      <c r="I2443" s="1" t="s">
        <v>11473</v>
      </c>
      <c r="O2443" t="s">
        <v>22</v>
      </c>
    </row>
    <row r="2444" spans="1:15">
      <c r="A2444" t="s">
        <v>5891</v>
      </c>
      <c r="B2444" t="s">
        <v>5891</v>
      </c>
      <c r="C2444" t="s">
        <v>5082</v>
      </c>
      <c r="F2444">
        <v>1</v>
      </c>
      <c r="G2444" s="1" t="s">
        <v>2560</v>
      </c>
      <c r="I2444" s="1" t="s">
        <v>11473</v>
      </c>
      <c r="O2444" t="s">
        <v>22</v>
      </c>
    </row>
    <row r="2445" spans="1:15">
      <c r="A2445" t="s">
        <v>6083</v>
      </c>
      <c r="B2445" t="s">
        <v>6083</v>
      </c>
      <c r="C2445" t="s">
        <v>5082</v>
      </c>
      <c r="F2445">
        <v>1</v>
      </c>
      <c r="G2445" s="1" t="s">
        <v>2561</v>
      </c>
      <c r="I2445" s="1" t="s">
        <v>11473</v>
      </c>
      <c r="O2445" t="s">
        <v>22</v>
      </c>
    </row>
    <row r="2446" spans="1:15">
      <c r="A2446" t="s">
        <v>8460</v>
      </c>
      <c r="B2446" t="s">
        <v>8460</v>
      </c>
      <c r="C2446" t="s">
        <v>4762</v>
      </c>
      <c r="F2446">
        <v>1</v>
      </c>
      <c r="G2446" s="1" t="s">
        <v>2562</v>
      </c>
      <c r="I2446" s="1" t="s">
        <v>11473</v>
      </c>
      <c r="O2446" t="s">
        <v>22</v>
      </c>
    </row>
    <row r="2447" spans="1:15">
      <c r="A2447" t="s">
        <v>9066</v>
      </c>
      <c r="B2447" t="s">
        <v>9066</v>
      </c>
      <c r="C2447" t="s">
        <v>4762</v>
      </c>
      <c r="F2447">
        <v>1</v>
      </c>
      <c r="G2447" s="1" t="s">
        <v>2563</v>
      </c>
      <c r="I2447" s="1" t="s">
        <v>11473</v>
      </c>
      <c r="O2447" t="s">
        <v>22</v>
      </c>
    </row>
    <row r="2448" spans="1:15">
      <c r="A2448" t="s">
        <v>11031</v>
      </c>
      <c r="B2448" t="s">
        <v>11031</v>
      </c>
      <c r="C2448" t="s">
        <v>4762</v>
      </c>
      <c r="F2448">
        <v>1</v>
      </c>
      <c r="G2448" s="1" t="s">
        <v>2564</v>
      </c>
      <c r="I2448" s="1" t="s">
        <v>11473</v>
      </c>
      <c r="O2448" t="s">
        <v>22</v>
      </c>
    </row>
    <row r="2449" spans="1:15">
      <c r="A2449" t="s">
        <v>5878</v>
      </c>
      <c r="B2449" t="s">
        <v>5878</v>
      </c>
      <c r="C2449" t="s">
        <v>4767</v>
      </c>
      <c r="F2449">
        <v>1</v>
      </c>
      <c r="G2449" s="1" t="s">
        <v>2565</v>
      </c>
      <c r="I2449" s="1" t="s">
        <v>11473</v>
      </c>
      <c r="O2449" t="s">
        <v>22</v>
      </c>
    </row>
    <row r="2450" spans="1:15">
      <c r="A2450" t="s">
        <v>7067</v>
      </c>
      <c r="B2450" t="s">
        <v>7067</v>
      </c>
      <c r="C2450" t="s">
        <v>4767</v>
      </c>
      <c r="F2450">
        <v>1</v>
      </c>
      <c r="G2450" s="1" t="s">
        <v>2566</v>
      </c>
      <c r="I2450" s="1" t="s">
        <v>11473</v>
      </c>
      <c r="O2450" t="s">
        <v>22</v>
      </c>
    </row>
    <row r="2451" spans="1:15">
      <c r="A2451" t="s">
        <v>7144</v>
      </c>
      <c r="B2451" t="s">
        <v>7144</v>
      </c>
      <c r="C2451" t="s">
        <v>4767</v>
      </c>
      <c r="F2451">
        <v>1</v>
      </c>
      <c r="G2451" s="1" t="s">
        <v>2567</v>
      </c>
      <c r="I2451" s="1" t="s">
        <v>11473</v>
      </c>
      <c r="O2451" t="s">
        <v>22</v>
      </c>
    </row>
    <row r="2452" spans="1:15">
      <c r="A2452" t="s">
        <v>7521</v>
      </c>
      <c r="B2452" t="s">
        <v>7521</v>
      </c>
      <c r="C2452" t="s">
        <v>4767</v>
      </c>
      <c r="F2452">
        <v>1</v>
      </c>
      <c r="G2452" s="1" t="s">
        <v>2568</v>
      </c>
      <c r="I2452" s="1" t="s">
        <v>11473</v>
      </c>
      <c r="O2452" t="s">
        <v>22</v>
      </c>
    </row>
    <row r="2453" spans="1:15">
      <c r="A2453" t="s">
        <v>7522</v>
      </c>
      <c r="B2453" t="s">
        <v>7522</v>
      </c>
      <c r="C2453" t="s">
        <v>4767</v>
      </c>
      <c r="F2453">
        <v>1</v>
      </c>
      <c r="G2453" s="1" t="s">
        <v>2569</v>
      </c>
      <c r="I2453" s="1" t="s">
        <v>11473</v>
      </c>
      <c r="O2453" t="s">
        <v>22</v>
      </c>
    </row>
    <row r="2454" spans="1:15">
      <c r="A2454" t="s">
        <v>9787</v>
      </c>
      <c r="B2454" t="s">
        <v>9787</v>
      </c>
      <c r="C2454" t="s">
        <v>4767</v>
      </c>
      <c r="F2454">
        <v>1</v>
      </c>
      <c r="G2454" s="1" t="s">
        <v>2570</v>
      </c>
      <c r="I2454" s="1" t="s">
        <v>11473</v>
      </c>
      <c r="O2454" t="s">
        <v>22</v>
      </c>
    </row>
    <row r="2455" spans="1:15">
      <c r="A2455" t="s">
        <v>5876</v>
      </c>
      <c r="B2455" t="s">
        <v>5876</v>
      </c>
      <c r="C2455" t="s">
        <v>5877</v>
      </c>
      <c r="F2455">
        <v>1</v>
      </c>
      <c r="G2455" s="1" t="s">
        <v>2571</v>
      </c>
      <c r="I2455" s="1" t="s">
        <v>11473</v>
      </c>
      <c r="O2455" t="s">
        <v>22</v>
      </c>
    </row>
    <row r="2456" spans="1:15">
      <c r="A2456" t="s">
        <v>7092</v>
      </c>
      <c r="B2456" t="s">
        <v>7092</v>
      </c>
      <c r="C2456" t="s">
        <v>5877</v>
      </c>
      <c r="F2456">
        <v>1</v>
      </c>
      <c r="G2456" s="1" t="s">
        <v>2572</v>
      </c>
      <c r="I2456" s="1" t="s">
        <v>11473</v>
      </c>
      <c r="O2456" t="s">
        <v>22</v>
      </c>
    </row>
    <row r="2457" spans="1:15">
      <c r="A2457" t="s">
        <v>10733</v>
      </c>
      <c r="B2457" t="s">
        <v>10733</v>
      </c>
      <c r="C2457" t="s">
        <v>5877</v>
      </c>
      <c r="F2457">
        <v>1</v>
      </c>
      <c r="G2457" s="1" t="s">
        <v>2573</v>
      </c>
      <c r="I2457" s="1" t="s">
        <v>11473</v>
      </c>
      <c r="O2457" t="s">
        <v>22</v>
      </c>
    </row>
    <row r="2458" spans="1:15">
      <c r="A2458" t="s">
        <v>11029</v>
      </c>
      <c r="B2458" t="s">
        <v>11029</v>
      </c>
      <c r="C2458" t="s">
        <v>4673</v>
      </c>
      <c r="F2458">
        <v>1</v>
      </c>
      <c r="G2458" s="1" t="s">
        <v>2574</v>
      </c>
      <c r="I2458" s="1" t="s">
        <v>11473</v>
      </c>
      <c r="O2458" t="s">
        <v>22</v>
      </c>
    </row>
    <row r="2459" spans="1:15">
      <c r="A2459" t="s">
        <v>8588</v>
      </c>
      <c r="B2459" t="s">
        <v>8588</v>
      </c>
      <c r="C2459" t="s">
        <v>8589</v>
      </c>
      <c r="F2459">
        <v>1</v>
      </c>
      <c r="G2459" s="1" t="s">
        <v>2575</v>
      </c>
      <c r="I2459" s="1" t="s">
        <v>11473</v>
      </c>
      <c r="O2459" t="s">
        <v>22</v>
      </c>
    </row>
    <row r="2460" spans="1:15">
      <c r="A2460" t="s">
        <v>8429</v>
      </c>
      <c r="B2460" t="s">
        <v>8429</v>
      </c>
      <c r="C2460" t="s">
        <v>8430</v>
      </c>
      <c r="F2460">
        <v>1</v>
      </c>
      <c r="G2460" s="1" t="s">
        <v>2576</v>
      </c>
      <c r="I2460" s="1" t="s">
        <v>11473</v>
      </c>
      <c r="O2460" t="s">
        <v>22</v>
      </c>
    </row>
    <row r="2461" spans="1:15">
      <c r="A2461" t="s">
        <v>9780</v>
      </c>
      <c r="B2461" t="s">
        <v>9780</v>
      </c>
      <c r="C2461" t="s">
        <v>9781</v>
      </c>
      <c r="F2461">
        <v>1</v>
      </c>
      <c r="G2461" s="1" t="s">
        <v>2577</v>
      </c>
      <c r="I2461" s="1" t="s">
        <v>11473</v>
      </c>
      <c r="O2461" t="s">
        <v>22</v>
      </c>
    </row>
    <row r="2462" spans="1:15">
      <c r="A2462" t="s">
        <v>8259</v>
      </c>
      <c r="B2462" t="s">
        <v>8259</v>
      </c>
      <c r="C2462" t="s">
        <v>5079</v>
      </c>
      <c r="F2462">
        <v>1</v>
      </c>
      <c r="G2462" s="1" t="s">
        <v>2578</v>
      </c>
      <c r="I2462" s="1" t="s">
        <v>11473</v>
      </c>
      <c r="O2462" t="s">
        <v>22</v>
      </c>
    </row>
    <row r="2463" spans="1:15">
      <c r="A2463" t="s">
        <v>8384</v>
      </c>
      <c r="B2463" t="s">
        <v>8384</v>
      </c>
      <c r="C2463" t="s">
        <v>5079</v>
      </c>
      <c r="F2463">
        <v>1</v>
      </c>
      <c r="G2463" s="1" t="s">
        <v>2579</v>
      </c>
      <c r="I2463" s="1" t="s">
        <v>11473</v>
      </c>
      <c r="O2463" t="s">
        <v>22</v>
      </c>
    </row>
    <row r="2464" spans="1:15">
      <c r="A2464" t="s">
        <v>9333</v>
      </c>
      <c r="B2464" t="s">
        <v>9333</v>
      </c>
      <c r="C2464" t="s">
        <v>4064</v>
      </c>
      <c r="F2464">
        <v>1</v>
      </c>
      <c r="G2464" s="1" t="s">
        <v>2580</v>
      </c>
      <c r="I2464" s="1" t="s">
        <v>11473</v>
      </c>
      <c r="O2464" t="s">
        <v>22</v>
      </c>
    </row>
    <row r="2465" spans="1:15">
      <c r="A2465" t="s">
        <v>5442</v>
      </c>
      <c r="B2465" t="s">
        <v>5442</v>
      </c>
      <c r="C2465" t="s">
        <v>4744</v>
      </c>
      <c r="F2465">
        <v>1</v>
      </c>
      <c r="G2465" s="1" t="s">
        <v>2581</v>
      </c>
      <c r="I2465" s="1" t="s">
        <v>11473</v>
      </c>
      <c r="O2465" t="s">
        <v>22</v>
      </c>
    </row>
    <row r="2466" spans="1:15">
      <c r="A2466" t="s">
        <v>7139</v>
      </c>
      <c r="B2466" t="s">
        <v>7139</v>
      </c>
      <c r="C2466" t="s">
        <v>4692</v>
      </c>
      <c r="F2466">
        <v>1</v>
      </c>
      <c r="G2466" s="1" t="s">
        <v>2582</v>
      </c>
      <c r="I2466" s="1" t="s">
        <v>11473</v>
      </c>
      <c r="O2466" t="s">
        <v>22</v>
      </c>
    </row>
    <row r="2467" spans="1:15">
      <c r="A2467" t="s">
        <v>10689</v>
      </c>
      <c r="B2467" t="s">
        <v>10689</v>
      </c>
      <c r="C2467" t="s">
        <v>4692</v>
      </c>
      <c r="F2467">
        <v>1</v>
      </c>
      <c r="G2467" s="1" t="s">
        <v>2583</v>
      </c>
      <c r="I2467" s="1" t="s">
        <v>11473</v>
      </c>
      <c r="O2467" t="s">
        <v>22</v>
      </c>
    </row>
    <row r="2468" spans="1:15">
      <c r="A2468" t="s">
        <v>10965</v>
      </c>
      <c r="B2468" t="s">
        <v>10965</v>
      </c>
      <c r="C2468" t="s">
        <v>4692</v>
      </c>
      <c r="F2468">
        <v>1</v>
      </c>
      <c r="G2468" s="1" t="s">
        <v>2584</v>
      </c>
      <c r="I2468" s="1" t="s">
        <v>11473</v>
      </c>
      <c r="O2468" t="s">
        <v>22</v>
      </c>
    </row>
    <row r="2469" spans="1:15">
      <c r="A2469" t="s">
        <v>7253</v>
      </c>
      <c r="B2469" t="s">
        <v>7253</v>
      </c>
      <c r="C2469" t="s">
        <v>4782</v>
      </c>
      <c r="F2469">
        <v>1</v>
      </c>
      <c r="G2469" s="1" t="s">
        <v>2585</v>
      </c>
      <c r="I2469" s="1" t="s">
        <v>11473</v>
      </c>
      <c r="O2469" t="s">
        <v>22</v>
      </c>
    </row>
    <row r="2470" spans="1:15">
      <c r="A2470" t="s">
        <v>9670</v>
      </c>
      <c r="B2470" t="s">
        <v>9670</v>
      </c>
      <c r="C2470" t="s">
        <v>4782</v>
      </c>
      <c r="F2470">
        <v>1</v>
      </c>
      <c r="G2470" s="1" t="s">
        <v>2586</v>
      </c>
      <c r="I2470" s="1" t="s">
        <v>11473</v>
      </c>
      <c r="O2470" t="s">
        <v>22</v>
      </c>
    </row>
    <row r="2471" spans="1:15">
      <c r="A2471" t="s">
        <v>10974</v>
      </c>
      <c r="B2471" t="s">
        <v>10974</v>
      </c>
      <c r="C2471" t="s">
        <v>4782</v>
      </c>
      <c r="F2471">
        <v>1</v>
      </c>
      <c r="G2471" s="1" t="s">
        <v>2587</v>
      </c>
      <c r="I2471" s="1" t="s">
        <v>11473</v>
      </c>
      <c r="O2471" t="s">
        <v>22</v>
      </c>
    </row>
    <row r="2472" spans="1:15">
      <c r="A2472" t="s">
        <v>7124</v>
      </c>
      <c r="B2472" t="s">
        <v>7124</v>
      </c>
      <c r="C2472" t="s">
        <v>7125</v>
      </c>
      <c r="F2472">
        <v>1</v>
      </c>
      <c r="G2472" s="1" t="s">
        <v>2588</v>
      </c>
      <c r="I2472" s="1" t="s">
        <v>11473</v>
      </c>
      <c r="O2472" t="s">
        <v>22</v>
      </c>
    </row>
    <row r="2473" spans="1:15">
      <c r="A2473" t="s">
        <v>7271</v>
      </c>
      <c r="B2473" t="s">
        <v>7271</v>
      </c>
      <c r="C2473" t="s">
        <v>7125</v>
      </c>
      <c r="F2473">
        <v>1</v>
      </c>
      <c r="G2473" s="1" t="s">
        <v>2589</v>
      </c>
      <c r="I2473" s="1" t="s">
        <v>11473</v>
      </c>
      <c r="O2473" t="s">
        <v>22</v>
      </c>
    </row>
    <row r="2474" spans="1:15">
      <c r="A2474" t="s">
        <v>9024</v>
      </c>
      <c r="B2474" t="s">
        <v>9024</v>
      </c>
      <c r="C2474" t="s">
        <v>9025</v>
      </c>
      <c r="F2474">
        <v>1</v>
      </c>
      <c r="G2474" s="1" t="s">
        <v>2590</v>
      </c>
      <c r="I2474" s="1" t="s">
        <v>11473</v>
      </c>
      <c r="O2474" t="s">
        <v>22</v>
      </c>
    </row>
    <row r="2475" spans="1:15">
      <c r="A2475" t="s">
        <v>10750</v>
      </c>
      <c r="B2475" t="s">
        <v>10750</v>
      </c>
      <c r="C2475" t="s">
        <v>9025</v>
      </c>
      <c r="F2475">
        <v>1</v>
      </c>
      <c r="G2475" s="1" t="s">
        <v>2591</v>
      </c>
      <c r="I2475" s="1" t="s">
        <v>11473</v>
      </c>
      <c r="O2475" t="s">
        <v>22</v>
      </c>
    </row>
    <row r="2476" spans="1:15">
      <c r="A2476" t="s">
        <v>9322</v>
      </c>
      <c r="B2476" t="s">
        <v>9322</v>
      </c>
      <c r="C2476" t="s">
        <v>4992</v>
      </c>
      <c r="F2476">
        <v>1</v>
      </c>
      <c r="G2476" s="1" t="s">
        <v>2592</v>
      </c>
      <c r="I2476" s="1" t="s">
        <v>11473</v>
      </c>
      <c r="O2476" t="s">
        <v>22</v>
      </c>
    </row>
    <row r="2477" spans="1:15">
      <c r="A2477" t="s">
        <v>5443</v>
      </c>
      <c r="B2477" t="s">
        <v>5443</v>
      </c>
      <c r="C2477" t="s">
        <v>5444</v>
      </c>
      <c r="F2477">
        <v>1</v>
      </c>
      <c r="G2477" s="1" t="s">
        <v>2593</v>
      </c>
      <c r="I2477" s="1" t="s">
        <v>11473</v>
      </c>
      <c r="O2477" t="s">
        <v>22</v>
      </c>
    </row>
    <row r="2478" spans="1:15">
      <c r="A2478" t="s">
        <v>10727</v>
      </c>
      <c r="B2478" t="s">
        <v>10727</v>
      </c>
      <c r="C2478" t="s">
        <v>5444</v>
      </c>
      <c r="F2478">
        <v>1</v>
      </c>
      <c r="G2478" s="1" t="s">
        <v>2594</v>
      </c>
      <c r="I2478" s="1" t="s">
        <v>11473</v>
      </c>
      <c r="O2478" t="s">
        <v>22</v>
      </c>
    </row>
    <row r="2479" spans="1:15">
      <c r="A2479" t="s">
        <v>9308</v>
      </c>
      <c r="B2479" t="s">
        <v>9308</v>
      </c>
      <c r="C2479" t="s">
        <v>5304</v>
      </c>
      <c r="F2479">
        <v>1</v>
      </c>
      <c r="G2479" s="1" t="s">
        <v>2595</v>
      </c>
      <c r="I2479" s="1" t="s">
        <v>11473</v>
      </c>
      <c r="O2479" t="s">
        <v>22</v>
      </c>
    </row>
    <row r="2480" spans="1:15">
      <c r="A2480" t="s">
        <v>5428</v>
      </c>
      <c r="B2480" t="s">
        <v>5428</v>
      </c>
      <c r="C2480" t="s">
        <v>4697</v>
      </c>
      <c r="F2480">
        <v>1</v>
      </c>
      <c r="G2480" s="1" t="s">
        <v>2596</v>
      </c>
      <c r="I2480" s="1" t="s">
        <v>11473</v>
      </c>
      <c r="O2480" t="s">
        <v>22</v>
      </c>
    </row>
    <row r="2481" spans="1:15">
      <c r="A2481" t="s">
        <v>6062</v>
      </c>
      <c r="B2481" t="s">
        <v>6062</v>
      </c>
      <c r="C2481" t="s">
        <v>4697</v>
      </c>
      <c r="F2481">
        <v>1</v>
      </c>
      <c r="G2481" s="1" t="s">
        <v>2597</v>
      </c>
      <c r="I2481" s="1" t="s">
        <v>11473</v>
      </c>
      <c r="O2481" t="s">
        <v>22</v>
      </c>
    </row>
    <row r="2482" spans="1:15">
      <c r="A2482" t="s">
        <v>5463</v>
      </c>
      <c r="B2482" t="s">
        <v>5463</v>
      </c>
      <c r="C2482" t="s">
        <v>4916</v>
      </c>
      <c r="F2482">
        <v>1</v>
      </c>
      <c r="G2482" s="1" t="s">
        <v>2598</v>
      </c>
      <c r="I2482" s="1" t="s">
        <v>11473</v>
      </c>
      <c r="O2482" t="s">
        <v>22</v>
      </c>
    </row>
    <row r="2483" spans="1:15">
      <c r="A2483" t="s">
        <v>9315</v>
      </c>
      <c r="B2483" t="s">
        <v>9315</v>
      </c>
      <c r="C2483" t="s">
        <v>4916</v>
      </c>
      <c r="F2483">
        <v>1</v>
      </c>
      <c r="G2483" s="1" t="s">
        <v>2599</v>
      </c>
      <c r="I2483" s="1" t="s">
        <v>11473</v>
      </c>
      <c r="O2483" t="s">
        <v>22</v>
      </c>
    </row>
    <row r="2484" spans="1:15">
      <c r="A2484" t="s">
        <v>5419</v>
      </c>
      <c r="B2484" t="s">
        <v>5419</v>
      </c>
      <c r="C2484" t="s">
        <v>5288</v>
      </c>
      <c r="F2484">
        <v>1</v>
      </c>
      <c r="G2484" s="1" t="s">
        <v>2600</v>
      </c>
      <c r="I2484" s="1" t="s">
        <v>11473</v>
      </c>
      <c r="O2484" t="s">
        <v>22</v>
      </c>
    </row>
    <row r="2485" spans="1:15">
      <c r="A2485" t="s">
        <v>5420</v>
      </c>
      <c r="B2485" t="s">
        <v>5420</v>
      </c>
      <c r="C2485" t="s">
        <v>5288</v>
      </c>
      <c r="F2485">
        <v>1</v>
      </c>
      <c r="G2485" s="1" t="s">
        <v>2601</v>
      </c>
      <c r="I2485" s="1" t="s">
        <v>11473</v>
      </c>
      <c r="O2485" t="s">
        <v>22</v>
      </c>
    </row>
    <row r="2486" spans="1:15">
      <c r="A2486" t="s">
        <v>5410</v>
      </c>
      <c r="B2486" t="s">
        <v>5410</v>
      </c>
      <c r="C2486" t="s">
        <v>4864</v>
      </c>
      <c r="F2486">
        <v>1</v>
      </c>
      <c r="G2486" s="1" t="s">
        <v>2602</v>
      </c>
      <c r="I2486" s="1" t="s">
        <v>11473</v>
      </c>
      <c r="O2486" t="s">
        <v>22</v>
      </c>
    </row>
    <row r="2487" spans="1:15">
      <c r="A2487" t="s">
        <v>5171</v>
      </c>
      <c r="B2487" t="s">
        <v>5171</v>
      </c>
      <c r="C2487" t="s">
        <v>4926</v>
      </c>
      <c r="F2487">
        <v>1</v>
      </c>
      <c r="G2487" s="1" t="s">
        <v>2603</v>
      </c>
      <c r="I2487" s="1" t="s">
        <v>11473</v>
      </c>
      <c r="O2487" t="s">
        <v>22</v>
      </c>
    </row>
    <row r="2488" spans="1:15">
      <c r="A2488" t="s">
        <v>6086</v>
      </c>
      <c r="B2488" t="s">
        <v>6086</v>
      </c>
      <c r="C2488" t="s">
        <v>5356</v>
      </c>
      <c r="F2488">
        <v>1</v>
      </c>
      <c r="G2488" s="1" t="s">
        <v>2604</v>
      </c>
      <c r="I2488" s="1" t="s">
        <v>11473</v>
      </c>
      <c r="O2488" t="s">
        <v>22</v>
      </c>
    </row>
    <row r="2489" spans="1:15">
      <c r="A2489" t="s">
        <v>11170</v>
      </c>
      <c r="B2489" t="s">
        <v>11170</v>
      </c>
      <c r="C2489" t="s">
        <v>11171</v>
      </c>
      <c r="F2489">
        <v>1</v>
      </c>
      <c r="G2489" s="1" t="s">
        <v>2605</v>
      </c>
      <c r="I2489" s="1" t="s">
        <v>11473</v>
      </c>
      <c r="O2489" t="s">
        <v>22</v>
      </c>
    </row>
    <row r="2490" spans="1:15">
      <c r="A2490" t="s">
        <v>9414</v>
      </c>
      <c r="B2490" t="s">
        <v>9414</v>
      </c>
      <c r="C2490" t="s">
        <v>9415</v>
      </c>
      <c r="F2490">
        <v>1</v>
      </c>
      <c r="G2490" s="1" t="s">
        <v>2606</v>
      </c>
      <c r="I2490" s="1" t="s">
        <v>11473</v>
      </c>
      <c r="O2490" t="s">
        <v>22</v>
      </c>
    </row>
    <row r="2491" spans="1:15">
      <c r="A2491" t="s">
        <v>10696</v>
      </c>
      <c r="B2491" t="s">
        <v>10696</v>
      </c>
      <c r="C2491" t="s">
        <v>10697</v>
      </c>
      <c r="F2491">
        <v>1</v>
      </c>
      <c r="G2491" s="1" t="s">
        <v>2607</v>
      </c>
      <c r="I2491" s="1" t="s">
        <v>11473</v>
      </c>
      <c r="O2491" t="s">
        <v>22</v>
      </c>
    </row>
    <row r="2492" spans="1:15">
      <c r="A2492" t="s">
        <v>5461</v>
      </c>
      <c r="B2492" t="s">
        <v>5461</v>
      </c>
      <c r="C2492" t="s">
        <v>5058</v>
      </c>
      <c r="F2492">
        <v>1</v>
      </c>
      <c r="G2492" s="1" t="s">
        <v>2608</v>
      </c>
      <c r="I2492" s="1" t="s">
        <v>11473</v>
      </c>
      <c r="O2492" t="s">
        <v>22</v>
      </c>
    </row>
    <row r="2493" spans="1:15">
      <c r="A2493" t="s">
        <v>10047</v>
      </c>
      <c r="B2493" t="s">
        <v>10047</v>
      </c>
      <c r="C2493" t="s">
        <v>10048</v>
      </c>
      <c r="F2493">
        <v>1</v>
      </c>
      <c r="G2493" s="1" t="s">
        <v>2609</v>
      </c>
      <c r="I2493" s="1" t="s">
        <v>11473</v>
      </c>
      <c r="O2493" t="s">
        <v>22</v>
      </c>
    </row>
    <row r="2494" spans="1:15">
      <c r="A2494" t="s">
        <v>5462</v>
      </c>
      <c r="B2494" t="s">
        <v>5462</v>
      </c>
      <c r="C2494" t="s">
        <v>4867</v>
      </c>
      <c r="F2494">
        <v>1</v>
      </c>
      <c r="G2494" s="1" t="s">
        <v>2610</v>
      </c>
      <c r="I2494" s="1" t="s">
        <v>11473</v>
      </c>
      <c r="O2494" t="s">
        <v>22</v>
      </c>
    </row>
    <row r="2495" spans="1:15">
      <c r="A2495" t="s">
        <v>8251</v>
      </c>
      <c r="B2495" t="s">
        <v>8251</v>
      </c>
      <c r="C2495" t="s">
        <v>5272</v>
      </c>
      <c r="F2495">
        <v>1</v>
      </c>
      <c r="G2495" s="1" t="s">
        <v>2611</v>
      </c>
      <c r="I2495" s="1" t="s">
        <v>11473</v>
      </c>
      <c r="O2495" t="s">
        <v>22</v>
      </c>
    </row>
    <row r="2496" spans="1:15">
      <c r="A2496" t="s">
        <v>5459</v>
      </c>
      <c r="B2496" t="s">
        <v>5459</v>
      </c>
      <c r="C2496" t="s">
        <v>5460</v>
      </c>
      <c r="F2496">
        <v>1</v>
      </c>
      <c r="G2496" s="1" t="s">
        <v>2612</v>
      </c>
      <c r="I2496" s="1" t="s">
        <v>11473</v>
      </c>
      <c r="O2496" t="s">
        <v>22</v>
      </c>
    </row>
    <row r="2497" spans="1:15">
      <c r="A2497" t="s">
        <v>9039</v>
      </c>
      <c r="B2497" t="s">
        <v>9039</v>
      </c>
      <c r="C2497" t="s">
        <v>5460</v>
      </c>
      <c r="F2497">
        <v>1</v>
      </c>
      <c r="G2497" s="1" t="s">
        <v>2613</v>
      </c>
      <c r="I2497" s="1" t="s">
        <v>11473</v>
      </c>
      <c r="O2497" t="s">
        <v>22</v>
      </c>
    </row>
    <row r="2498" spans="1:15">
      <c r="A2498" t="s">
        <v>7315</v>
      </c>
      <c r="B2498" t="s">
        <v>7315</v>
      </c>
      <c r="C2498" t="s">
        <v>7316</v>
      </c>
      <c r="F2498">
        <v>1</v>
      </c>
      <c r="G2498" s="1" t="s">
        <v>2614</v>
      </c>
      <c r="I2498" s="1" t="s">
        <v>11473</v>
      </c>
      <c r="O2498" t="s">
        <v>22</v>
      </c>
    </row>
    <row r="2499" spans="1:15">
      <c r="A2499" t="s">
        <v>7045</v>
      </c>
      <c r="B2499" t="s">
        <v>7045</v>
      </c>
      <c r="C2499" t="s">
        <v>7046</v>
      </c>
      <c r="F2499">
        <v>1</v>
      </c>
      <c r="G2499" s="1" t="s">
        <v>2615</v>
      </c>
      <c r="I2499" s="1" t="s">
        <v>11473</v>
      </c>
      <c r="O2499" t="s">
        <v>22</v>
      </c>
    </row>
    <row r="2500" spans="1:15">
      <c r="A2500" t="s">
        <v>7111</v>
      </c>
      <c r="B2500" t="s">
        <v>7111</v>
      </c>
      <c r="C2500" t="s">
        <v>7046</v>
      </c>
      <c r="F2500">
        <v>1</v>
      </c>
      <c r="G2500" s="1" t="s">
        <v>2616</v>
      </c>
      <c r="I2500" s="1" t="s">
        <v>11473</v>
      </c>
      <c r="O2500" t="s">
        <v>22</v>
      </c>
    </row>
    <row r="2501" spans="1:15">
      <c r="A2501" t="s">
        <v>9835</v>
      </c>
      <c r="B2501" t="s">
        <v>9835</v>
      </c>
      <c r="C2501" t="s">
        <v>7046</v>
      </c>
      <c r="F2501">
        <v>1</v>
      </c>
      <c r="G2501" s="1" t="s">
        <v>2617</v>
      </c>
      <c r="I2501" s="1" t="s">
        <v>11473</v>
      </c>
      <c r="O2501" t="s">
        <v>22</v>
      </c>
    </row>
    <row r="2502" spans="1:15">
      <c r="A2502" t="s">
        <v>9836</v>
      </c>
      <c r="B2502" t="s">
        <v>9836</v>
      </c>
      <c r="C2502" t="s">
        <v>9837</v>
      </c>
      <c r="F2502">
        <v>1</v>
      </c>
      <c r="G2502" s="1" t="s">
        <v>2618</v>
      </c>
      <c r="I2502" s="1" t="s">
        <v>11473</v>
      </c>
      <c r="O2502" t="s">
        <v>22</v>
      </c>
    </row>
    <row r="2503" spans="1:15">
      <c r="A2503" t="s">
        <v>5861</v>
      </c>
      <c r="B2503" t="s">
        <v>5861</v>
      </c>
      <c r="C2503" t="s">
        <v>5862</v>
      </c>
      <c r="F2503">
        <v>1</v>
      </c>
      <c r="G2503" s="1" t="s">
        <v>2619</v>
      </c>
      <c r="I2503" s="1" t="s">
        <v>11473</v>
      </c>
      <c r="O2503" t="s">
        <v>22</v>
      </c>
    </row>
    <row r="2504" spans="1:15">
      <c r="A2504" t="s">
        <v>11178</v>
      </c>
      <c r="B2504" t="s">
        <v>11178</v>
      </c>
      <c r="C2504" t="s">
        <v>5862</v>
      </c>
      <c r="F2504">
        <v>1</v>
      </c>
      <c r="G2504" s="1" t="s">
        <v>2620</v>
      </c>
      <c r="I2504" s="1" t="s">
        <v>11473</v>
      </c>
      <c r="O2504" t="s">
        <v>22</v>
      </c>
    </row>
    <row r="2505" spans="1:15">
      <c r="A2505" t="s">
        <v>6711</v>
      </c>
      <c r="B2505" t="s">
        <v>6711</v>
      </c>
      <c r="C2505" t="s">
        <v>11</v>
      </c>
      <c r="F2505">
        <v>1</v>
      </c>
      <c r="G2505" s="1" t="s">
        <v>2621</v>
      </c>
      <c r="I2505" s="1" t="s">
        <v>11473</v>
      </c>
      <c r="O2505" t="s">
        <v>22</v>
      </c>
    </row>
    <row r="2506" spans="1:15">
      <c r="A2506" t="s">
        <v>10952</v>
      </c>
      <c r="B2506" t="s">
        <v>10952</v>
      </c>
      <c r="C2506" t="s">
        <v>11</v>
      </c>
      <c r="F2506">
        <v>1</v>
      </c>
      <c r="G2506" s="1" t="s">
        <v>2622</v>
      </c>
      <c r="I2506" s="1" t="s">
        <v>11473</v>
      </c>
      <c r="O2506" t="s">
        <v>22</v>
      </c>
    </row>
    <row r="2507" spans="1:15">
      <c r="A2507" t="s">
        <v>7700</v>
      </c>
      <c r="B2507" t="s">
        <v>7700</v>
      </c>
      <c r="C2507" t="s">
        <v>5240</v>
      </c>
      <c r="F2507">
        <v>1</v>
      </c>
      <c r="G2507" s="1" t="s">
        <v>2623</v>
      </c>
      <c r="I2507" s="1" t="s">
        <v>11473</v>
      </c>
      <c r="O2507" t="s">
        <v>22</v>
      </c>
    </row>
    <row r="2508" spans="1:15">
      <c r="A2508" t="s">
        <v>6721</v>
      </c>
      <c r="B2508" t="s">
        <v>6721</v>
      </c>
      <c r="C2508" t="s">
        <v>6722</v>
      </c>
      <c r="F2508">
        <v>1</v>
      </c>
      <c r="G2508" s="1" t="s">
        <v>2624</v>
      </c>
      <c r="I2508" s="1" t="s">
        <v>11473</v>
      </c>
      <c r="O2508" t="s">
        <v>22</v>
      </c>
    </row>
    <row r="2509" spans="1:15">
      <c r="A2509" t="s">
        <v>6954</v>
      </c>
      <c r="B2509" t="s">
        <v>6954</v>
      </c>
      <c r="C2509" t="s">
        <v>5021</v>
      </c>
      <c r="F2509">
        <v>1</v>
      </c>
      <c r="G2509" s="1" t="s">
        <v>2625</v>
      </c>
      <c r="I2509" s="1" t="s">
        <v>11473</v>
      </c>
      <c r="O2509" t="s">
        <v>22</v>
      </c>
    </row>
    <row r="2510" spans="1:15">
      <c r="A2510" t="s">
        <v>7590</v>
      </c>
      <c r="B2510" t="s">
        <v>7590</v>
      </c>
      <c r="C2510" t="s">
        <v>5021</v>
      </c>
      <c r="F2510">
        <v>1</v>
      </c>
      <c r="G2510" s="1" t="s">
        <v>2626</v>
      </c>
      <c r="I2510" s="1" t="s">
        <v>11473</v>
      </c>
      <c r="O2510" t="s">
        <v>22</v>
      </c>
    </row>
    <row r="2511" spans="1:15">
      <c r="A2511" t="s">
        <v>10319</v>
      </c>
      <c r="B2511" t="s">
        <v>10319</v>
      </c>
      <c r="C2511" t="s">
        <v>5021</v>
      </c>
      <c r="F2511">
        <v>1</v>
      </c>
      <c r="G2511" s="1" t="s">
        <v>2627</v>
      </c>
      <c r="I2511" s="1" t="s">
        <v>11473</v>
      </c>
      <c r="O2511" t="s">
        <v>22</v>
      </c>
    </row>
    <row r="2512" spans="1:15">
      <c r="A2512" t="s">
        <v>10339</v>
      </c>
      <c r="B2512" t="s">
        <v>10339</v>
      </c>
      <c r="C2512" t="s">
        <v>10340</v>
      </c>
      <c r="F2512">
        <v>1</v>
      </c>
      <c r="G2512" s="1" t="s">
        <v>2628</v>
      </c>
      <c r="I2512" s="1" t="s">
        <v>11473</v>
      </c>
      <c r="O2512" t="s">
        <v>22</v>
      </c>
    </row>
    <row r="2513" spans="1:15">
      <c r="A2513" t="s">
        <v>7284</v>
      </c>
      <c r="B2513" t="s">
        <v>7284</v>
      </c>
      <c r="C2513" t="s">
        <v>5192</v>
      </c>
      <c r="F2513">
        <v>1</v>
      </c>
      <c r="G2513" s="1" t="s">
        <v>2629</v>
      </c>
      <c r="I2513" s="1" t="s">
        <v>11473</v>
      </c>
      <c r="O2513" t="s">
        <v>22</v>
      </c>
    </row>
    <row r="2514" spans="1:15">
      <c r="A2514" t="s">
        <v>10337</v>
      </c>
      <c r="B2514" t="s">
        <v>10337</v>
      </c>
      <c r="C2514" t="s">
        <v>5192</v>
      </c>
      <c r="F2514">
        <v>1</v>
      </c>
      <c r="G2514" s="1" t="s">
        <v>2630</v>
      </c>
      <c r="I2514" s="1" t="s">
        <v>11473</v>
      </c>
      <c r="O2514" t="s">
        <v>22</v>
      </c>
    </row>
    <row r="2515" spans="1:15">
      <c r="A2515" t="s">
        <v>9937</v>
      </c>
      <c r="B2515" t="s">
        <v>9937</v>
      </c>
      <c r="C2515" t="s">
        <v>5054</v>
      </c>
      <c r="F2515">
        <v>1</v>
      </c>
      <c r="G2515" s="1" t="s">
        <v>2631</v>
      </c>
      <c r="I2515" s="1" t="s">
        <v>11473</v>
      </c>
      <c r="O2515" t="s">
        <v>22</v>
      </c>
    </row>
    <row r="2516" spans="1:15">
      <c r="A2516" t="s">
        <v>6498</v>
      </c>
      <c r="B2516" t="s">
        <v>6498</v>
      </c>
      <c r="C2516" t="s">
        <v>6499</v>
      </c>
      <c r="F2516">
        <v>1</v>
      </c>
      <c r="G2516" s="1" t="s">
        <v>2632</v>
      </c>
      <c r="I2516" s="1" t="s">
        <v>11473</v>
      </c>
      <c r="O2516" t="s">
        <v>22</v>
      </c>
    </row>
    <row r="2517" spans="1:15">
      <c r="A2517" t="s">
        <v>6694</v>
      </c>
      <c r="B2517" t="s">
        <v>6694</v>
      </c>
      <c r="C2517" t="s">
        <v>6499</v>
      </c>
      <c r="F2517">
        <v>1</v>
      </c>
      <c r="G2517" s="1" t="s">
        <v>2633</v>
      </c>
      <c r="I2517" s="1" t="s">
        <v>11473</v>
      </c>
      <c r="O2517" t="s">
        <v>22</v>
      </c>
    </row>
    <row r="2518" spans="1:15">
      <c r="A2518" t="s">
        <v>10376</v>
      </c>
      <c r="B2518" t="s">
        <v>10376</v>
      </c>
      <c r="C2518" t="s">
        <v>5193</v>
      </c>
      <c r="F2518">
        <v>1</v>
      </c>
      <c r="G2518" s="1" t="s">
        <v>2634</v>
      </c>
      <c r="I2518" s="1" t="s">
        <v>11473</v>
      </c>
      <c r="O2518" t="s">
        <v>22</v>
      </c>
    </row>
    <row r="2519" spans="1:15">
      <c r="A2519" t="s">
        <v>6907</v>
      </c>
      <c r="B2519" t="s">
        <v>6907</v>
      </c>
      <c r="C2519" t="s">
        <v>4200</v>
      </c>
      <c r="F2519">
        <v>1</v>
      </c>
      <c r="G2519" s="1" t="s">
        <v>2635</v>
      </c>
      <c r="I2519" s="1" t="s">
        <v>11473</v>
      </c>
      <c r="O2519" t="s">
        <v>22</v>
      </c>
    </row>
    <row r="2520" spans="1:15">
      <c r="A2520" t="s">
        <v>8594</v>
      </c>
      <c r="B2520" t="s">
        <v>8594</v>
      </c>
      <c r="C2520" t="s">
        <v>4174</v>
      </c>
      <c r="F2520">
        <v>1</v>
      </c>
      <c r="G2520" s="1" t="s">
        <v>2636</v>
      </c>
      <c r="I2520" s="1" t="s">
        <v>11473</v>
      </c>
      <c r="O2520" t="s">
        <v>22</v>
      </c>
    </row>
    <row r="2521" spans="1:15">
      <c r="A2521" t="s">
        <v>6696</v>
      </c>
      <c r="B2521" t="s">
        <v>6696</v>
      </c>
      <c r="C2521" t="s">
        <v>4219</v>
      </c>
      <c r="F2521">
        <v>1</v>
      </c>
      <c r="G2521" s="1" t="s">
        <v>2637</v>
      </c>
      <c r="I2521" s="1" t="s">
        <v>11473</v>
      </c>
      <c r="O2521" t="s">
        <v>22</v>
      </c>
    </row>
    <row r="2522" spans="1:15">
      <c r="A2522" t="s">
        <v>6695</v>
      </c>
      <c r="B2522" t="s">
        <v>6695</v>
      </c>
      <c r="C2522" t="s">
        <v>5282</v>
      </c>
      <c r="F2522">
        <v>1</v>
      </c>
      <c r="G2522" s="1" t="s">
        <v>2638</v>
      </c>
      <c r="I2522" s="1" t="s">
        <v>11473</v>
      </c>
      <c r="O2522" t="s">
        <v>22</v>
      </c>
    </row>
    <row r="2523" spans="1:15">
      <c r="A2523" t="s">
        <v>6948</v>
      </c>
      <c r="B2523" t="s">
        <v>6948</v>
      </c>
      <c r="C2523" t="s">
        <v>5282</v>
      </c>
      <c r="F2523">
        <v>1</v>
      </c>
      <c r="G2523" s="1" t="s">
        <v>2639</v>
      </c>
      <c r="I2523" s="1" t="s">
        <v>11473</v>
      </c>
      <c r="O2523" t="s">
        <v>22</v>
      </c>
    </row>
    <row r="2524" spans="1:15">
      <c r="A2524" t="s">
        <v>10029</v>
      </c>
      <c r="B2524" t="s">
        <v>10029</v>
      </c>
      <c r="C2524" t="s">
        <v>5282</v>
      </c>
      <c r="F2524">
        <v>1</v>
      </c>
      <c r="G2524" s="1" t="s">
        <v>2640</v>
      </c>
      <c r="I2524" s="1" t="s">
        <v>11473</v>
      </c>
      <c r="O2524" t="s">
        <v>22</v>
      </c>
    </row>
    <row r="2525" spans="1:15">
      <c r="A2525" t="s">
        <v>10398</v>
      </c>
      <c r="B2525" t="s">
        <v>10398</v>
      </c>
      <c r="C2525" t="s">
        <v>5282</v>
      </c>
      <c r="F2525">
        <v>1</v>
      </c>
      <c r="G2525" s="1" t="s">
        <v>2641</v>
      </c>
      <c r="I2525" s="1" t="s">
        <v>11473</v>
      </c>
      <c r="O2525" t="s">
        <v>22</v>
      </c>
    </row>
    <row r="2526" spans="1:15">
      <c r="A2526" t="s">
        <v>6682</v>
      </c>
      <c r="B2526" t="s">
        <v>6682</v>
      </c>
      <c r="C2526" t="s">
        <v>4169</v>
      </c>
      <c r="F2526">
        <v>1</v>
      </c>
      <c r="G2526" s="1" t="s">
        <v>2642</v>
      </c>
      <c r="I2526" s="1" t="s">
        <v>11473</v>
      </c>
      <c r="O2526" t="s">
        <v>22</v>
      </c>
    </row>
    <row r="2527" spans="1:15">
      <c r="A2527" t="s">
        <v>10328</v>
      </c>
      <c r="B2527" t="s">
        <v>10328</v>
      </c>
      <c r="C2527" t="s">
        <v>4169</v>
      </c>
      <c r="F2527">
        <v>1</v>
      </c>
      <c r="G2527" s="1" t="s">
        <v>2643</v>
      </c>
      <c r="I2527" s="1" t="s">
        <v>11473</v>
      </c>
      <c r="O2527" t="s">
        <v>22</v>
      </c>
    </row>
    <row r="2528" spans="1:15">
      <c r="A2528" t="s">
        <v>6941</v>
      </c>
      <c r="B2528" t="s">
        <v>6941</v>
      </c>
      <c r="C2528" t="s">
        <v>6942</v>
      </c>
      <c r="F2528">
        <v>1</v>
      </c>
      <c r="G2528" s="1" t="s">
        <v>2644</v>
      </c>
      <c r="I2528" s="1" t="s">
        <v>11473</v>
      </c>
      <c r="O2528" t="s">
        <v>22</v>
      </c>
    </row>
    <row r="2529" spans="1:15">
      <c r="A2529" t="s">
        <v>5622</v>
      </c>
      <c r="B2529" t="s">
        <v>5622</v>
      </c>
      <c r="C2529" t="s">
        <v>5117</v>
      </c>
      <c r="F2529">
        <v>1</v>
      </c>
      <c r="G2529" s="1" t="s">
        <v>2645</v>
      </c>
      <c r="I2529" s="1" t="s">
        <v>11473</v>
      </c>
      <c r="O2529" t="s">
        <v>22</v>
      </c>
    </row>
    <row r="2530" spans="1:15">
      <c r="A2530" t="s">
        <v>6675</v>
      </c>
      <c r="B2530" t="s">
        <v>6675</v>
      </c>
      <c r="C2530" t="s">
        <v>5117</v>
      </c>
      <c r="F2530">
        <v>1</v>
      </c>
      <c r="G2530" s="1" t="s">
        <v>2646</v>
      </c>
      <c r="I2530" s="1" t="s">
        <v>11473</v>
      </c>
      <c r="O2530" t="s">
        <v>22</v>
      </c>
    </row>
    <row r="2531" spans="1:15">
      <c r="A2531" t="s">
        <v>9104</v>
      </c>
      <c r="B2531" t="s">
        <v>9104</v>
      </c>
      <c r="C2531" t="s">
        <v>5117</v>
      </c>
      <c r="F2531">
        <v>1</v>
      </c>
      <c r="G2531" s="1" t="s">
        <v>2647</v>
      </c>
      <c r="I2531" s="1" t="s">
        <v>11473</v>
      </c>
      <c r="O2531" t="s">
        <v>22</v>
      </c>
    </row>
    <row r="2532" spans="1:15">
      <c r="A2532" t="s">
        <v>11172</v>
      </c>
      <c r="B2532" t="s">
        <v>11172</v>
      </c>
      <c r="C2532" t="s">
        <v>5117</v>
      </c>
      <c r="F2532">
        <v>1</v>
      </c>
      <c r="G2532" s="1" t="s">
        <v>2648</v>
      </c>
      <c r="I2532" s="1" t="s">
        <v>11473</v>
      </c>
      <c r="O2532" t="s">
        <v>22</v>
      </c>
    </row>
    <row r="2533" spans="1:15">
      <c r="A2533" t="s">
        <v>6473</v>
      </c>
      <c r="B2533" t="s">
        <v>6473</v>
      </c>
      <c r="C2533" t="s">
        <v>4818</v>
      </c>
      <c r="F2533">
        <v>1</v>
      </c>
      <c r="G2533" s="1" t="s">
        <v>2649</v>
      </c>
      <c r="I2533" s="1" t="s">
        <v>11473</v>
      </c>
      <c r="O2533" t="s">
        <v>22</v>
      </c>
    </row>
    <row r="2534" spans="1:15">
      <c r="A2534" t="s">
        <v>7990</v>
      </c>
      <c r="B2534" t="s">
        <v>7990</v>
      </c>
      <c r="C2534" t="s">
        <v>4818</v>
      </c>
      <c r="F2534">
        <v>1</v>
      </c>
      <c r="G2534" s="1" t="s">
        <v>2650</v>
      </c>
      <c r="I2534" s="1" t="s">
        <v>11473</v>
      </c>
      <c r="O2534" t="s">
        <v>22</v>
      </c>
    </row>
    <row r="2535" spans="1:15">
      <c r="A2535" t="s">
        <v>10050</v>
      </c>
      <c r="B2535" t="s">
        <v>10050</v>
      </c>
      <c r="C2535" t="s">
        <v>4818</v>
      </c>
      <c r="F2535">
        <v>1</v>
      </c>
      <c r="G2535" s="1" t="s">
        <v>2651</v>
      </c>
      <c r="I2535" s="1" t="s">
        <v>11473</v>
      </c>
      <c r="O2535" t="s">
        <v>22</v>
      </c>
    </row>
    <row r="2536" spans="1:15">
      <c r="A2536" t="s">
        <v>10173</v>
      </c>
      <c r="B2536" t="s">
        <v>10173</v>
      </c>
      <c r="C2536" t="s">
        <v>4818</v>
      </c>
      <c r="F2536">
        <v>1</v>
      </c>
      <c r="G2536" s="1" t="s">
        <v>2652</v>
      </c>
      <c r="I2536" s="1" t="s">
        <v>11473</v>
      </c>
      <c r="O2536" t="s">
        <v>22</v>
      </c>
    </row>
    <row r="2537" spans="1:15">
      <c r="A2537" t="s">
        <v>5882</v>
      </c>
      <c r="B2537" t="s">
        <v>5882</v>
      </c>
      <c r="C2537" t="s">
        <v>5246</v>
      </c>
      <c r="F2537">
        <v>1</v>
      </c>
      <c r="G2537" s="1" t="s">
        <v>2653</v>
      </c>
      <c r="I2537" s="1" t="s">
        <v>11473</v>
      </c>
      <c r="O2537" t="s">
        <v>22</v>
      </c>
    </row>
    <row r="2538" spans="1:15">
      <c r="A2538" t="s">
        <v>6699</v>
      </c>
      <c r="B2538" t="s">
        <v>6699</v>
      </c>
      <c r="C2538" t="s">
        <v>5246</v>
      </c>
      <c r="F2538">
        <v>1</v>
      </c>
      <c r="G2538" s="1" t="s">
        <v>2654</v>
      </c>
      <c r="I2538" s="1" t="s">
        <v>11473</v>
      </c>
      <c r="O2538" t="s">
        <v>22</v>
      </c>
    </row>
    <row r="2539" spans="1:15">
      <c r="A2539" t="s">
        <v>9543</v>
      </c>
      <c r="B2539" t="s">
        <v>9543</v>
      </c>
      <c r="C2539" t="s">
        <v>5246</v>
      </c>
      <c r="F2539">
        <v>1</v>
      </c>
      <c r="G2539" s="1" t="s">
        <v>2655</v>
      </c>
      <c r="I2539" s="1" t="s">
        <v>11473</v>
      </c>
      <c r="O2539" t="s">
        <v>22</v>
      </c>
    </row>
    <row r="2540" spans="1:15">
      <c r="A2540" t="s">
        <v>10153</v>
      </c>
      <c r="B2540" t="s">
        <v>10153</v>
      </c>
      <c r="C2540" t="s">
        <v>5246</v>
      </c>
      <c r="F2540">
        <v>1</v>
      </c>
      <c r="G2540" s="1" t="s">
        <v>2656</v>
      </c>
      <c r="I2540" s="1" t="s">
        <v>11473</v>
      </c>
      <c r="O2540" t="s">
        <v>22</v>
      </c>
    </row>
    <row r="2541" spans="1:15">
      <c r="A2541" t="s">
        <v>11450</v>
      </c>
      <c r="B2541" t="s">
        <v>11450</v>
      </c>
      <c r="C2541" t="s">
        <v>5246</v>
      </c>
      <c r="F2541">
        <v>1</v>
      </c>
      <c r="G2541" s="1" t="s">
        <v>2657</v>
      </c>
      <c r="I2541" s="1" t="s">
        <v>11473</v>
      </c>
      <c r="O2541" t="s">
        <v>22</v>
      </c>
    </row>
    <row r="2542" spans="1:15">
      <c r="A2542" t="s">
        <v>7624</v>
      </c>
      <c r="B2542" t="s">
        <v>7624</v>
      </c>
      <c r="C2542" t="s">
        <v>4908</v>
      </c>
      <c r="F2542">
        <v>1</v>
      </c>
      <c r="G2542" s="1" t="s">
        <v>2658</v>
      </c>
      <c r="I2542" s="1" t="s">
        <v>11473</v>
      </c>
      <c r="O2542" t="s">
        <v>22</v>
      </c>
    </row>
    <row r="2543" spans="1:15">
      <c r="A2543" t="s">
        <v>9350</v>
      </c>
      <c r="B2543" t="s">
        <v>9350</v>
      </c>
      <c r="C2543" t="s">
        <v>4908</v>
      </c>
      <c r="F2543">
        <v>1</v>
      </c>
      <c r="G2543" s="1" t="s">
        <v>2659</v>
      </c>
      <c r="I2543" s="1" t="s">
        <v>11473</v>
      </c>
      <c r="O2543" t="s">
        <v>22</v>
      </c>
    </row>
    <row r="2544" spans="1:15">
      <c r="A2544" t="s">
        <v>8936</v>
      </c>
      <c r="B2544" t="s">
        <v>8936</v>
      </c>
      <c r="C2544" t="s">
        <v>4630</v>
      </c>
      <c r="F2544">
        <v>1</v>
      </c>
      <c r="G2544" s="1" t="s">
        <v>2660</v>
      </c>
      <c r="I2544" s="1" t="s">
        <v>11473</v>
      </c>
      <c r="O2544" t="s">
        <v>22</v>
      </c>
    </row>
    <row r="2545" spans="1:15">
      <c r="A2545" t="s">
        <v>9676</v>
      </c>
      <c r="B2545" t="s">
        <v>9676</v>
      </c>
      <c r="C2545" t="s">
        <v>4630</v>
      </c>
      <c r="F2545">
        <v>1</v>
      </c>
      <c r="G2545" s="1" t="s">
        <v>2661</v>
      </c>
      <c r="I2545" s="1" t="s">
        <v>11473</v>
      </c>
      <c r="O2545" t="s">
        <v>22</v>
      </c>
    </row>
    <row r="2546" spans="1:15">
      <c r="A2546" t="s">
        <v>10039</v>
      </c>
      <c r="B2546" t="s">
        <v>10039</v>
      </c>
      <c r="C2546" t="s">
        <v>4630</v>
      </c>
      <c r="F2546">
        <v>1</v>
      </c>
      <c r="G2546" s="1" t="s">
        <v>2662</v>
      </c>
      <c r="I2546" s="1" t="s">
        <v>11473</v>
      </c>
      <c r="O2546" t="s">
        <v>22</v>
      </c>
    </row>
    <row r="2547" spans="1:15">
      <c r="A2547" t="s">
        <v>6912</v>
      </c>
      <c r="B2547" t="s">
        <v>6912</v>
      </c>
      <c r="C2547" t="s">
        <v>6913</v>
      </c>
      <c r="F2547">
        <v>1</v>
      </c>
      <c r="G2547" s="1" t="s">
        <v>2663</v>
      </c>
      <c r="I2547" s="1" t="s">
        <v>11473</v>
      </c>
      <c r="O2547" t="s">
        <v>22</v>
      </c>
    </row>
    <row r="2548" spans="1:15">
      <c r="A2548" t="s">
        <v>6509</v>
      </c>
      <c r="B2548" t="s">
        <v>6509</v>
      </c>
      <c r="C2548" t="s">
        <v>4987</v>
      </c>
      <c r="F2548">
        <v>1</v>
      </c>
      <c r="G2548" s="1" t="s">
        <v>2664</v>
      </c>
      <c r="I2548" s="1" t="s">
        <v>11473</v>
      </c>
      <c r="O2548" t="s">
        <v>22</v>
      </c>
    </row>
    <row r="2549" spans="1:15">
      <c r="A2549" t="s">
        <v>10570</v>
      </c>
      <c r="B2549" t="s">
        <v>10570</v>
      </c>
      <c r="C2549" t="s">
        <v>4987</v>
      </c>
      <c r="F2549">
        <v>1</v>
      </c>
      <c r="G2549" s="1" t="s">
        <v>2665</v>
      </c>
      <c r="I2549" s="1" t="s">
        <v>11473</v>
      </c>
      <c r="O2549" t="s">
        <v>22</v>
      </c>
    </row>
    <row r="2550" spans="1:15">
      <c r="A2550" t="s">
        <v>10752</v>
      </c>
      <c r="B2550" t="s">
        <v>10752</v>
      </c>
      <c r="C2550" t="s">
        <v>4987</v>
      </c>
      <c r="F2550">
        <v>1</v>
      </c>
      <c r="G2550" s="1" t="s">
        <v>2666</v>
      </c>
      <c r="I2550" s="1" t="s">
        <v>11473</v>
      </c>
      <c r="O2550" t="s">
        <v>22</v>
      </c>
    </row>
    <row r="2551" spans="1:15">
      <c r="A2551" t="s">
        <v>6511</v>
      </c>
      <c r="B2551" t="s">
        <v>6511</v>
      </c>
      <c r="C2551" t="s">
        <v>4157</v>
      </c>
      <c r="F2551">
        <v>1</v>
      </c>
      <c r="G2551" s="1" t="s">
        <v>2667</v>
      </c>
      <c r="I2551" s="1" t="s">
        <v>11473</v>
      </c>
      <c r="O2551" t="s">
        <v>22</v>
      </c>
    </row>
    <row r="2552" spans="1:15">
      <c r="A2552" t="s">
        <v>11259</v>
      </c>
      <c r="B2552" t="s">
        <v>11259</v>
      </c>
      <c r="C2552" t="s">
        <v>4157</v>
      </c>
      <c r="F2552">
        <v>1</v>
      </c>
      <c r="G2552" s="1" t="s">
        <v>2668</v>
      </c>
      <c r="I2552" s="1" t="s">
        <v>11473</v>
      </c>
      <c r="O2552" t="s">
        <v>22</v>
      </c>
    </row>
    <row r="2553" spans="1:15">
      <c r="A2553" t="s">
        <v>7680</v>
      </c>
      <c r="B2553" t="s">
        <v>7680</v>
      </c>
      <c r="C2553" t="s">
        <v>4800</v>
      </c>
      <c r="F2553">
        <v>1</v>
      </c>
      <c r="G2553" s="1" t="s">
        <v>2669</v>
      </c>
      <c r="I2553" s="1" t="s">
        <v>11473</v>
      </c>
      <c r="O2553" t="s">
        <v>22</v>
      </c>
    </row>
    <row r="2554" spans="1:15">
      <c r="A2554" t="s">
        <v>9687</v>
      </c>
      <c r="B2554" t="s">
        <v>9687</v>
      </c>
      <c r="C2554" t="s">
        <v>4800</v>
      </c>
      <c r="F2554">
        <v>1</v>
      </c>
      <c r="G2554" s="1" t="s">
        <v>2670</v>
      </c>
      <c r="I2554" s="1" t="s">
        <v>11473</v>
      </c>
      <c r="O2554" t="s">
        <v>22</v>
      </c>
    </row>
    <row r="2555" spans="1:15">
      <c r="A2555" t="s">
        <v>6180</v>
      </c>
      <c r="B2555" t="s">
        <v>6180</v>
      </c>
      <c r="C2555" t="s">
        <v>5113</v>
      </c>
      <c r="F2555">
        <v>1</v>
      </c>
      <c r="G2555" s="1" t="s">
        <v>2671</v>
      </c>
      <c r="I2555" s="1" t="s">
        <v>11473</v>
      </c>
      <c r="O2555" t="s">
        <v>22</v>
      </c>
    </row>
    <row r="2556" spans="1:15">
      <c r="A2556" t="s">
        <v>6481</v>
      </c>
      <c r="B2556" t="s">
        <v>6481</v>
      </c>
      <c r="C2556" t="s">
        <v>5236</v>
      </c>
      <c r="F2556">
        <v>1</v>
      </c>
      <c r="G2556" s="1" t="s">
        <v>2672</v>
      </c>
      <c r="I2556" s="1" t="s">
        <v>11473</v>
      </c>
      <c r="O2556" t="s">
        <v>22</v>
      </c>
    </row>
    <row r="2557" spans="1:15">
      <c r="A2557" t="s">
        <v>7706</v>
      </c>
      <c r="B2557" t="s">
        <v>7706</v>
      </c>
      <c r="C2557" t="s">
        <v>5236</v>
      </c>
      <c r="F2557">
        <v>1</v>
      </c>
      <c r="G2557" s="1" t="s">
        <v>2673</v>
      </c>
      <c r="I2557" s="1" t="s">
        <v>11473</v>
      </c>
      <c r="O2557" t="s">
        <v>22</v>
      </c>
    </row>
    <row r="2558" spans="1:15">
      <c r="A2558" t="s">
        <v>6943</v>
      </c>
      <c r="B2558" t="s">
        <v>6943</v>
      </c>
      <c r="C2558" t="s">
        <v>4207</v>
      </c>
      <c r="F2558">
        <v>1</v>
      </c>
      <c r="G2558" s="1" t="s">
        <v>2674</v>
      </c>
      <c r="I2558" s="1" t="s">
        <v>11473</v>
      </c>
      <c r="O2558" t="s">
        <v>22</v>
      </c>
    </row>
    <row r="2559" spans="1:15">
      <c r="A2559" t="s">
        <v>10588</v>
      </c>
      <c r="B2559" t="s">
        <v>10588</v>
      </c>
      <c r="C2559" t="s">
        <v>4207</v>
      </c>
      <c r="F2559">
        <v>1</v>
      </c>
      <c r="G2559" s="1" t="s">
        <v>2675</v>
      </c>
      <c r="I2559" s="1" t="s">
        <v>11473</v>
      </c>
      <c r="O2559" t="s">
        <v>22</v>
      </c>
    </row>
    <row r="2560" spans="1:15">
      <c r="A2560" t="s">
        <v>10331</v>
      </c>
      <c r="B2560" t="s">
        <v>10331</v>
      </c>
      <c r="C2560" t="s">
        <v>5251</v>
      </c>
      <c r="F2560">
        <v>1</v>
      </c>
      <c r="G2560" s="1" t="s">
        <v>2676</v>
      </c>
      <c r="I2560" s="1" t="s">
        <v>11473</v>
      </c>
      <c r="O2560" t="s">
        <v>22</v>
      </c>
    </row>
    <row r="2561" spans="1:15">
      <c r="A2561" t="s">
        <v>10321</v>
      </c>
      <c r="B2561" t="s">
        <v>10321</v>
      </c>
      <c r="C2561" t="s">
        <v>8062</v>
      </c>
      <c r="F2561">
        <v>1</v>
      </c>
      <c r="G2561" s="1" t="s">
        <v>2677</v>
      </c>
      <c r="I2561" s="1" t="s">
        <v>11473</v>
      </c>
      <c r="O2561" t="s">
        <v>22</v>
      </c>
    </row>
    <row r="2562" spans="1:15">
      <c r="A2562" t="s">
        <v>6947</v>
      </c>
      <c r="B2562" t="s">
        <v>6947</v>
      </c>
      <c r="C2562" t="s">
        <v>5328</v>
      </c>
      <c r="F2562">
        <v>1</v>
      </c>
      <c r="G2562" s="1" t="s">
        <v>2678</v>
      </c>
      <c r="I2562" s="1" t="s">
        <v>11473</v>
      </c>
      <c r="O2562" t="s">
        <v>22</v>
      </c>
    </row>
    <row r="2563" spans="1:15">
      <c r="A2563" t="s">
        <v>6687</v>
      </c>
      <c r="B2563" t="s">
        <v>6687</v>
      </c>
      <c r="C2563" t="s">
        <v>6688</v>
      </c>
      <c r="F2563">
        <v>1</v>
      </c>
      <c r="G2563" s="1" t="s">
        <v>2679</v>
      </c>
      <c r="I2563" s="1" t="s">
        <v>11473</v>
      </c>
      <c r="O2563" t="s">
        <v>22</v>
      </c>
    </row>
    <row r="2564" spans="1:15">
      <c r="A2564" t="s">
        <v>6953</v>
      </c>
      <c r="B2564" t="s">
        <v>6953</v>
      </c>
      <c r="C2564" t="s">
        <v>5027</v>
      </c>
      <c r="F2564">
        <v>1</v>
      </c>
      <c r="G2564" s="1" t="s">
        <v>2680</v>
      </c>
      <c r="I2564" s="1" t="s">
        <v>11473</v>
      </c>
      <c r="O2564" t="s">
        <v>22</v>
      </c>
    </row>
    <row r="2565" spans="1:15">
      <c r="A2565" t="s">
        <v>7702</v>
      </c>
      <c r="B2565" t="s">
        <v>7702</v>
      </c>
      <c r="C2565" t="s">
        <v>5027</v>
      </c>
      <c r="F2565">
        <v>1</v>
      </c>
      <c r="G2565" s="1" t="s">
        <v>2681</v>
      </c>
      <c r="I2565" s="1" t="s">
        <v>11473</v>
      </c>
      <c r="O2565" t="s">
        <v>22</v>
      </c>
    </row>
    <row r="2566" spans="1:15">
      <c r="A2566" t="s">
        <v>11452</v>
      </c>
      <c r="B2566" t="s">
        <v>11452</v>
      </c>
      <c r="C2566" t="s">
        <v>5027</v>
      </c>
      <c r="F2566">
        <v>1</v>
      </c>
      <c r="G2566" s="1" t="s">
        <v>2682</v>
      </c>
      <c r="I2566" s="1" t="s">
        <v>11473</v>
      </c>
      <c r="O2566" t="s">
        <v>22</v>
      </c>
    </row>
    <row r="2567" spans="1:15">
      <c r="A2567" t="s">
        <v>11467</v>
      </c>
      <c r="B2567" t="s">
        <v>11467</v>
      </c>
      <c r="C2567" t="s">
        <v>5377</v>
      </c>
      <c r="F2567">
        <v>1</v>
      </c>
      <c r="G2567" s="1" t="s">
        <v>2683</v>
      </c>
      <c r="I2567" s="1" t="s">
        <v>11473</v>
      </c>
      <c r="O2567" t="s">
        <v>22</v>
      </c>
    </row>
    <row r="2568" spans="1:15">
      <c r="A2568" t="s">
        <v>6445</v>
      </c>
      <c r="B2568" t="s">
        <v>6445</v>
      </c>
      <c r="C2568" t="s">
        <v>4929</v>
      </c>
      <c r="F2568">
        <v>1</v>
      </c>
      <c r="G2568" s="1" t="s">
        <v>2684</v>
      </c>
      <c r="I2568" s="1" t="s">
        <v>11473</v>
      </c>
      <c r="O2568" t="s">
        <v>22</v>
      </c>
    </row>
    <row r="2569" spans="1:15">
      <c r="A2569" t="s">
        <v>6698</v>
      </c>
      <c r="B2569" t="s">
        <v>6698</v>
      </c>
      <c r="C2569" t="s">
        <v>4765</v>
      </c>
      <c r="F2569">
        <v>1</v>
      </c>
      <c r="G2569" s="1" t="s">
        <v>2685</v>
      </c>
      <c r="I2569" s="1" t="s">
        <v>11473</v>
      </c>
      <c r="O2569" t="s">
        <v>22</v>
      </c>
    </row>
    <row r="2570" spans="1:15">
      <c r="A2570" t="s">
        <v>9483</v>
      </c>
      <c r="B2570" t="s">
        <v>9483</v>
      </c>
      <c r="C2570" t="s">
        <v>9484</v>
      </c>
      <c r="F2570">
        <v>1</v>
      </c>
      <c r="G2570" s="1" t="s">
        <v>2686</v>
      </c>
      <c r="I2570" s="1" t="s">
        <v>11473</v>
      </c>
      <c r="O2570" t="s">
        <v>22</v>
      </c>
    </row>
    <row r="2571" spans="1:15">
      <c r="A2571" t="s">
        <v>6480</v>
      </c>
      <c r="B2571" t="s">
        <v>6480</v>
      </c>
      <c r="C2571" t="s">
        <v>4220</v>
      </c>
      <c r="F2571">
        <v>1</v>
      </c>
      <c r="G2571" s="1" t="s">
        <v>2687</v>
      </c>
      <c r="I2571" s="1" t="s">
        <v>11473</v>
      </c>
      <c r="O2571" t="s">
        <v>22</v>
      </c>
    </row>
    <row r="2572" spans="1:15">
      <c r="A2572" t="s">
        <v>8618</v>
      </c>
      <c r="B2572" t="s">
        <v>8618</v>
      </c>
      <c r="C2572" t="s">
        <v>4220</v>
      </c>
      <c r="F2572">
        <v>1</v>
      </c>
      <c r="G2572" s="1" t="s">
        <v>2688</v>
      </c>
      <c r="I2572" s="1" t="s">
        <v>11473</v>
      </c>
      <c r="O2572" t="s">
        <v>22</v>
      </c>
    </row>
    <row r="2573" spans="1:15">
      <c r="A2573" t="s">
        <v>6679</v>
      </c>
      <c r="B2573" t="s">
        <v>6679</v>
      </c>
      <c r="C2573" t="s">
        <v>6680</v>
      </c>
      <c r="F2573">
        <v>1</v>
      </c>
      <c r="G2573" s="1" t="s">
        <v>2689</v>
      </c>
      <c r="I2573" s="1" t="s">
        <v>11473</v>
      </c>
      <c r="O2573" t="s">
        <v>22</v>
      </c>
    </row>
    <row r="2574" spans="1:15">
      <c r="A2574" t="s">
        <v>6684</v>
      </c>
      <c r="B2574" t="s">
        <v>6684</v>
      </c>
      <c r="C2574" t="s">
        <v>6680</v>
      </c>
      <c r="F2574">
        <v>1</v>
      </c>
      <c r="G2574" s="1" t="s">
        <v>2690</v>
      </c>
      <c r="I2574" s="1" t="s">
        <v>11473</v>
      </c>
      <c r="O2574" t="s">
        <v>22</v>
      </c>
    </row>
    <row r="2575" spans="1:15">
      <c r="A2575" t="s">
        <v>6710</v>
      </c>
      <c r="B2575" t="s">
        <v>6710</v>
      </c>
      <c r="C2575" t="s">
        <v>6680</v>
      </c>
      <c r="F2575">
        <v>1</v>
      </c>
      <c r="G2575" s="1" t="s">
        <v>2691</v>
      </c>
      <c r="I2575" s="1" t="s">
        <v>11473</v>
      </c>
      <c r="O2575" t="s">
        <v>22</v>
      </c>
    </row>
    <row r="2576" spans="1:15">
      <c r="A2576" t="s">
        <v>6728</v>
      </c>
      <c r="B2576" t="s">
        <v>6728</v>
      </c>
      <c r="C2576" t="s">
        <v>6680</v>
      </c>
      <c r="F2576">
        <v>1</v>
      </c>
      <c r="G2576" s="1" t="s">
        <v>2692</v>
      </c>
      <c r="I2576" s="1" t="s">
        <v>11473</v>
      </c>
      <c r="O2576" t="s">
        <v>22</v>
      </c>
    </row>
    <row r="2577" spans="1:15">
      <c r="A2577" t="s">
        <v>9558</v>
      </c>
      <c r="B2577" t="s">
        <v>9558</v>
      </c>
      <c r="C2577" t="s">
        <v>6680</v>
      </c>
      <c r="F2577">
        <v>1</v>
      </c>
      <c r="G2577" s="1" t="s">
        <v>2693</v>
      </c>
      <c r="I2577" s="1" t="s">
        <v>11473</v>
      </c>
      <c r="O2577" t="s">
        <v>22</v>
      </c>
    </row>
    <row r="2578" spans="1:15">
      <c r="A2578" t="s">
        <v>10268</v>
      </c>
      <c r="B2578" t="s">
        <v>10268</v>
      </c>
      <c r="C2578" t="s">
        <v>6680</v>
      </c>
      <c r="F2578">
        <v>1</v>
      </c>
      <c r="G2578" s="1" t="s">
        <v>2694</v>
      </c>
      <c r="I2578" s="1" t="s">
        <v>11473</v>
      </c>
      <c r="O2578" t="s">
        <v>22</v>
      </c>
    </row>
    <row r="2579" spans="1:15">
      <c r="A2579" t="s">
        <v>7716</v>
      </c>
      <c r="B2579" t="s">
        <v>7716</v>
      </c>
      <c r="C2579" t="s">
        <v>5154</v>
      </c>
      <c r="F2579">
        <v>1</v>
      </c>
      <c r="G2579" s="1" t="s">
        <v>2695</v>
      </c>
      <c r="I2579" s="1" t="s">
        <v>11473</v>
      </c>
      <c r="O2579" t="s">
        <v>22</v>
      </c>
    </row>
    <row r="2580" spans="1:15">
      <c r="A2580" t="s">
        <v>9103</v>
      </c>
      <c r="B2580" t="s">
        <v>9103</v>
      </c>
      <c r="C2580" t="s">
        <v>4616</v>
      </c>
      <c r="F2580">
        <v>1</v>
      </c>
      <c r="G2580" s="1" t="s">
        <v>2696</v>
      </c>
      <c r="I2580" s="1" t="s">
        <v>11473</v>
      </c>
      <c r="O2580" t="s">
        <v>22</v>
      </c>
    </row>
    <row r="2581" spans="1:15">
      <c r="A2581" t="s">
        <v>7701</v>
      </c>
      <c r="B2581" t="s">
        <v>7701</v>
      </c>
      <c r="C2581" t="s">
        <v>4983</v>
      </c>
      <c r="F2581">
        <v>1</v>
      </c>
      <c r="G2581" s="1" t="s">
        <v>2697</v>
      </c>
      <c r="I2581" s="1" t="s">
        <v>11473</v>
      </c>
      <c r="O2581" t="s">
        <v>22</v>
      </c>
    </row>
    <row r="2582" spans="1:15">
      <c r="A2582" t="s">
        <v>7707</v>
      </c>
      <c r="B2582" t="s">
        <v>7707</v>
      </c>
      <c r="C2582" t="s">
        <v>4983</v>
      </c>
      <c r="F2582">
        <v>1</v>
      </c>
      <c r="G2582" s="1" t="s">
        <v>2698</v>
      </c>
      <c r="I2582" s="1" t="s">
        <v>11473</v>
      </c>
      <c r="O2582" t="s">
        <v>22</v>
      </c>
    </row>
    <row r="2583" spans="1:15">
      <c r="A2583" t="s">
        <v>10134</v>
      </c>
      <c r="B2583" t="s">
        <v>10134</v>
      </c>
      <c r="C2583" t="s">
        <v>4983</v>
      </c>
      <c r="F2583">
        <v>1</v>
      </c>
      <c r="G2583" s="1" t="s">
        <v>2699</v>
      </c>
      <c r="I2583" s="1" t="s">
        <v>11473</v>
      </c>
      <c r="O2583" t="s">
        <v>22</v>
      </c>
    </row>
    <row r="2584" spans="1:15">
      <c r="A2584" t="s">
        <v>10327</v>
      </c>
      <c r="B2584" t="s">
        <v>10327</v>
      </c>
      <c r="C2584" t="s">
        <v>4983</v>
      </c>
      <c r="F2584">
        <v>1</v>
      </c>
      <c r="G2584" s="1" t="s">
        <v>2700</v>
      </c>
      <c r="I2584" s="1" t="s">
        <v>11473</v>
      </c>
      <c r="O2584" t="s">
        <v>22</v>
      </c>
    </row>
    <row r="2585" spans="1:15">
      <c r="A2585" t="s">
        <v>6474</v>
      </c>
      <c r="B2585" t="s">
        <v>6474</v>
      </c>
      <c r="C2585" t="s">
        <v>6475</v>
      </c>
      <c r="F2585">
        <v>1</v>
      </c>
      <c r="G2585" s="1" t="s">
        <v>2701</v>
      </c>
      <c r="I2585" s="1" t="s">
        <v>11473</v>
      </c>
      <c r="O2585" t="s">
        <v>22</v>
      </c>
    </row>
    <row r="2586" spans="1:15">
      <c r="A2586" t="s">
        <v>6485</v>
      </c>
      <c r="B2586" t="s">
        <v>6485</v>
      </c>
      <c r="C2586" t="s">
        <v>6475</v>
      </c>
      <c r="F2586">
        <v>1</v>
      </c>
      <c r="G2586" s="1" t="s">
        <v>2702</v>
      </c>
      <c r="I2586" s="1" t="s">
        <v>11473</v>
      </c>
      <c r="O2586" t="s">
        <v>22</v>
      </c>
    </row>
    <row r="2587" spans="1:15">
      <c r="A2587" t="s">
        <v>6934</v>
      </c>
      <c r="B2587" t="s">
        <v>6934</v>
      </c>
      <c r="C2587" t="s">
        <v>6475</v>
      </c>
      <c r="F2587">
        <v>1</v>
      </c>
      <c r="G2587" s="1" t="s">
        <v>2703</v>
      </c>
      <c r="I2587" s="1" t="s">
        <v>11473</v>
      </c>
      <c r="O2587" t="s">
        <v>22</v>
      </c>
    </row>
    <row r="2588" spans="1:15">
      <c r="A2588" t="s">
        <v>8597</v>
      </c>
      <c r="B2588" t="s">
        <v>8597</v>
      </c>
      <c r="C2588" t="s">
        <v>6475</v>
      </c>
      <c r="F2588">
        <v>1</v>
      </c>
      <c r="G2588" s="1" t="s">
        <v>2704</v>
      </c>
      <c r="I2588" s="1" t="s">
        <v>11473</v>
      </c>
      <c r="O2588" t="s">
        <v>22</v>
      </c>
    </row>
    <row r="2589" spans="1:15">
      <c r="A2589" t="s">
        <v>6946</v>
      </c>
      <c r="B2589" t="s">
        <v>6946</v>
      </c>
      <c r="C2589" t="s">
        <v>4320</v>
      </c>
      <c r="F2589">
        <v>1</v>
      </c>
      <c r="G2589" s="1" t="s">
        <v>2705</v>
      </c>
      <c r="I2589" s="1" t="s">
        <v>11473</v>
      </c>
      <c r="O2589" t="s">
        <v>22</v>
      </c>
    </row>
    <row r="2590" spans="1:15">
      <c r="A2590" t="s">
        <v>10917</v>
      </c>
      <c r="B2590" t="s">
        <v>10917</v>
      </c>
      <c r="C2590" t="s">
        <v>10918</v>
      </c>
      <c r="F2590">
        <v>1</v>
      </c>
      <c r="G2590" s="1" t="s">
        <v>2706</v>
      </c>
      <c r="I2590" s="1" t="s">
        <v>11473</v>
      </c>
      <c r="O2590" t="s">
        <v>22</v>
      </c>
    </row>
    <row r="2591" spans="1:15">
      <c r="A2591" t="s">
        <v>9956</v>
      </c>
      <c r="B2591" t="s">
        <v>9956</v>
      </c>
      <c r="C2591" t="s">
        <v>4662</v>
      </c>
      <c r="F2591">
        <v>1</v>
      </c>
      <c r="G2591" s="1" t="s">
        <v>2707</v>
      </c>
      <c r="I2591" s="1" t="s">
        <v>11473</v>
      </c>
      <c r="O2591" t="s">
        <v>22</v>
      </c>
    </row>
    <row r="2592" spans="1:15">
      <c r="A2592" t="s">
        <v>10587</v>
      </c>
      <c r="B2592" t="s">
        <v>10587</v>
      </c>
      <c r="C2592" t="s">
        <v>4662</v>
      </c>
      <c r="F2592">
        <v>1</v>
      </c>
      <c r="G2592" s="1" t="s">
        <v>2708</v>
      </c>
      <c r="I2592" s="1" t="s">
        <v>11473</v>
      </c>
      <c r="O2592" t="s">
        <v>22</v>
      </c>
    </row>
    <row r="2593" spans="1:15">
      <c r="A2593" t="s">
        <v>9214</v>
      </c>
      <c r="B2593" t="s">
        <v>9214</v>
      </c>
      <c r="C2593" t="s">
        <v>9215</v>
      </c>
      <c r="F2593">
        <v>1</v>
      </c>
      <c r="G2593" s="1" t="s">
        <v>2709</v>
      </c>
      <c r="I2593" s="1" t="s">
        <v>11473</v>
      </c>
      <c r="O2593" t="s">
        <v>22</v>
      </c>
    </row>
    <row r="2594" spans="1:15">
      <c r="A2594" t="s">
        <v>6665</v>
      </c>
      <c r="B2594" t="s">
        <v>6665</v>
      </c>
      <c r="C2594" t="s">
        <v>5390</v>
      </c>
      <c r="F2594">
        <v>1</v>
      </c>
      <c r="G2594" s="1" t="s">
        <v>2710</v>
      </c>
      <c r="I2594" s="1" t="s">
        <v>11473</v>
      </c>
      <c r="O2594" t="s">
        <v>22</v>
      </c>
    </row>
    <row r="2595" spans="1:15">
      <c r="A2595" t="s">
        <v>6463</v>
      </c>
      <c r="B2595" t="s">
        <v>6463</v>
      </c>
      <c r="C2595" t="s">
        <v>5121</v>
      </c>
      <c r="F2595">
        <v>1</v>
      </c>
      <c r="G2595" s="1" t="s">
        <v>2711</v>
      </c>
      <c r="I2595" s="1" t="s">
        <v>11473</v>
      </c>
      <c r="O2595" t="s">
        <v>22</v>
      </c>
    </row>
    <row r="2596" spans="1:15">
      <c r="A2596" t="s">
        <v>10120</v>
      </c>
      <c r="B2596" t="s">
        <v>10120</v>
      </c>
      <c r="C2596" t="s">
        <v>5121</v>
      </c>
      <c r="F2596">
        <v>1</v>
      </c>
      <c r="G2596" s="1" t="s">
        <v>2712</v>
      </c>
      <c r="I2596" s="1" t="s">
        <v>11473</v>
      </c>
      <c r="O2596" t="s">
        <v>22</v>
      </c>
    </row>
    <row r="2597" spans="1:15">
      <c r="A2597" t="s">
        <v>10299</v>
      </c>
      <c r="B2597" t="s">
        <v>10299</v>
      </c>
      <c r="C2597" t="s">
        <v>5121</v>
      </c>
      <c r="F2597">
        <v>1</v>
      </c>
      <c r="G2597" s="1" t="s">
        <v>2713</v>
      </c>
      <c r="I2597" s="1" t="s">
        <v>11473</v>
      </c>
      <c r="O2597" t="s">
        <v>22</v>
      </c>
    </row>
    <row r="2598" spans="1:15">
      <c r="A2598" t="s">
        <v>10320</v>
      </c>
      <c r="B2598" t="s">
        <v>10320</v>
      </c>
      <c r="C2598" t="s">
        <v>5121</v>
      </c>
      <c r="F2598">
        <v>1</v>
      </c>
      <c r="G2598" s="1" t="s">
        <v>2714</v>
      </c>
      <c r="I2598" s="1" t="s">
        <v>11473</v>
      </c>
      <c r="O2598" t="s">
        <v>22</v>
      </c>
    </row>
    <row r="2599" spans="1:15">
      <c r="A2599" t="s">
        <v>11270</v>
      </c>
      <c r="B2599" t="s">
        <v>11270</v>
      </c>
      <c r="C2599" t="s">
        <v>7484</v>
      </c>
      <c r="F2599">
        <v>1</v>
      </c>
      <c r="G2599" s="1" t="s">
        <v>2715</v>
      </c>
      <c r="I2599" s="1" t="s">
        <v>11473</v>
      </c>
      <c r="O2599" t="s">
        <v>22</v>
      </c>
    </row>
    <row r="2600" spans="1:15">
      <c r="A2600" t="s">
        <v>6666</v>
      </c>
      <c r="B2600" t="s">
        <v>6666</v>
      </c>
      <c r="C2600" t="s">
        <v>5284</v>
      </c>
      <c r="F2600">
        <v>1</v>
      </c>
      <c r="G2600" s="1" t="s">
        <v>2716</v>
      </c>
      <c r="I2600" s="1" t="s">
        <v>11473</v>
      </c>
      <c r="O2600" t="s">
        <v>22</v>
      </c>
    </row>
    <row r="2601" spans="1:15">
      <c r="A2601" t="s">
        <v>9494</v>
      </c>
      <c r="B2601" t="s">
        <v>9494</v>
      </c>
      <c r="C2601" t="s">
        <v>5284</v>
      </c>
      <c r="F2601">
        <v>1</v>
      </c>
      <c r="G2601" s="1" t="s">
        <v>2717</v>
      </c>
      <c r="I2601" s="1" t="s">
        <v>11473</v>
      </c>
      <c r="O2601" t="s">
        <v>22</v>
      </c>
    </row>
    <row r="2602" spans="1:15">
      <c r="A2602" t="s">
        <v>7203</v>
      </c>
      <c r="B2602" t="s">
        <v>7203</v>
      </c>
      <c r="C2602" t="s">
        <v>5378</v>
      </c>
      <c r="F2602">
        <v>1</v>
      </c>
      <c r="G2602" s="1" t="s">
        <v>2718</v>
      </c>
      <c r="I2602" s="1" t="s">
        <v>11473</v>
      </c>
      <c r="O2602" t="s">
        <v>22</v>
      </c>
    </row>
    <row r="2603" spans="1:15">
      <c r="A2603" t="s">
        <v>5509</v>
      </c>
      <c r="B2603" t="s">
        <v>5509</v>
      </c>
      <c r="C2603" t="s">
        <v>5234</v>
      </c>
      <c r="F2603">
        <v>1</v>
      </c>
      <c r="G2603" s="1" t="s">
        <v>2719</v>
      </c>
      <c r="I2603" s="1" t="s">
        <v>11473</v>
      </c>
      <c r="O2603" t="s">
        <v>22</v>
      </c>
    </row>
    <row r="2604" spans="1:15">
      <c r="A2604" t="s">
        <v>10390</v>
      </c>
      <c r="B2604" t="s">
        <v>10390</v>
      </c>
      <c r="C2604" t="s">
        <v>5234</v>
      </c>
      <c r="F2604">
        <v>1</v>
      </c>
      <c r="G2604" s="1" t="s">
        <v>2720</v>
      </c>
      <c r="I2604" s="1" t="s">
        <v>11473</v>
      </c>
      <c r="O2604" t="s">
        <v>22</v>
      </c>
    </row>
    <row r="2605" spans="1:15">
      <c r="A2605" t="s">
        <v>6492</v>
      </c>
      <c r="B2605" t="s">
        <v>6492</v>
      </c>
      <c r="C2605" t="s">
        <v>4172</v>
      </c>
      <c r="F2605">
        <v>1</v>
      </c>
      <c r="G2605" s="1" t="s">
        <v>2721</v>
      </c>
      <c r="I2605" s="1" t="s">
        <v>11473</v>
      </c>
      <c r="O2605" t="s">
        <v>22</v>
      </c>
    </row>
    <row r="2606" spans="1:15">
      <c r="A2606" t="s">
        <v>7699</v>
      </c>
      <c r="B2606" t="s">
        <v>7699</v>
      </c>
      <c r="C2606" t="s">
        <v>4172</v>
      </c>
      <c r="F2606">
        <v>1</v>
      </c>
      <c r="G2606" s="1" t="s">
        <v>2722</v>
      </c>
      <c r="I2606" s="1" t="s">
        <v>11473</v>
      </c>
      <c r="O2606" t="s">
        <v>22</v>
      </c>
    </row>
    <row r="2607" spans="1:15">
      <c r="A2607" t="s">
        <v>10729</v>
      </c>
      <c r="B2607" t="s">
        <v>10729</v>
      </c>
      <c r="C2607" t="s">
        <v>4172</v>
      </c>
      <c r="F2607">
        <v>1</v>
      </c>
      <c r="G2607" s="1" t="s">
        <v>2723</v>
      </c>
      <c r="I2607" s="1" t="s">
        <v>11473</v>
      </c>
      <c r="O2607" t="s">
        <v>22</v>
      </c>
    </row>
    <row r="2608" spans="1:15">
      <c r="A2608" t="s">
        <v>6935</v>
      </c>
      <c r="B2608" t="s">
        <v>6935</v>
      </c>
      <c r="C2608" t="s">
        <v>4118</v>
      </c>
      <c r="F2608">
        <v>1</v>
      </c>
      <c r="G2608" s="1" t="s">
        <v>2724</v>
      </c>
      <c r="I2608" s="1" t="s">
        <v>11473</v>
      </c>
      <c r="O2608" t="s">
        <v>22</v>
      </c>
    </row>
    <row r="2609" spans="1:15">
      <c r="A2609" t="s">
        <v>8470</v>
      </c>
      <c r="B2609" t="s">
        <v>8470</v>
      </c>
      <c r="C2609" t="s">
        <v>5243</v>
      </c>
      <c r="F2609">
        <v>1</v>
      </c>
      <c r="G2609" s="1" t="s">
        <v>2725</v>
      </c>
      <c r="I2609" s="1" t="s">
        <v>11473</v>
      </c>
      <c r="O2609" t="s">
        <v>22</v>
      </c>
    </row>
    <row r="2610" spans="1:15">
      <c r="A2610" t="s">
        <v>8604</v>
      </c>
      <c r="B2610" t="s">
        <v>8604</v>
      </c>
      <c r="C2610" t="s">
        <v>5243</v>
      </c>
      <c r="F2610">
        <v>1</v>
      </c>
      <c r="G2610" s="1" t="s">
        <v>2726</v>
      </c>
      <c r="I2610" s="1" t="s">
        <v>11473</v>
      </c>
      <c r="O2610" t="s">
        <v>22</v>
      </c>
    </row>
    <row r="2611" spans="1:15">
      <c r="A2611" t="s">
        <v>6726</v>
      </c>
      <c r="B2611" t="s">
        <v>6726</v>
      </c>
      <c r="C2611" t="s">
        <v>6727</v>
      </c>
      <c r="F2611">
        <v>1</v>
      </c>
      <c r="G2611" s="1" t="s">
        <v>2727</v>
      </c>
      <c r="I2611" s="1" t="s">
        <v>11473</v>
      </c>
      <c r="O2611" t="s">
        <v>22</v>
      </c>
    </row>
    <row r="2612" spans="1:15">
      <c r="A2612" t="s">
        <v>6951</v>
      </c>
      <c r="B2612" t="s">
        <v>6951</v>
      </c>
      <c r="C2612" t="s">
        <v>6727</v>
      </c>
      <c r="F2612">
        <v>1</v>
      </c>
      <c r="G2612" s="1" t="s">
        <v>2728</v>
      </c>
      <c r="I2612" s="1" t="s">
        <v>11473</v>
      </c>
      <c r="O2612" t="s">
        <v>22</v>
      </c>
    </row>
    <row r="2613" spans="1:15">
      <c r="A2613" t="s">
        <v>8625</v>
      </c>
      <c r="B2613" t="s">
        <v>8625</v>
      </c>
      <c r="C2613" t="s">
        <v>6727</v>
      </c>
      <c r="F2613">
        <v>1</v>
      </c>
      <c r="G2613" s="1" t="s">
        <v>2729</v>
      </c>
      <c r="I2613" s="1" t="s">
        <v>11473</v>
      </c>
      <c r="O2613" t="s">
        <v>22</v>
      </c>
    </row>
    <row r="2614" spans="1:15">
      <c r="A2614" t="s">
        <v>6681</v>
      </c>
      <c r="B2614" t="s">
        <v>6681</v>
      </c>
      <c r="C2614" t="s">
        <v>5109</v>
      </c>
      <c r="F2614">
        <v>1</v>
      </c>
      <c r="G2614" s="1" t="s">
        <v>2730</v>
      </c>
      <c r="I2614" s="1" t="s">
        <v>11473</v>
      </c>
      <c r="O2614" t="s">
        <v>22</v>
      </c>
    </row>
    <row r="2615" spans="1:15">
      <c r="A2615" t="s">
        <v>8593</v>
      </c>
      <c r="B2615" t="s">
        <v>8593</v>
      </c>
      <c r="C2615" t="s">
        <v>5242</v>
      </c>
      <c r="F2615">
        <v>1</v>
      </c>
      <c r="G2615" s="1" t="s">
        <v>2731</v>
      </c>
      <c r="I2615" s="1" t="s">
        <v>11473</v>
      </c>
      <c r="O2615" t="s">
        <v>22</v>
      </c>
    </row>
    <row r="2616" spans="1:15">
      <c r="A2616" t="s">
        <v>9700</v>
      </c>
      <c r="B2616" t="s">
        <v>9700</v>
      </c>
      <c r="C2616" t="s">
        <v>5244</v>
      </c>
      <c r="F2616">
        <v>1</v>
      </c>
      <c r="G2616" s="1" t="s">
        <v>2732</v>
      </c>
      <c r="I2616" s="1" t="s">
        <v>11473</v>
      </c>
      <c r="O2616" t="s">
        <v>22</v>
      </c>
    </row>
    <row r="2617" spans="1:15">
      <c r="A2617" t="s">
        <v>10333</v>
      </c>
      <c r="B2617" t="s">
        <v>10333</v>
      </c>
      <c r="C2617" t="s">
        <v>5244</v>
      </c>
      <c r="F2617">
        <v>1</v>
      </c>
      <c r="G2617" s="1" t="s">
        <v>2733</v>
      </c>
      <c r="I2617" s="1" t="s">
        <v>11473</v>
      </c>
      <c r="O2617" t="s">
        <v>22</v>
      </c>
    </row>
    <row r="2618" spans="1:15">
      <c r="A2618" t="s">
        <v>6469</v>
      </c>
      <c r="B2618" t="s">
        <v>6469</v>
      </c>
      <c r="C2618" t="s">
        <v>6470</v>
      </c>
      <c r="F2618">
        <v>1</v>
      </c>
      <c r="G2618" s="1" t="s">
        <v>2734</v>
      </c>
      <c r="I2618" s="1" t="s">
        <v>11473</v>
      </c>
      <c r="O2618" t="s">
        <v>22</v>
      </c>
    </row>
    <row r="2619" spans="1:15">
      <c r="A2619" t="s">
        <v>8234</v>
      </c>
      <c r="B2619" t="s">
        <v>8234</v>
      </c>
      <c r="C2619" t="s">
        <v>6470</v>
      </c>
      <c r="F2619">
        <v>1</v>
      </c>
      <c r="G2619" s="1" t="s">
        <v>2735</v>
      </c>
      <c r="I2619" s="1" t="s">
        <v>11473</v>
      </c>
      <c r="O2619" t="s">
        <v>22</v>
      </c>
    </row>
    <row r="2620" spans="1:15">
      <c r="A2620" t="s">
        <v>8529</v>
      </c>
      <c r="B2620" t="s">
        <v>8529</v>
      </c>
      <c r="C2620" t="s">
        <v>6470</v>
      </c>
      <c r="F2620">
        <v>1</v>
      </c>
      <c r="G2620" s="1" t="s">
        <v>2736</v>
      </c>
      <c r="I2620" s="1" t="s">
        <v>11473</v>
      </c>
      <c r="O2620" t="s">
        <v>22</v>
      </c>
    </row>
    <row r="2621" spans="1:15">
      <c r="A2621" t="s">
        <v>10166</v>
      </c>
      <c r="B2621" t="s">
        <v>10166</v>
      </c>
      <c r="C2621" t="s">
        <v>4180</v>
      </c>
      <c r="F2621">
        <v>1</v>
      </c>
      <c r="G2621" s="1" t="s">
        <v>2737</v>
      </c>
      <c r="I2621" s="1" t="s">
        <v>11473</v>
      </c>
      <c r="O2621" t="s">
        <v>22</v>
      </c>
    </row>
    <row r="2622" spans="1:15">
      <c r="A2622" t="s">
        <v>10308</v>
      </c>
      <c r="B2622" t="s">
        <v>10308</v>
      </c>
      <c r="C2622" t="s">
        <v>10309</v>
      </c>
      <c r="F2622">
        <v>1</v>
      </c>
      <c r="G2622" s="1" t="s">
        <v>2738</v>
      </c>
      <c r="I2622" s="1" t="s">
        <v>11473</v>
      </c>
      <c r="O2622" t="s">
        <v>22</v>
      </c>
    </row>
    <row r="2623" spans="1:15">
      <c r="A2623" t="s">
        <v>10579</v>
      </c>
      <c r="B2623" t="s">
        <v>10579</v>
      </c>
      <c r="C2623" t="s">
        <v>10309</v>
      </c>
      <c r="F2623">
        <v>1</v>
      </c>
      <c r="G2623" s="1" t="s">
        <v>2739</v>
      </c>
      <c r="I2623" s="1" t="s">
        <v>11473</v>
      </c>
      <c r="O2623" t="s">
        <v>22</v>
      </c>
    </row>
    <row r="2624" spans="1:15">
      <c r="A2624" t="s">
        <v>6703</v>
      </c>
      <c r="B2624" t="s">
        <v>6703</v>
      </c>
      <c r="C2624" t="s">
        <v>5248</v>
      </c>
      <c r="F2624">
        <v>1</v>
      </c>
      <c r="G2624" s="1" t="s">
        <v>2740</v>
      </c>
      <c r="I2624" s="1" t="s">
        <v>11473</v>
      </c>
      <c r="O2624" t="s">
        <v>22</v>
      </c>
    </row>
    <row r="2625" spans="1:15">
      <c r="A2625" t="s">
        <v>7704</v>
      </c>
      <c r="B2625" t="s">
        <v>7704</v>
      </c>
      <c r="C2625" t="s">
        <v>5248</v>
      </c>
      <c r="F2625">
        <v>1</v>
      </c>
      <c r="G2625" s="1" t="s">
        <v>2741</v>
      </c>
      <c r="I2625" s="1" t="s">
        <v>11473</v>
      </c>
      <c r="O2625" t="s">
        <v>22</v>
      </c>
    </row>
    <row r="2626" spans="1:15">
      <c r="A2626" t="s">
        <v>10316</v>
      </c>
      <c r="B2626" t="s">
        <v>10316</v>
      </c>
      <c r="C2626" t="s">
        <v>10317</v>
      </c>
      <c r="F2626">
        <v>1</v>
      </c>
      <c r="G2626" s="1" t="s">
        <v>2742</v>
      </c>
      <c r="I2626" s="1" t="s">
        <v>11473</v>
      </c>
      <c r="O2626" t="s">
        <v>22</v>
      </c>
    </row>
    <row r="2627" spans="1:15">
      <c r="A2627" t="s">
        <v>7729</v>
      </c>
      <c r="B2627" t="s">
        <v>7729</v>
      </c>
      <c r="C2627" t="s">
        <v>5194</v>
      </c>
      <c r="F2627">
        <v>1</v>
      </c>
      <c r="G2627" s="1" t="s">
        <v>2743</v>
      </c>
      <c r="I2627" s="1" t="s">
        <v>11473</v>
      </c>
      <c r="O2627" t="s">
        <v>22</v>
      </c>
    </row>
    <row r="2628" spans="1:15">
      <c r="A2628" t="s">
        <v>6446</v>
      </c>
      <c r="B2628" t="s">
        <v>6446</v>
      </c>
      <c r="C2628" t="s">
        <v>5114</v>
      </c>
      <c r="F2628">
        <v>1</v>
      </c>
      <c r="G2628" s="1" t="s">
        <v>2744</v>
      </c>
      <c r="I2628" s="1" t="s">
        <v>11473</v>
      </c>
      <c r="O2628" t="s">
        <v>22</v>
      </c>
    </row>
    <row r="2629" spans="1:15">
      <c r="A2629" t="s">
        <v>6697</v>
      </c>
      <c r="B2629" t="s">
        <v>6697</v>
      </c>
      <c r="C2629" t="s">
        <v>5305</v>
      </c>
      <c r="F2629">
        <v>1</v>
      </c>
      <c r="G2629" s="1" t="s">
        <v>2745</v>
      </c>
      <c r="I2629" s="1" t="s">
        <v>11473</v>
      </c>
      <c r="O2629" t="s">
        <v>22</v>
      </c>
    </row>
    <row r="2630" spans="1:15">
      <c r="A2630" t="s">
        <v>10290</v>
      </c>
      <c r="B2630" t="s">
        <v>10290</v>
      </c>
      <c r="C2630" t="s">
        <v>10291</v>
      </c>
      <c r="F2630">
        <v>1</v>
      </c>
      <c r="G2630" s="1" t="s">
        <v>2746</v>
      </c>
      <c r="I2630" s="1" t="s">
        <v>11473</v>
      </c>
      <c r="O2630" t="s">
        <v>22</v>
      </c>
    </row>
    <row r="2631" spans="1:15">
      <c r="A2631" t="s">
        <v>10594</v>
      </c>
      <c r="B2631" t="s">
        <v>10594</v>
      </c>
      <c r="C2631" t="s">
        <v>10291</v>
      </c>
      <c r="F2631">
        <v>1</v>
      </c>
      <c r="G2631" s="1" t="s">
        <v>2747</v>
      </c>
      <c r="I2631" s="1" t="s">
        <v>11473</v>
      </c>
      <c r="O2631" t="s">
        <v>22</v>
      </c>
    </row>
    <row r="2632" spans="1:15">
      <c r="A2632" t="s">
        <v>11309</v>
      </c>
      <c r="B2632" t="s">
        <v>11309</v>
      </c>
      <c r="C2632" t="s">
        <v>10291</v>
      </c>
      <c r="F2632">
        <v>1</v>
      </c>
      <c r="G2632" s="1" t="s">
        <v>2748</v>
      </c>
      <c r="I2632" s="1" t="s">
        <v>11473</v>
      </c>
      <c r="O2632" t="s">
        <v>22</v>
      </c>
    </row>
    <row r="2633" spans="1:15">
      <c r="A2633" t="s">
        <v>6945</v>
      </c>
      <c r="B2633" t="s">
        <v>6945</v>
      </c>
      <c r="C2633" t="s">
        <v>4874</v>
      </c>
      <c r="F2633">
        <v>1</v>
      </c>
      <c r="G2633" s="1" t="s">
        <v>2749</v>
      </c>
      <c r="I2633" s="1" t="s">
        <v>11473</v>
      </c>
      <c r="O2633" t="s">
        <v>22</v>
      </c>
    </row>
    <row r="2634" spans="1:15">
      <c r="A2634" t="s">
        <v>9018</v>
      </c>
      <c r="B2634" t="s">
        <v>9018</v>
      </c>
      <c r="C2634" t="s">
        <v>4874</v>
      </c>
      <c r="F2634">
        <v>1</v>
      </c>
      <c r="G2634" s="1" t="s">
        <v>2750</v>
      </c>
      <c r="I2634" s="1" t="s">
        <v>11473</v>
      </c>
      <c r="O2634" t="s">
        <v>22</v>
      </c>
    </row>
    <row r="2635" spans="1:15">
      <c r="A2635" t="s">
        <v>6467</v>
      </c>
      <c r="B2635" t="s">
        <v>6467</v>
      </c>
      <c r="C2635" t="s">
        <v>6468</v>
      </c>
      <c r="F2635">
        <v>1</v>
      </c>
      <c r="G2635" s="1" t="s">
        <v>2751</v>
      </c>
      <c r="I2635" s="1" t="s">
        <v>11473</v>
      </c>
      <c r="O2635" t="s">
        <v>22</v>
      </c>
    </row>
    <row r="2636" spans="1:15">
      <c r="A2636" t="s">
        <v>8620</v>
      </c>
      <c r="B2636" t="s">
        <v>8620</v>
      </c>
      <c r="C2636" t="s">
        <v>6468</v>
      </c>
      <c r="F2636">
        <v>1</v>
      </c>
      <c r="G2636" s="1" t="s">
        <v>2752</v>
      </c>
      <c r="I2636" s="1" t="s">
        <v>11473</v>
      </c>
      <c r="O2636" t="s">
        <v>22</v>
      </c>
    </row>
    <row r="2637" spans="1:15">
      <c r="A2637" t="s">
        <v>7705</v>
      </c>
      <c r="B2637" t="s">
        <v>7705</v>
      </c>
      <c r="C2637" t="s">
        <v>4806</v>
      </c>
      <c r="F2637">
        <v>1</v>
      </c>
      <c r="G2637" s="1" t="s">
        <v>2753</v>
      </c>
      <c r="I2637" s="1" t="s">
        <v>11473</v>
      </c>
      <c r="O2637" t="s">
        <v>22</v>
      </c>
    </row>
    <row r="2638" spans="1:15">
      <c r="A2638" t="s">
        <v>9644</v>
      </c>
      <c r="B2638" t="s">
        <v>9644</v>
      </c>
      <c r="C2638" t="s">
        <v>9645</v>
      </c>
      <c r="F2638">
        <v>1</v>
      </c>
      <c r="G2638" s="1" t="s">
        <v>2754</v>
      </c>
      <c r="I2638" s="1" t="s">
        <v>11473</v>
      </c>
      <c r="O2638" t="s">
        <v>22</v>
      </c>
    </row>
    <row r="2639" spans="1:15">
      <c r="A2639" t="s">
        <v>9530</v>
      </c>
      <c r="B2639" t="s">
        <v>9530</v>
      </c>
      <c r="C2639" t="s">
        <v>9531</v>
      </c>
      <c r="F2639">
        <v>1</v>
      </c>
      <c r="G2639" s="1" t="s">
        <v>2755</v>
      </c>
      <c r="I2639" s="1" t="s">
        <v>11473</v>
      </c>
      <c r="O2639" t="s">
        <v>22</v>
      </c>
    </row>
    <row r="2640" spans="1:15">
      <c r="A2640" t="s">
        <v>6937</v>
      </c>
      <c r="B2640" t="s">
        <v>6937</v>
      </c>
      <c r="C2640" t="s">
        <v>5281</v>
      </c>
      <c r="F2640">
        <v>1</v>
      </c>
      <c r="G2640" s="1" t="s">
        <v>2756</v>
      </c>
      <c r="I2640" s="1" t="s">
        <v>11473</v>
      </c>
      <c r="O2640" t="s">
        <v>22</v>
      </c>
    </row>
    <row r="2641" spans="1:15">
      <c r="A2641" t="s">
        <v>10571</v>
      </c>
      <c r="B2641" t="s">
        <v>10571</v>
      </c>
      <c r="C2641" t="s">
        <v>4165</v>
      </c>
      <c r="F2641">
        <v>1</v>
      </c>
      <c r="G2641" s="1" t="s">
        <v>2757</v>
      </c>
      <c r="I2641" s="1" t="s">
        <v>11473</v>
      </c>
      <c r="O2641" t="s">
        <v>22</v>
      </c>
    </row>
    <row r="2642" spans="1:15">
      <c r="A2642" t="s">
        <v>10981</v>
      </c>
      <c r="B2642" t="s">
        <v>10981</v>
      </c>
      <c r="C2642" t="s">
        <v>4165</v>
      </c>
      <c r="F2642">
        <v>1</v>
      </c>
      <c r="G2642" s="1" t="s">
        <v>2758</v>
      </c>
      <c r="I2642" s="1" t="s">
        <v>11473</v>
      </c>
      <c r="O2642" t="s">
        <v>22</v>
      </c>
    </row>
    <row r="2643" spans="1:15">
      <c r="A2643" t="s">
        <v>10293</v>
      </c>
      <c r="B2643" t="s">
        <v>10293</v>
      </c>
      <c r="C2643" t="s">
        <v>10294</v>
      </c>
      <c r="F2643">
        <v>1</v>
      </c>
      <c r="G2643" s="1" t="s">
        <v>2759</v>
      </c>
      <c r="I2643" s="1" t="s">
        <v>11473</v>
      </c>
      <c r="O2643" t="s">
        <v>22</v>
      </c>
    </row>
    <row r="2644" spans="1:15">
      <c r="A2644" t="s">
        <v>6929</v>
      </c>
      <c r="B2644" t="s">
        <v>6929</v>
      </c>
      <c r="C2644" t="s">
        <v>6930</v>
      </c>
      <c r="F2644">
        <v>1</v>
      </c>
      <c r="G2644" s="1" t="s">
        <v>2760</v>
      </c>
      <c r="I2644" s="1" t="s">
        <v>11473</v>
      </c>
      <c r="O2644" t="s">
        <v>22</v>
      </c>
    </row>
    <row r="2645" spans="1:15">
      <c r="A2645" t="s">
        <v>6685</v>
      </c>
      <c r="B2645" t="s">
        <v>6685</v>
      </c>
      <c r="C2645" t="s">
        <v>6686</v>
      </c>
      <c r="F2645">
        <v>1</v>
      </c>
      <c r="G2645" s="1" t="s">
        <v>2761</v>
      </c>
      <c r="I2645" s="1" t="s">
        <v>11473</v>
      </c>
      <c r="O2645" t="s">
        <v>22</v>
      </c>
    </row>
    <row r="2646" spans="1:15">
      <c r="A2646" t="s">
        <v>8617</v>
      </c>
      <c r="B2646" t="s">
        <v>8617</v>
      </c>
      <c r="C2646" t="s">
        <v>6686</v>
      </c>
      <c r="F2646">
        <v>1</v>
      </c>
      <c r="G2646" s="1" t="s">
        <v>2762</v>
      </c>
      <c r="I2646" s="1" t="s">
        <v>11473</v>
      </c>
      <c r="O2646" t="s">
        <v>22</v>
      </c>
    </row>
    <row r="2647" spans="1:15">
      <c r="A2647" t="s">
        <v>9409</v>
      </c>
      <c r="B2647" t="s">
        <v>9409</v>
      </c>
      <c r="C2647" t="s">
        <v>6686</v>
      </c>
      <c r="F2647">
        <v>1</v>
      </c>
      <c r="G2647" s="1" t="s">
        <v>2763</v>
      </c>
      <c r="I2647" s="1" t="s">
        <v>11473</v>
      </c>
      <c r="O2647" t="s">
        <v>22</v>
      </c>
    </row>
    <row r="2648" spans="1:15">
      <c r="A2648" t="s">
        <v>6924</v>
      </c>
      <c r="B2648" t="s">
        <v>6924</v>
      </c>
      <c r="C2648" t="s">
        <v>5253</v>
      </c>
      <c r="F2648">
        <v>1</v>
      </c>
      <c r="G2648" s="1" t="s">
        <v>2764</v>
      </c>
      <c r="I2648" s="1" t="s">
        <v>11473</v>
      </c>
      <c r="O2648" t="s">
        <v>22</v>
      </c>
    </row>
    <row r="2649" spans="1:15">
      <c r="A2649" t="s">
        <v>7735</v>
      </c>
      <c r="B2649" t="s">
        <v>7735</v>
      </c>
      <c r="C2649" t="s">
        <v>7736</v>
      </c>
      <c r="F2649">
        <v>1</v>
      </c>
      <c r="G2649" s="1" t="s">
        <v>2765</v>
      </c>
      <c r="I2649" s="1" t="s">
        <v>11473</v>
      </c>
      <c r="O2649" t="s">
        <v>22</v>
      </c>
    </row>
    <row r="2650" spans="1:15">
      <c r="A2650" t="s">
        <v>6940</v>
      </c>
      <c r="B2650" t="s">
        <v>6940</v>
      </c>
      <c r="C2650" t="s">
        <v>5285</v>
      </c>
      <c r="F2650">
        <v>1</v>
      </c>
      <c r="G2650" s="1" t="s">
        <v>2766</v>
      </c>
      <c r="I2650" s="1" t="s">
        <v>11473</v>
      </c>
      <c r="O2650" t="s">
        <v>22</v>
      </c>
    </row>
    <row r="2651" spans="1:15">
      <c r="A2651" t="s">
        <v>10332</v>
      </c>
      <c r="B2651" t="s">
        <v>10332</v>
      </c>
      <c r="C2651" t="s">
        <v>5285</v>
      </c>
      <c r="F2651">
        <v>1</v>
      </c>
      <c r="G2651" s="1" t="s">
        <v>2767</v>
      </c>
      <c r="I2651" s="1" t="s">
        <v>11473</v>
      </c>
      <c r="O2651" t="s">
        <v>22</v>
      </c>
    </row>
    <row r="2652" spans="1:15">
      <c r="A2652" t="s">
        <v>6936</v>
      </c>
      <c r="B2652" t="s">
        <v>6936</v>
      </c>
      <c r="C2652" t="s">
        <v>5107</v>
      </c>
      <c r="F2652">
        <v>1</v>
      </c>
      <c r="G2652" s="1" t="s">
        <v>2768</v>
      </c>
      <c r="I2652" s="1" t="s">
        <v>11473</v>
      </c>
      <c r="O2652" t="s">
        <v>22</v>
      </c>
    </row>
    <row r="2653" spans="1:15">
      <c r="A2653" t="s">
        <v>9101</v>
      </c>
      <c r="B2653" t="s">
        <v>9101</v>
      </c>
      <c r="C2653" t="s">
        <v>4802</v>
      </c>
      <c r="F2653">
        <v>1</v>
      </c>
      <c r="G2653" s="1" t="s">
        <v>2769</v>
      </c>
      <c r="I2653" s="1" t="s">
        <v>11473</v>
      </c>
      <c r="O2653" t="s">
        <v>22</v>
      </c>
    </row>
    <row r="2654" spans="1:15">
      <c r="A2654" t="s">
        <v>8441</v>
      </c>
      <c r="B2654" t="s">
        <v>8441</v>
      </c>
      <c r="C2654" t="s">
        <v>5250</v>
      </c>
      <c r="F2654">
        <v>1</v>
      </c>
      <c r="G2654" s="1" t="s">
        <v>2770</v>
      </c>
      <c r="I2654" s="1" t="s">
        <v>11473</v>
      </c>
      <c r="O2654" t="s">
        <v>22</v>
      </c>
    </row>
    <row r="2655" spans="1:15">
      <c r="A2655" t="s">
        <v>10922</v>
      </c>
      <c r="B2655" t="s">
        <v>10922</v>
      </c>
      <c r="C2655" t="s">
        <v>5250</v>
      </c>
      <c r="F2655">
        <v>1</v>
      </c>
      <c r="G2655" s="1" t="s">
        <v>2771</v>
      </c>
      <c r="I2655" s="1" t="s">
        <v>11473</v>
      </c>
      <c r="O2655" t="s">
        <v>22</v>
      </c>
    </row>
    <row r="2656" spans="1:15">
      <c r="A2656" t="s">
        <v>10382</v>
      </c>
      <c r="B2656" t="s">
        <v>10382</v>
      </c>
      <c r="C2656" t="s">
        <v>5183</v>
      </c>
      <c r="F2656">
        <v>1</v>
      </c>
      <c r="G2656" s="1" t="s">
        <v>2772</v>
      </c>
      <c r="I2656" s="1" t="s">
        <v>11473</v>
      </c>
      <c r="O2656" t="s">
        <v>22</v>
      </c>
    </row>
    <row r="2657" spans="1:15">
      <c r="A2657" t="s">
        <v>11444</v>
      </c>
      <c r="B2657" t="s">
        <v>11444</v>
      </c>
      <c r="C2657" t="s">
        <v>5183</v>
      </c>
      <c r="F2657">
        <v>1</v>
      </c>
      <c r="G2657" s="1" t="s">
        <v>2773</v>
      </c>
      <c r="I2657" s="1" t="s">
        <v>11473</v>
      </c>
      <c r="O2657" t="s">
        <v>22</v>
      </c>
    </row>
    <row r="2658" spans="1:15">
      <c r="A2658" t="s">
        <v>8590</v>
      </c>
      <c r="B2658" t="s">
        <v>8590</v>
      </c>
      <c r="C2658" t="s">
        <v>5245</v>
      </c>
      <c r="F2658">
        <v>1</v>
      </c>
      <c r="G2658" s="1" t="s">
        <v>2774</v>
      </c>
      <c r="I2658" s="1" t="s">
        <v>11473</v>
      </c>
      <c r="O2658" t="s">
        <v>22</v>
      </c>
    </row>
    <row r="2659" spans="1:15">
      <c r="A2659" t="s">
        <v>10303</v>
      </c>
      <c r="B2659" t="s">
        <v>10303</v>
      </c>
      <c r="C2659" t="s">
        <v>5245</v>
      </c>
      <c r="F2659">
        <v>1</v>
      </c>
      <c r="G2659" s="1" t="s">
        <v>2775</v>
      </c>
      <c r="I2659" s="1" t="s">
        <v>11473</v>
      </c>
      <c r="O2659" t="s">
        <v>22</v>
      </c>
    </row>
    <row r="2660" spans="1:15">
      <c r="A2660" t="s">
        <v>10318</v>
      </c>
      <c r="B2660" t="s">
        <v>10318</v>
      </c>
      <c r="C2660" t="s">
        <v>5245</v>
      </c>
      <c r="F2660">
        <v>1</v>
      </c>
      <c r="G2660" s="1" t="s">
        <v>2776</v>
      </c>
      <c r="I2660" s="1" t="s">
        <v>11473</v>
      </c>
      <c r="O2660" t="s">
        <v>22</v>
      </c>
    </row>
    <row r="2661" spans="1:15">
      <c r="A2661" t="s">
        <v>6478</v>
      </c>
      <c r="B2661" t="s">
        <v>6478</v>
      </c>
      <c r="C2661" t="s">
        <v>5195</v>
      </c>
      <c r="F2661">
        <v>1</v>
      </c>
      <c r="G2661" s="1" t="s">
        <v>2777</v>
      </c>
      <c r="I2661" s="1" t="s">
        <v>11473</v>
      </c>
      <c r="O2661" t="s">
        <v>22</v>
      </c>
    </row>
    <row r="2662" spans="1:15">
      <c r="A2662" t="s">
        <v>8628</v>
      </c>
      <c r="B2662" t="s">
        <v>8628</v>
      </c>
      <c r="C2662" t="s">
        <v>5195</v>
      </c>
      <c r="F2662">
        <v>1</v>
      </c>
      <c r="G2662" s="1" t="s">
        <v>2778</v>
      </c>
      <c r="I2662" s="1" t="s">
        <v>11473</v>
      </c>
      <c r="O2662" t="s">
        <v>22</v>
      </c>
    </row>
    <row r="2663" spans="1:15">
      <c r="A2663" t="s">
        <v>6923</v>
      </c>
      <c r="B2663" t="s">
        <v>6923</v>
      </c>
      <c r="C2663" t="s">
        <v>5184</v>
      </c>
      <c r="F2663">
        <v>1</v>
      </c>
      <c r="G2663" s="1" t="s">
        <v>2779</v>
      </c>
      <c r="I2663" s="1" t="s">
        <v>11473</v>
      </c>
      <c r="O2663" t="s">
        <v>22</v>
      </c>
    </row>
    <row r="2664" spans="1:15">
      <c r="A2664" t="s">
        <v>7734</v>
      </c>
      <c r="B2664" t="s">
        <v>7734</v>
      </c>
      <c r="C2664" t="s">
        <v>5286</v>
      </c>
      <c r="F2664">
        <v>1</v>
      </c>
      <c r="G2664" s="1" t="s">
        <v>2780</v>
      </c>
      <c r="I2664" s="1" t="s">
        <v>11473</v>
      </c>
      <c r="O2664" t="s">
        <v>22</v>
      </c>
    </row>
    <row r="2665" spans="1:15">
      <c r="A2665" t="s">
        <v>9992</v>
      </c>
      <c r="B2665" t="s">
        <v>9992</v>
      </c>
      <c r="C2665" t="s">
        <v>5286</v>
      </c>
      <c r="F2665">
        <v>1</v>
      </c>
      <c r="G2665" s="1" t="s">
        <v>2781</v>
      </c>
      <c r="I2665" s="1" t="s">
        <v>11473</v>
      </c>
      <c r="O2665" t="s">
        <v>22</v>
      </c>
    </row>
    <row r="2666" spans="1:15">
      <c r="A2666" t="s">
        <v>6689</v>
      </c>
      <c r="B2666" t="s">
        <v>6689</v>
      </c>
      <c r="C2666" t="s">
        <v>6690</v>
      </c>
      <c r="F2666">
        <v>1</v>
      </c>
      <c r="G2666" s="1" t="s">
        <v>2782</v>
      </c>
      <c r="I2666" s="1" t="s">
        <v>11473</v>
      </c>
      <c r="O2666" t="s">
        <v>22</v>
      </c>
    </row>
    <row r="2667" spans="1:15">
      <c r="A2667" t="s">
        <v>10094</v>
      </c>
      <c r="B2667" t="s">
        <v>10094</v>
      </c>
      <c r="C2667" t="s">
        <v>6690</v>
      </c>
      <c r="F2667">
        <v>1</v>
      </c>
      <c r="G2667" s="1" t="s">
        <v>2783</v>
      </c>
      <c r="I2667" s="1" t="s">
        <v>11473</v>
      </c>
      <c r="O2667" t="s">
        <v>22</v>
      </c>
    </row>
    <row r="2668" spans="1:15">
      <c r="A2668" t="s">
        <v>6462</v>
      </c>
      <c r="B2668" t="s">
        <v>6462</v>
      </c>
      <c r="C2668" t="s">
        <v>4053</v>
      </c>
      <c r="F2668">
        <v>1</v>
      </c>
      <c r="G2668" s="1" t="s">
        <v>2784</v>
      </c>
      <c r="I2668" s="1" t="s">
        <v>11473</v>
      </c>
      <c r="O2668" t="s">
        <v>22</v>
      </c>
    </row>
    <row r="2669" spans="1:15">
      <c r="A2669" t="s">
        <v>6729</v>
      </c>
      <c r="B2669" t="s">
        <v>6729</v>
      </c>
      <c r="C2669" t="s">
        <v>4053</v>
      </c>
      <c r="F2669">
        <v>1</v>
      </c>
      <c r="G2669" s="1" t="s">
        <v>2785</v>
      </c>
      <c r="I2669" s="1" t="s">
        <v>11473</v>
      </c>
      <c r="O2669" t="s">
        <v>22</v>
      </c>
    </row>
    <row r="2670" spans="1:15">
      <c r="A2670" t="s">
        <v>6915</v>
      </c>
      <c r="B2670" t="s">
        <v>6915</v>
      </c>
      <c r="C2670" t="s">
        <v>4053</v>
      </c>
      <c r="F2670">
        <v>1</v>
      </c>
      <c r="G2670" s="1" t="s">
        <v>2786</v>
      </c>
      <c r="I2670" s="1" t="s">
        <v>11473</v>
      </c>
      <c r="O2670" t="s">
        <v>22</v>
      </c>
    </row>
    <row r="2671" spans="1:15">
      <c r="A2671" t="s">
        <v>9390</v>
      </c>
      <c r="B2671" t="s">
        <v>9390</v>
      </c>
      <c r="C2671" t="s">
        <v>4053</v>
      </c>
      <c r="F2671">
        <v>1</v>
      </c>
      <c r="G2671" s="1" t="s">
        <v>2787</v>
      </c>
      <c r="I2671" s="1" t="s">
        <v>11473</v>
      </c>
      <c r="O2671" t="s">
        <v>22</v>
      </c>
    </row>
    <row r="2672" spans="1:15">
      <c r="A2672" t="s">
        <v>6701</v>
      </c>
      <c r="B2672" t="s">
        <v>6701</v>
      </c>
      <c r="C2672" t="s">
        <v>4807</v>
      </c>
      <c r="F2672">
        <v>1</v>
      </c>
      <c r="G2672" s="1" t="s">
        <v>2788</v>
      </c>
      <c r="I2672" s="1" t="s">
        <v>11473</v>
      </c>
      <c r="O2672" t="s">
        <v>22</v>
      </c>
    </row>
    <row r="2673" spans="1:15">
      <c r="A2673" t="s">
        <v>6500</v>
      </c>
      <c r="B2673" t="s">
        <v>6500</v>
      </c>
      <c r="C2673" t="s">
        <v>5294</v>
      </c>
      <c r="F2673">
        <v>1</v>
      </c>
      <c r="G2673" s="1" t="s">
        <v>2789</v>
      </c>
      <c r="I2673" s="1" t="s">
        <v>11473</v>
      </c>
      <c r="O2673" t="s">
        <v>22</v>
      </c>
    </row>
    <row r="2674" spans="1:15">
      <c r="A2674" t="s">
        <v>10312</v>
      </c>
      <c r="B2674" t="s">
        <v>10312</v>
      </c>
      <c r="C2674" t="s">
        <v>5294</v>
      </c>
      <c r="F2674">
        <v>1</v>
      </c>
      <c r="G2674" s="1" t="s">
        <v>2790</v>
      </c>
      <c r="I2674" s="1" t="s">
        <v>11473</v>
      </c>
      <c r="O2674" t="s">
        <v>22</v>
      </c>
    </row>
    <row r="2675" spans="1:15">
      <c r="A2675" t="s">
        <v>10596</v>
      </c>
      <c r="B2675" t="s">
        <v>10596</v>
      </c>
      <c r="C2675" t="s">
        <v>5294</v>
      </c>
      <c r="F2675">
        <v>1</v>
      </c>
      <c r="G2675" s="1" t="s">
        <v>2791</v>
      </c>
      <c r="I2675" s="1" t="s">
        <v>11473</v>
      </c>
      <c r="O2675" t="s">
        <v>22</v>
      </c>
    </row>
    <row r="2676" spans="1:15">
      <c r="A2676" t="s">
        <v>7049</v>
      </c>
      <c r="B2676" t="s">
        <v>7049</v>
      </c>
      <c r="C2676" t="s">
        <v>4197</v>
      </c>
      <c r="F2676">
        <v>1</v>
      </c>
      <c r="G2676" s="1" t="s">
        <v>2792</v>
      </c>
      <c r="I2676" s="1" t="s">
        <v>11473</v>
      </c>
      <c r="O2676" t="s">
        <v>22</v>
      </c>
    </row>
    <row r="2677" spans="1:15">
      <c r="A2677" t="s">
        <v>8349</v>
      </c>
      <c r="B2677" t="s">
        <v>8349</v>
      </c>
      <c r="C2677" t="s">
        <v>4197</v>
      </c>
      <c r="F2677">
        <v>1</v>
      </c>
      <c r="G2677" s="1" t="s">
        <v>2793</v>
      </c>
      <c r="I2677" s="1" t="s">
        <v>11473</v>
      </c>
      <c r="O2677" t="s">
        <v>22</v>
      </c>
    </row>
    <row r="2678" spans="1:15">
      <c r="A2678" t="s">
        <v>9545</v>
      </c>
      <c r="B2678" t="s">
        <v>9545</v>
      </c>
      <c r="C2678" t="s">
        <v>9546</v>
      </c>
      <c r="F2678">
        <v>1</v>
      </c>
      <c r="G2678" s="1" t="s">
        <v>2794</v>
      </c>
      <c r="I2678" s="1" t="s">
        <v>11473</v>
      </c>
      <c r="O2678" t="s">
        <v>22</v>
      </c>
    </row>
    <row r="2679" spans="1:15">
      <c r="A2679" t="s">
        <v>10296</v>
      </c>
      <c r="B2679" t="s">
        <v>10296</v>
      </c>
      <c r="C2679" t="s">
        <v>9546</v>
      </c>
      <c r="F2679">
        <v>1</v>
      </c>
      <c r="G2679" s="1" t="s">
        <v>2795</v>
      </c>
      <c r="I2679" s="1" t="s">
        <v>11473</v>
      </c>
      <c r="O2679" t="s">
        <v>22</v>
      </c>
    </row>
    <row r="2680" spans="1:15">
      <c r="A2680" t="s">
        <v>7320</v>
      </c>
      <c r="B2680" t="s">
        <v>7320</v>
      </c>
      <c r="C2680" t="s">
        <v>5120</v>
      </c>
      <c r="F2680">
        <v>1</v>
      </c>
      <c r="G2680" s="1" t="s">
        <v>2796</v>
      </c>
      <c r="I2680" s="1" t="s">
        <v>11473</v>
      </c>
      <c r="O2680" t="s">
        <v>22</v>
      </c>
    </row>
    <row r="2681" spans="1:15">
      <c r="A2681" t="s">
        <v>6707</v>
      </c>
      <c r="B2681" t="s">
        <v>6707</v>
      </c>
      <c r="C2681" t="s">
        <v>4582</v>
      </c>
      <c r="F2681">
        <v>1</v>
      </c>
      <c r="G2681" s="1" t="s">
        <v>2797</v>
      </c>
      <c r="I2681" s="1" t="s">
        <v>11473</v>
      </c>
      <c r="O2681" t="s">
        <v>22</v>
      </c>
    </row>
    <row r="2682" spans="1:15">
      <c r="A2682" t="s">
        <v>6944</v>
      </c>
      <c r="B2682" t="s">
        <v>6944</v>
      </c>
      <c r="C2682" t="s">
        <v>4582</v>
      </c>
      <c r="F2682">
        <v>1</v>
      </c>
      <c r="G2682" s="1" t="s">
        <v>2798</v>
      </c>
      <c r="I2682" s="1" t="s">
        <v>11473</v>
      </c>
      <c r="O2682" t="s">
        <v>22</v>
      </c>
    </row>
    <row r="2683" spans="1:15">
      <c r="A2683" t="s">
        <v>8120</v>
      </c>
      <c r="B2683" t="s">
        <v>8120</v>
      </c>
      <c r="C2683" t="s">
        <v>4582</v>
      </c>
      <c r="F2683">
        <v>1</v>
      </c>
      <c r="G2683" s="1" t="s">
        <v>2799</v>
      </c>
      <c r="I2683" s="1" t="s">
        <v>11473</v>
      </c>
      <c r="O2683" t="s">
        <v>22</v>
      </c>
    </row>
    <row r="2684" spans="1:15">
      <c r="A2684" t="s">
        <v>8454</v>
      </c>
      <c r="B2684" t="s">
        <v>8454</v>
      </c>
      <c r="C2684" t="s">
        <v>4582</v>
      </c>
      <c r="F2684">
        <v>1</v>
      </c>
      <c r="G2684" s="1" t="s">
        <v>2800</v>
      </c>
      <c r="I2684" s="1" t="s">
        <v>11473</v>
      </c>
      <c r="O2684" t="s">
        <v>22</v>
      </c>
    </row>
    <row r="2685" spans="1:15">
      <c r="A2685" t="s">
        <v>6483</v>
      </c>
      <c r="B2685" t="s">
        <v>6483</v>
      </c>
      <c r="C2685" t="s">
        <v>6484</v>
      </c>
      <c r="F2685">
        <v>1</v>
      </c>
      <c r="G2685" s="1" t="s">
        <v>2801</v>
      </c>
      <c r="I2685" s="1" t="s">
        <v>11473</v>
      </c>
      <c r="O2685" t="s">
        <v>22</v>
      </c>
    </row>
    <row r="2686" spans="1:15">
      <c r="A2686" t="s">
        <v>9100</v>
      </c>
      <c r="B2686" t="s">
        <v>9100</v>
      </c>
      <c r="C2686" t="s">
        <v>6484</v>
      </c>
      <c r="F2686">
        <v>1</v>
      </c>
      <c r="G2686" s="1" t="s">
        <v>2802</v>
      </c>
      <c r="I2686" s="1" t="s">
        <v>11473</v>
      </c>
      <c r="O2686" t="s">
        <v>22</v>
      </c>
    </row>
    <row r="2687" spans="1:15">
      <c r="A2687" t="s">
        <v>7535</v>
      </c>
      <c r="B2687" t="s">
        <v>7535</v>
      </c>
      <c r="C2687" t="s">
        <v>7536</v>
      </c>
      <c r="F2687">
        <v>1</v>
      </c>
      <c r="G2687" s="1" t="s">
        <v>2803</v>
      </c>
      <c r="I2687" s="1" t="s">
        <v>11473</v>
      </c>
      <c r="O2687" t="s">
        <v>22</v>
      </c>
    </row>
    <row r="2688" spans="1:15">
      <c r="A2688" t="s">
        <v>6476</v>
      </c>
      <c r="B2688" t="s">
        <v>6476</v>
      </c>
      <c r="C2688" t="s">
        <v>6477</v>
      </c>
      <c r="F2688">
        <v>1</v>
      </c>
      <c r="G2688" s="1" t="s">
        <v>2804</v>
      </c>
      <c r="I2688" s="1" t="s">
        <v>11473</v>
      </c>
      <c r="O2688" t="s">
        <v>22</v>
      </c>
    </row>
    <row r="2689" spans="1:15">
      <c r="A2689" t="s">
        <v>9641</v>
      </c>
      <c r="B2689" t="s">
        <v>9641</v>
      </c>
      <c r="C2689" t="s">
        <v>9642</v>
      </c>
      <c r="F2689">
        <v>1</v>
      </c>
      <c r="G2689" s="1" t="s">
        <v>2805</v>
      </c>
      <c r="I2689" s="1" t="s">
        <v>11473</v>
      </c>
      <c r="O2689" t="s">
        <v>22</v>
      </c>
    </row>
    <row r="2690" spans="1:15">
      <c r="A2690" t="s">
        <v>9930</v>
      </c>
      <c r="B2690" t="s">
        <v>9930</v>
      </c>
      <c r="C2690" t="s">
        <v>4163</v>
      </c>
      <c r="F2690">
        <v>1</v>
      </c>
      <c r="G2690" s="1" t="s">
        <v>2806</v>
      </c>
      <c r="I2690" s="1" t="s">
        <v>11473</v>
      </c>
      <c r="O2690" t="s">
        <v>22</v>
      </c>
    </row>
    <row r="2691" spans="1:15">
      <c r="A2691" t="s">
        <v>10132</v>
      </c>
      <c r="B2691" t="s">
        <v>10132</v>
      </c>
      <c r="C2691" t="s">
        <v>10133</v>
      </c>
      <c r="F2691">
        <v>1</v>
      </c>
      <c r="G2691" s="1" t="s">
        <v>2807</v>
      </c>
      <c r="I2691" s="1" t="s">
        <v>11473</v>
      </c>
      <c r="O2691" t="s">
        <v>22</v>
      </c>
    </row>
    <row r="2692" spans="1:15">
      <c r="A2692" t="s">
        <v>8609</v>
      </c>
      <c r="B2692" t="s">
        <v>8609</v>
      </c>
      <c r="C2692" t="s">
        <v>8610</v>
      </c>
      <c r="F2692">
        <v>1</v>
      </c>
      <c r="G2692" s="1" t="s">
        <v>2808</v>
      </c>
      <c r="I2692" s="1" t="s">
        <v>11473</v>
      </c>
      <c r="O2692" t="s">
        <v>22</v>
      </c>
    </row>
    <row r="2693" spans="1:15">
      <c r="A2693" t="s">
        <v>10304</v>
      </c>
      <c r="B2693" t="s">
        <v>10304</v>
      </c>
      <c r="C2693" t="s">
        <v>5108</v>
      </c>
      <c r="F2693">
        <v>1</v>
      </c>
      <c r="G2693" s="1" t="s">
        <v>2809</v>
      </c>
      <c r="I2693" s="1" t="s">
        <v>11473</v>
      </c>
      <c r="O2693" t="s">
        <v>22</v>
      </c>
    </row>
    <row r="2694" spans="1:15">
      <c r="A2694" t="s">
        <v>9286</v>
      </c>
      <c r="B2694" t="s">
        <v>9286</v>
      </c>
      <c r="C2694" t="s">
        <v>5283</v>
      </c>
      <c r="F2694">
        <v>1</v>
      </c>
      <c r="G2694" s="1" t="s">
        <v>2810</v>
      </c>
      <c r="I2694" s="1" t="s">
        <v>11473</v>
      </c>
      <c r="O2694" t="s">
        <v>22</v>
      </c>
    </row>
    <row r="2695" spans="1:15">
      <c r="A2695" t="s">
        <v>10711</v>
      </c>
      <c r="B2695" t="s">
        <v>10711</v>
      </c>
      <c r="C2695" t="s">
        <v>5283</v>
      </c>
      <c r="F2695">
        <v>1</v>
      </c>
      <c r="G2695" s="1" t="s">
        <v>2811</v>
      </c>
      <c r="I2695" s="1" t="s">
        <v>11473</v>
      </c>
      <c r="O2695" t="s">
        <v>22</v>
      </c>
    </row>
    <row r="2696" spans="1:15">
      <c r="A2696" t="s">
        <v>7737</v>
      </c>
      <c r="B2696" t="s">
        <v>7737</v>
      </c>
      <c r="C2696" t="s">
        <v>4117</v>
      </c>
      <c r="F2696">
        <v>1</v>
      </c>
      <c r="G2696" s="1" t="s">
        <v>2812</v>
      </c>
      <c r="I2696" s="1" t="s">
        <v>11473</v>
      </c>
      <c r="O2696" t="s">
        <v>22</v>
      </c>
    </row>
    <row r="2697" spans="1:15">
      <c r="A2697" t="s">
        <v>6493</v>
      </c>
      <c r="B2697" t="s">
        <v>6493</v>
      </c>
      <c r="C2697" t="s">
        <v>6494</v>
      </c>
      <c r="F2697">
        <v>1</v>
      </c>
      <c r="G2697" s="1" t="s">
        <v>2813</v>
      </c>
      <c r="I2697" s="1" t="s">
        <v>11473</v>
      </c>
      <c r="O2697" t="s">
        <v>22</v>
      </c>
    </row>
    <row r="2698" spans="1:15">
      <c r="A2698" t="s">
        <v>6495</v>
      </c>
      <c r="B2698" t="s">
        <v>6495</v>
      </c>
      <c r="C2698" t="s">
        <v>4808</v>
      </c>
      <c r="F2698">
        <v>1</v>
      </c>
      <c r="G2698" s="1" t="s">
        <v>2814</v>
      </c>
      <c r="I2698" s="1" t="s">
        <v>11473</v>
      </c>
      <c r="O2698" t="s">
        <v>22</v>
      </c>
    </row>
    <row r="2699" spans="1:15">
      <c r="A2699" t="s">
        <v>6938</v>
      </c>
      <c r="B2699" t="s">
        <v>6938</v>
      </c>
      <c r="C2699" t="s">
        <v>4808</v>
      </c>
      <c r="F2699">
        <v>1</v>
      </c>
      <c r="G2699" s="1" t="s">
        <v>2815</v>
      </c>
      <c r="I2699" s="1" t="s">
        <v>11473</v>
      </c>
      <c r="O2699" t="s">
        <v>22</v>
      </c>
    </row>
    <row r="2700" spans="1:15">
      <c r="A2700" t="s">
        <v>8591</v>
      </c>
      <c r="B2700" t="s">
        <v>8591</v>
      </c>
      <c r="C2700" t="s">
        <v>8592</v>
      </c>
      <c r="F2700">
        <v>1</v>
      </c>
      <c r="G2700" s="1" t="s">
        <v>2816</v>
      </c>
      <c r="I2700" s="1" t="s">
        <v>11473</v>
      </c>
      <c r="O2700" t="s">
        <v>22</v>
      </c>
    </row>
    <row r="2701" spans="1:15">
      <c r="A2701" t="s">
        <v>8615</v>
      </c>
      <c r="B2701" t="s">
        <v>8615</v>
      </c>
      <c r="C2701" t="s">
        <v>4171</v>
      </c>
      <c r="F2701">
        <v>1</v>
      </c>
      <c r="G2701" s="1" t="s">
        <v>2817</v>
      </c>
      <c r="I2701" s="1" t="s">
        <v>11473</v>
      </c>
      <c r="O2701" t="s">
        <v>22</v>
      </c>
    </row>
    <row r="2702" spans="1:15">
      <c r="A2702" t="s">
        <v>9124</v>
      </c>
      <c r="B2702" t="s">
        <v>9124</v>
      </c>
      <c r="C2702" t="s">
        <v>4171</v>
      </c>
      <c r="F2702">
        <v>1</v>
      </c>
      <c r="G2702" s="1" t="s">
        <v>2818</v>
      </c>
      <c r="I2702" s="1" t="s">
        <v>11473</v>
      </c>
      <c r="O2702" t="s">
        <v>22</v>
      </c>
    </row>
    <row r="2703" spans="1:15">
      <c r="A2703" t="s">
        <v>6667</v>
      </c>
      <c r="B2703" t="s">
        <v>6667</v>
      </c>
      <c r="C2703" t="s">
        <v>6668</v>
      </c>
      <c r="F2703">
        <v>1</v>
      </c>
      <c r="G2703" s="1" t="s">
        <v>2819</v>
      </c>
      <c r="I2703" s="1" t="s">
        <v>11473</v>
      </c>
      <c r="O2703" t="s">
        <v>22</v>
      </c>
    </row>
    <row r="2704" spans="1:15">
      <c r="A2704" t="s">
        <v>9121</v>
      </c>
      <c r="B2704" t="s">
        <v>9121</v>
      </c>
      <c r="C2704" t="s">
        <v>9122</v>
      </c>
      <c r="F2704">
        <v>1</v>
      </c>
      <c r="G2704" s="1" t="s">
        <v>2820</v>
      </c>
      <c r="I2704" s="1" t="s">
        <v>11473</v>
      </c>
      <c r="O2704" t="s">
        <v>22</v>
      </c>
    </row>
    <row r="2705" spans="1:15">
      <c r="A2705" t="s">
        <v>9362</v>
      </c>
      <c r="B2705" t="s">
        <v>9362</v>
      </c>
      <c r="C2705" t="s">
        <v>9122</v>
      </c>
      <c r="F2705">
        <v>1</v>
      </c>
      <c r="G2705" s="1" t="s">
        <v>2821</v>
      </c>
      <c r="I2705" s="1" t="s">
        <v>11473</v>
      </c>
      <c r="O2705" t="s">
        <v>22</v>
      </c>
    </row>
    <row r="2706" spans="1:15">
      <c r="A2706" t="s">
        <v>8608</v>
      </c>
      <c r="B2706" t="s">
        <v>8608</v>
      </c>
      <c r="C2706" t="s">
        <v>5119</v>
      </c>
      <c r="F2706">
        <v>1</v>
      </c>
      <c r="G2706" s="1" t="s">
        <v>2822</v>
      </c>
      <c r="I2706" s="1" t="s">
        <v>11473</v>
      </c>
      <c r="O2706" t="s">
        <v>22</v>
      </c>
    </row>
    <row r="2707" spans="1:15">
      <c r="A2707" t="s">
        <v>10305</v>
      </c>
      <c r="B2707" t="s">
        <v>10305</v>
      </c>
      <c r="C2707" t="s">
        <v>4804</v>
      </c>
      <c r="F2707">
        <v>1</v>
      </c>
      <c r="G2707" s="1" t="s">
        <v>2823</v>
      </c>
      <c r="I2707" s="1" t="s">
        <v>11473</v>
      </c>
      <c r="O2707" t="s">
        <v>22</v>
      </c>
    </row>
    <row r="2708" spans="1:15">
      <c r="A2708" t="s">
        <v>7719</v>
      </c>
      <c r="B2708" t="s">
        <v>7719</v>
      </c>
      <c r="C2708" t="s">
        <v>7720</v>
      </c>
      <c r="F2708">
        <v>1</v>
      </c>
      <c r="G2708" s="1" t="s">
        <v>2824</v>
      </c>
      <c r="I2708" s="1" t="s">
        <v>11473</v>
      </c>
      <c r="O2708" t="s">
        <v>22</v>
      </c>
    </row>
    <row r="2709" spans="1:15">
      <c r="A2709" t="s">
        <v>11388</v>
      </c>
      <c r="B2709" t="s">
        <v>11388</v>
      </c>
      <c r="C2709" t="s">
        <v>7720</v>
      </c>
      <c r="F2709">
        <v>1</v>
      </c>
      <c r="G2709" s="1" t="s">
        <v>2825</v>
      </c>
      <c r="I2709" s="1" t="s">
        <v>11473</v>
      </c>
      <c r="O2709" t="s">
        <v>22</v>
      </c>
    </row>
    <row r="2710" spans="1:15">
      <c r="A2710" t="s">
        <v>6925</v>
      </c>
      <c r="B2710" t="s">
        <v>6925</v>
      </c>
      <c r="C2710" t="s">
        <v>6926</v>
      </c>
      <c r="F2710">
        <v>1</v>
      </c>
      <c r="G2710" s="1" t="s">
        <v>2826</v>
      </c>
      <c r="I2710" s="1" t="s">
        <v>11473</v>
      </c>
      <c r="O2710" t="s">
        <v>22</v>
      </c>
    </row>
    <row r="2711" spans="1:15">
      <c r="A2711" t="s">
        <v>6536</v>
      </c>
      <c r="B2711" t="s">
        <v>6536</v>
      </c>
      <c r="C2711" t="s">
        <v>6952</v>
      </c>
      <c r="F2711">
        <v>1</v>
      </c>
      <c r="G2711" s="1" t="s">
        <v>2827</v>
      </c>
      <c r="I2711" s="1" t="s">
        <v>11473</v>
      </c>
      <c r="O2711" t="s">
        <v>22</v>
      </c>
    </row>
    <row r="2712" spans="1:15">
      <c r="A2712" t="s">
        <v>8619</v>
      </c>
      <c r="B2712" t="s">
        <v>8619</v>
      </c>
      <c r="C2712" t="s">
        <v>4121</v>
      </c>
      <c r="F2712">
        <v>1</v>
      </c>
      <c r="G2712" s="1" t="s">
        <v>2828</v>
      </c>
      <c r="I2712" s="1" t="s">
        <v>11473</v>
      </c>
      <c r="O2712" t="s">
        <v>22</v>
      </c>
    </row>
    <row r="2713" spans="1:15">
      <c r="A2713" t="s">
        <v>9533</v>
      </c>
      <c r="B2713" t="s">
        <v>9533</v>
      </c>
      <c r="C2713" t="s">
        <v>4121</v>
      </c>
      <c r="F2713">
        <v>1</v>
      </c>
      <c r="G2713" s="1" t="s">
        <v>2829</v>
      </c>
      <c r="I2713" s="1" t="s">
        <v>11473</v>
      </c>
      <c r="O2713" t="s">
        <v>22</v>
      </c>
    </row>
    <row r="2714" spans="1:15">
      <c r="A2714" t="s">
        <v>6479</v>
      </c>
      <c r="B2714" t="s">
        <v>6479</v>
      </c>
      <c r="C2714" t="s">
        <v>5116</v>
      </c>
      <c r="F2714">
        <v>1</v>
      </c>
      <c r="G2714" s="1" t="s">
        <v>2830</v>
      </c>
      <c r="I2714" s="1" t="s">
        <v>11473</v>
      </c>
      <c r="O2714" t="s">
        <v>22</v>
      </c>
    </row>
    <row r="2715" spans="1:15">
      <c r="A2715" t="s">
        <v>7708</v>
      </c>
      <c r="B2715" t="s">
        <v>7708</v>
      </c>
      <c r="C2715" t="s">
        <v>7709</v>
      </c>
      <c r="F2715">
        <v>1</v>
      </c>
      <c r="G2715" s="1" t="s">
        <v>2831</v>
      </c>
      <c r="I2715" s="1" t="s">
        <v>11473</v>
      </c>
      <c r="O2715" t="s">
        <v>22</v>
      </c>
    </row>
    <row r="2716" spans="1:15">
      <c r="A2716" t="s">
        <v>10145</v>
      </c>
      <c r="B2716" t="s">
        <v>10145</v>
      </c>
      <c r="C2716" t="s">
        <v>4967</v>
      </c>
      <c r="F2716">
        <v>1</v>
      </c>
      <c r="G2716" s="1" t="s">
        <v>2832</v>
      </c>
      <c r="I2716" s="1" t="s">
        <v>11473</v>
      </c>
      <c r="O2716" t="s">
        <v>22</v>
      </c>
    </row>
    <row r="2717" spans="1:15">
      <c r="A2717" t="s">
        <v>9384</v>
      </c>
      <c r="B2717" t="s">
        <v>9384</v>
      </c>
      <c r="C2717" t="s">
        <v>9385</v>
      </c>
      <c r="F2717">
        <v>1</v>
      </c>
      <c r="G2717" s="1" t="s">
        <v>2833</v>
      </c>
      <c r="I2717" s="1" t="s">
        <v>11473</v>
      </c>
      <c r="O2717" t="s">
        <v>22</v>
      </c>
    </row>
    <row r="2718" spans="1:15">
      <c r="A2718" t="s">
        <v>11457</v>
      </c>
      <c r="B2718" t="s">
        <v>11457</v>
      </c>
      <c r="C2718" t="s">
        <v>9385</v>
      </c>
      <c r="F2718">
        <v>1</v>
      </c>
      <c r="G2718" s="1" t="s">
        <v>2834</v>
      </c>
      <c r="I2718" s="1" t="s">
        <v>11473</v>
      </c>
      <c r="O2718" t="s">
        <v>22</v>
      </c>
    </row>
    <row r="2719" spans="1:15">
      <c r="A2719" t="s">
        <v>6661</v>
      </c>
      <c r="B2719" t="s">
        <v>6661</v>
      </c>
      <c r="C2719" t="s">
        <v>6662</v>
      </c>
      <c r="F2719">
        <v>1</v>
      </c>
      <c r="G2719" s="1" t="s">
        <v>2835</v>
      </c>
      <c r="I2719" s="1" t="s">
        <v>11473</v>
      </c>
      <c r="O2719" t="s">
        <v>22</v>
      </c>
    </row>
    <row r="2720" spans="1:15">
      <c r="A2720" t="s">
        <v>8626</v>
      </c>
      <c r="B2720" t="s">
        <v>8626</v>
      </c>
      <c r="C2720" t="s">
        <v>8627</v>
      </c>
      <c r="F2720">
        <v>1</v>
      </c>
      <c r="G2720" s="1" t="s">
        <v>2836</v>
      </c>
      <c r="I2720" s="1" t="s">
        <v>11473</v>
      </c>
      <c r="O2720" t="s">
        <v>22</v>
      </c>
    </row>
    <row r="2721" spans="1:15">
      <c r="A2721" t="s">
        <v>10142</v>
      </c>
      <c r="B2721" t="s">
        <v>10142</v>
      </c>
      <c r="C2721" t="s">
        <v>8627</v>
      </c>
      <c r="F2721">
        <v>1</v>
      </c>
      <c r="G2721" s="1" t="s">
        <v>2837</v>
      </c>
      <c r="I2721" s="1" t="s">
        <v>11473</v>
      </c>
      <c r="O2721" t="s">
        <v>22</v>
      </c>
    </row>
    <row r="2722" spans="1:15">
      <c r="A2722" t="s">
        <v>7731</v>
      </c>
      <c r="B2722" t="s">
        <v>7731</v>
      </c>
      <c r="C2722" t="s">
        <v>5112</v>
      </c>
      <c r="F2722">
        <v>1</v>
      </c>
      <c r="G2722" s="1" t="s">
        <v>2838</v>
      </c>
      <c r="I2722" s="1" t="s">
        <v>11473</v>
      </c>
      <c r="O2722" t="s">
        <v>22</v>
      </c>
    </row>
    <row r="2723" spans="1:15">
      <c r="A2723" t="s">
        <v>10240</v>
      </c>
      <c r="B2723" t="s">
        <v>10240</v>
      </c>
      <c r="C2723" t="s">
        <v>5112</v>
      </c>
      <c r="F2723">
        <v>1</v>
      </c>
      <c r="G2723" s="1" t="s">
        <v>2839</v>
      </c>
      <c r="I2723" s="1" t="s">
        <v>11473</v>
      </c>
      <c r="O2723" t="s">
        <v>22</v>
      </c>
    </row>
    <row r="2724" spans="1:15">
      <c r="A2724" t="s">
        <v>6455</v>
      </c>
      <c r="B2724" t="s">
        <v>6455</v>
      </c>
      <c r="C2724" t="s">
        <v>6456</v>
      </c>
      <c r="F2724">
        <v>1</v>
      </c>
      <c r="G2724" s="1" t="s">
        <v>2840</v>
      </c>
      <c r="I2724" s="1" t="s">
        <v>11473</v>
      </c>
      <c r="O2724" t="s">
        <v>22</v>
      </c>
    </row>
    <row r="2725" spans="1:15">
      <c r="A2725" t="s">
        <v>8656</v>
      </c>
      <c r="B2725" t="s">
        <v>8656</v>
      </c>
      <c r="C2725" t="s">
        <v>6456</v>
      </c>
      <c r="F2725">
        <v>1</v>
      </c>
      <c r="G2725" s="1" t="s">
        <v>2841</v>
      </c>
      <c r="I2725" s="1" t="s">
        <v>11473</v>
      </c>
      <c r="O2725" t="s">
        <v>22</v>
      </c>
    </row>
    <row r="2726" spans="1:15">
      <c r="A2726" t="s">
        <v>7711</v>
      </c>
      <c r="B2726" t="s">
        <v>7711</v>
      </c>
      <c r="C2726" t="s">
        <v>5196</v>
      </c>
      <c r="F2726">
        <v>1</v>
      </c>
      <c r="G2726" s="1" t="s">
        <v>2842</v>
      </c>
      <c r="I2726" s="1" t="s">
        <v>11473</v>
      </c>
      <c r="O2726" t="s">
        <v>22</v>
      </c>
    </row>
    <row r="2727" spans="1:15">
      <c r="A2727" t="s">
        <v>6712</v>
      </c>
      <c r="B2727" t="s">
        <v>6712</v>
      </c>
      <c r="C2727" t="s">
        <v>5239</v>
      </c>
      <c r="F2727">
        <v>1</v>
      </c>
      <c r="G2727" s="1" t="s">
        <v>2843</v>
      </c>
      <c r="I2727" s="1" t="s">
        <v>11473</v>
      </c>
      <c r="O2727" t="s">
        <v>22</v>
      </c>
    </row>
    <row r="2728" spans="1:15">
      <c r="A2728" t="s">
        <v>10284</v>
      </c>
      <c r="B2728" t="s">
        <v>10284</v>
      </c>
      <c r="C2728" t="s">
        <v>5239</v>
      </c>
      <c r="F2728">
        <v>1</v>
      </c>
      <c r="G2728" s="1" t="s">
        <v>2844</v>
      </c>
      <c r="I2728" s="1" t="s">
        <v>11473</v>
      </c>
      <c r="O2728" t="s">
        <v>22</v>
      </c>
    </row>
    <row r="2729" spans="1:15">
      <c r="A2729" t="s">
        <v>10310</v>
      </c>
      <c r="B2729" t="s">
        <v>10310</v>
      </c>
      <c r="C2729" t="s">
        <v>5197</v>
      </c>
      <c r="F2729">
        <v>1</v>
      </c>
      <c r="G2729" s="1" t="s">
        <v>2845</v>
      </c>
      <c r="I2729" s="1" t="s">
        <v>11473</v>
      </c>
      <c r="O2729" t="s">
        <v>22</v>
      </c>
    </row>
    <row r="2730" spans="1:15">
      <c r="A2730" t="s">
        <v>7841</v>
      </c>
      <c r="B2730" t="s">
        <v>7841</v>
      </c>
      <c r="C2730" t="s">
        <v>7842</v>
      </c>
      <c r="F2730">
        <v>1</v>
      </c>
      <c r="G2730" s="1" t="s">
        <v>2846</v>
      </c>
      <c r="I2730" s="1" t="s">
        <v>11473</v>
      </c>
      <c r="O2730" t="s">
        <v>22</v>
      </c>
    </row>
    <row r="2731" spans="1:15">
      <c r="A2731" t="s">
        <v>6672</v>
      </c>
      <c r="B2731" t="s">
        <v>6672</v>
      </c>
      <c r="C2731" t="s">
        <v>6673</v>
      </c>
      <c r="F2731">
        <v>1</v>
      </c>
      <c r="G2731" s="1" t="s">
        <v>2847</v>
      </c>
      <c r="I2731" s="1" t="s">
        <v>11473</v>
      </c>
      <c r="O2731" t="s">
        <v>22</v>
      </c>
    </row>
    <row r="2732" spans="1:15">
      <c r="A2732" t="s">
        <v>11468</v>
      </c>
      <c r="B2732" t="s">
        <v>11468</v>
      </c>
      <c r="C2732" t="s">
        <v>6673</v>
      </c>
      <c r="F2732">
        <v>1</v>
      </c>
      <c r="G2732" s="1" t="s">
        <v>2848</v>
      </c>
      <c r="I2732" s="1" t="s">
        <v>11473</v>
      </c>
      <c r="O2732" t="s">
        <v>22</v>
      </c>
    </row>
    <row r="2733" spans="1:15">
      <c r="A2733" t="s">
        <v>7730</v>
      </c>
      <c r="B2733" t="s">
        <v>7730</v>
      </c>
      <c r="C2733" t="s">
        <v>5296</v>
      </c>
      <c r="F2733">
        <v>1</v>
      </c>
      <c r="G2733" s="1" t="s">
        <v>2849</v>
      </c>
      <c r="I2733" s="1" t="s">
        <v>11473</v>
      </c>
      <c r="O2733" t="s">
        <v>22</v>
      </c>
    </row>
    <row r="2734" spans="1:15">
      <c r="A2734" t="s">
        <v>9098</v>
      </c>
      <c r="B2734" t="s">
        <v>9098</v>
      </c>
      <c r="C2734" t="s">
        <v>9099</v>
      </c>
      <c r="F2734">
        <v>1</v>
      </c>
      <c r="G2734" s="1" t="s">
        <v>2850</v>
      </c>
      <c r="I2734" s="1" t="s">
        <v>11473</v>
      </c>
      <c r="O2734" t="s">
        <v>22</v>
      </c>
    </row>
    <row r="2735" spans="1:15">
      <c r="A2735" t="s">
        <v>6893</v>
      </c>
      <c r="B2735" t="s">
        <v>6893</v>
      </c>
      <c r="C2735" t="s">
        <v>6894</v>
      </c>
      <c r="F2735">
        <v>1</v>
      </c>
      <c r="G2735" s="1" t="s">
        <v>2851</v>
      </c>
      <c r="I2735" s="1" t="s">
        <v>11473</v>
      </c>
      <c r="O2735" t="s">
        <v>22</v>
      </c>
    </row>
    <row r="2736" spans="1:15">
      <c r="A2736" t="s">
        <v>10315</v>
      </c>
      <c r="B2736" t="s">
        <v>10315</v>
      </c>
      <c r="C2736" t="s">
        <v>5199</v>
      </c>
      <c r="F2736">
        <v>1</v>
      </c>
      <c r="G2736" s="1" t="s">
        <v>2852</v>
      </c>
      <c r="I2736" s="1" t="s">
        <v>11473</v>
      </c>
      <c r="O2736" t="s">
        <v>22</v>
      </c>
    </row>
    <row r="2737" spans="1:15">
      <c r="A2737" t="s">
        <v>8623</v>
      </c>
      <c r="B2737" t="s">
        <v>8623</v>
      </c>
      <c r="C2737" t="s">
        <v>8624</v>
      </c>
      <c r="F2737">
        <v>1</v>
      </c>
      <c r="G2737" s="1" t="s">
        <v>2853</v>
      </c>
      <c r="I2737" s="1" t="s">
        <v>11473</v>
      </c>
      <c r="O2737" t="s">
        <v>22</v>
      </c>
    </row>
    <row r="2738" spans="1:15">
      <c r="A2738" t="s">
        <v>9261</v>
      </c>
      <c r="B2738" t="s">
        <v>9261</v>
      </c>
      <c r="C2738" t="s">
        <v>9262</v>
      </c>
      <c r="F2738">
        <v>1</v>
      </c>
      <c r="G2738" s="1" t="s">
        <v>2854</v>
      </c>
      <c r="I2738" s="1" t="s">
        <v>11473</v>
      </c>
      <c r="O2738" t="s">
        <v>22</v>
      </c>
    </row>
    <row r="2739" spans="1:15">
      <c r="A2739" t="s">
        <v>10300</v>
      </c>
      <c r="B2739" t="s">
        <v>10300</v>
      </c>
      <c r="C2739" t="s">
        <v>9262</v>
      </c>
      <c r="F2739">
        <v>1</v>
      </c>
      <c r="G2739" s="1" t="s">
        <v>2855</v>
      </c>
      <c r="I2739" s="1" t="s">
        <v>11473</v>
      </c>
      <c r="O2739" t="s">
        <v>22</v>
      </c>
    </row>
    <row r="2740" spans="1:15">
      <c r="A2740" t="s">
        <v>8613</v>
      </c>
      <c r="B2740" t="s">
        <v>8613</v>
      </c>
      <c r="C2740" t="s">
        <v>8614</v>
      </c>
      <c r="F2740">
        <v>1</v>
      </c>
      <c r="G2740" s="1" t="s">
        <v>2856</v>
      </c>
      <c r="I2740" s="1" t="s">
        <v>11473</v>
      </c>
      <c r="O2740" t="s">
        <v>22</v>
      </c>
    </row>
    <row r="2741" spans="1:15">
      <c r="A2741" t="s">
        <v>9105</v>
      </c>
      <c r="B2741" t="s">
        <v>9105</v>
      </c>
      <c r="C2741" t="s">
        <v>9106</v>
      </c>
      <c r="F2741">
        <v>1</v>
      </c>
      <c r="G2741" s="1" t="s">
        <v>2857</v>
      </c>
      <c r="I2741" s="1" t="s">
        <v>11473</v>
      </c>
      <c r="O2741" t="s">
        <v>22</v>
      </c>
    </row>
    <row r="2742" spans="1:15">
      <c r="A2742" t="s">
        <v>10556</v>
      </c>
      <c r="B2742" t="s">
        <v>10556</v>
      </c>
      <c r="C2742" t="s">
        <v>9106</v>
      </c>
      <c r="F2742">
        <v>1</v>
      </c>
      <c r="G2742" s="1" t="s">
        <v>2858</v>
      </c>
      <c r="I2742" s="1" t="s">
        <v>11473</v>
      </c>
      <c r="O2742" t="s">
        <v>22</v>
      </c>
    </row>
    <row r="2743" spans="1:15">
      <c r="A2743" t="s">
        <v>6496</v>
      </c>
      <c r="B2743" t="s">
        <v>6496</v>
      </c>
      <c r="C2743" t="s">
        <v>6497</v>
      </c>
      <c r="F2743">
        <v>1</v>
      </c>
      <c r="G2743" s="1" t="s">
        <v>2859</v>
      </c>
      <c r="I2743" s="1" t="s">
        <v>11473</v>
      </c>
      <c r="O2743" t="s">
        <v>22</v>
      </c>
    </row>
    <row r="2744" spans="1:15">
      <c r="A2744" t="s">
        <v>6503</v>
      </c>
      <c r="B2744" t="s">
        <v>6503</v>
      </c>
      <c r="C2744" t="s">
        <v>6504</v>
      </c>
      <c r="F2744">
        <v>1</v>
      </c>
      <c r="G2744" s="1" t="s">
        <v>2860</v>
      </c>
      <c r="I2744" s="1" t="s">
        <v>11473</v>
      </c>
      <c r="O2744" t="s">
        <v>22</v>
      </c>
    </row>
    <row r="2745" spans="1:15">
      <c r="A2745" t="s">
        <v>9368</v>
      </c>
      <c r="B2745" t="s">
        <v>9368</v>
      </c>
      <c r="C2745" t="s">
        <v>6504</v>
      </c>
      <c r="F2745">
        <v>1</v>
      </c>
      <c r="G2745" s="1" t="s">
        <v>2861</v>
      </c>
      <c r="I2745" s="1" t="s">
        <v>11473</v>
      </c>
      <c r="O2745" t="s">
        <v>22</v>
      </c>
    </row>
    <row r="2746" spans="1:15">
      <c r="A2746" t="s">
        <v>6916</v>
      </c>
      <c r="B2746" t="s">
        <v>6916</v>
      </c>
      <c r="C2746" t="s">
        <v>6917</v>
      </c>
      <c r="F2746">
        <v>1</v>
      </c>
      <c r="G2746" s="1" t="s">
        <v>2862</v>
      </c>
      <c r="I2746" s="1" t="s">
        <v>11473</v>
      </c>
      <c r="O2746" t="s">
        <v>22</v>
      </c>
    </row>
    <row r="2747" spans="1:15">
      <c r="A2747" t="s">
        <v>5582</v>
      </c>
      <c r="B2747" t="s">
        <v>5582</v>
      </c>
      <c r="C2747" t="s">
        <v>5583</v>
      </c>
      <c r="F2747">
        <v>1</v>
      </c>
      <c r="G2747" s="1" t="s">
        <v>2863</v>
      </c>
      <c r="I2747" s="1" t="s">
        <v>11473</v>
      </c>
      <c r="O2747" t="s">
        <v>22</v>
      </c>
    </row>
    <row r="2748" spans="1:15">
      <c r="A2748" t="s">
        <v>6889</v>
      </c>
      <c r="B2748" t="s">
        <v>6889</v>
      </c>
      <c r="C2748" t="s">
        <v>5255</v>
      </c>
      <c r="F2748">
        <v>1</v>
      </c>
      <c r="G2748" s="1" t="s">
        <v>2864</v>
      </c>
      <c r="I2748" s="1" t="s">
        <v>11473</v>
      </c>
      <c r="O2748" t="s">
        <v>22</v>
      </c>
    </row>
    <row r="2749" spans="1:15">
      <c r="A2749" t="s">
        <v>5424</v>
      </c>
      <c r="B2749" t="s">
        <v>5424</v>
      </c>
      <c r="C2749" t="s">
        <v>5425</v>
      </c>
      <c r="F2749">
        <v>1</v>
      </c>
      <c r="G2749" s="1" t="s">
        <v>2865</v>
      </c>
      <c r="I2749" s="1" t="s">
        <v>11473</v>
      </c>
      <c r="O2749" t="s">
        <v>22</v>
      </c>
    </row>
    <row r="2750" spans="1:15">
      <c r="A2750" t="s">
        <v>8595</v>
      </c>
      <c r="B2750" t="s">
        <v>8595</v>
      </c>
      <c r="C2750" t="s">
        <v>4148</v>
      </c>
      <c r="F2750">
        <v>1</v>
      </c>
      <c r="G2750" s="1" t="s">
        <v>2866</v>
      </c>
      <c r="I2750" s="1" t="s">
        <v>11473</v>
      </c>
      <c r="O2750" t="s">
        <v>22</v>
      </c>
    </row>
    <row r="2751" spans="1:15">
      <c r="A2751" t="s">
        <v>9880</v>
      </c>
      <c r="B2751" t="s">
        <v>9880</v>
      </c>
      <c r="C2751" t="s">
        <v>4148</v>
      </c>
      <c r="F2751">
        <v>1</v>
      </c>
      <c r="G2751" s="1" t="s">
        <v>2867</v>
      </c>
      <c r="I2751" s="1" t="s">
        <v>11473</v>
      </c>
      <c r="O2751" t="s">
        <v>22</v>
      </c>
    </row>
    <row r="2752" spans="1:15">
      <c r="A2752" t="s">
        <v>10306</v>
      </c>
      <c r="B2752" t="s">
        <v>10306</v>
      </c>
      <c r="C2752" t="s">
        <v>4148</v>
      </c>
      <c r="F2752">
        <v>1</v>
      </c>
      <c r="G2752" s="1" t="s">
        <v>2868</v>
      </c>
      <c r="I2752" s="1" t="s">
        <v>11473</v>
      </c>
      <c r="O2752" t="s">
        <v>22</v>
      </c>
    </row>
    <row r="2753" spans="1:15">
      <c r="A2753" t="s">
        <v>9259</v>
      </c>
      <c r="B2753" t="s">
        <v>9259</v>
      </c>
      <c r="C2753" t="s">
        <v>5289</v>
      </c>
      <c r="F2753">
        <v>1</v>
      </c>
      <c r="G2753" s="1" t="s">
        <v>2869</v>
      </c>
      <c r="I2753" s="1" t="s">
        <v>11473</v>
      </c>
      <c r="O2753" t="s">
        <v>22</v>
      </c>
    </row>
    <row r="2754" spans="1:15">
      <c r="A2754" t="s">
        <v>7722</v>
      </c>
      <c r="B2754" t="s">
        <v>7722</v>
      </c>
      <c r="C2754" t="s">
        <v>5237</v>
      </c>
      <c r="F2754">
        <v>1</v>
      </c>
      <c r="G2754" s="1" t="s">
        <v>2870</v>
      </c>
      <c r="I2754" s="1" t="s">
        <v>11473</v>
      </c>
      <c r="O2754" t="s">
        <v>22</v>
      </c>
    </row>
    <row r="2755" spans="1:15">
      <c r="A2755" t="s">
        <v>9073</v>
      </c>
      <c r="B2755" t="s">
        <v>9073</v>
      </c>
      <c r="C2755" t="s">
        <v>5237</v>
      </c>
      <c r="F2755">
        <v>1</v>
      </c>
      <c r="G2755" s="1" t="s">
        <v>2871</v>
      </c>
      <c r="I2755" s="1" t="s">
        <v>11473</v>
      </c>
      <c r="O2755" t="s">
        <v>22</v>
      </c>
    </row>
    <row r="2756" spans="1:15">
      <c r="A2756" t="s">
        <v>6488</v>
      </c>
      <c r="B2756" t="s">
        <v>6488</v>
      </c>
      <c r="C2756" t="s">
        <v>6489</v>
      </c>
      <c r="F2756">
        <v>1</v>
      </c>
      <c r="G2756" s="1" t="s">
        <v>2872</v>
      </c>
      <c r="I2756" s="1" t="s">
        <v>11473</v>
      </c>
      <c r="O2756" t="s">
        <v>22</v>
      </c>
    </row>
    <row r="2757" spans="1:15">
      <c r="A2757" t="s">
        <v>6738</v>
      </c>
      <c r="B2757" t="s">
        <v>6738</v>
      </c>
      <c r="C2757" t="s">
        <v>6739</v>
      </c>
      <c r="F2757">
        <v>1</v>
      </c>
      <c r="G2757" s="1" t="s">
        <v>2873</v>
      </c>
      <c r="I2757" s="1" t="s">
        <v>11473</v>
      </c>
      <c r="O2757" t="s">
        <v>22</v>
      </c>
    </row>
    <row r="2758" spans="1:15">
      <c r="A2758" t="s">
        <v>7723</v>
      </c>
      <c r="B2758" t="s">
        <v>7723</v>
      </c>
      <c r="C2758" t="s">
        <v>6739</v>
      </c>
      <c r="F2758">
        <v>1</v>
      </c>
      <c r="G2758" s="1" t="s">
        <v>2874</v>
      </c>
      <c r="I2758" s="1" t="s">
        <v>11473</v>
      </c>
      <c r="O2758" t="s">
        <v>22</v>
      </c>
    </row>
    <row r="2759" spans="1:15">
      <c r="A2759" t="s">
        <v>9883</v>
      </c>
      <c r="B2759" t="s">
        <v>9883</v>
      </c>
      <c r="C2759" t="s">
        <v>9884</v>
      </c>
      <c r="F2759">
        <v>1</v>
      </c>
      <c r="G2759" s="1" t="s">
        <v>2875</v>
      </c>
      <c r="I2759" s="1" t="s">
        <v>11473</v>
      </c>
      <c r="O2759" t="s">
        <v>22</v>
      </c>
    </row>
    <row r="2760" spans="1:15">
      <c r="A2760" t="s">
        <v>8647</v>
      </c>
      <c r="B2760" t="s">
        <v>8647</v>
      </c>
      <c r="C2760" t="s">
        <v>8648</v>
      </c>
      <c r="F2760">
        <v>1</v>
      </c>
      <c r="G2760" s="1" t="s">
        <v>2876</v>
      </c>
      <c r="I2760" s="1" t="s">
        <v>11473</v>
      </c>
      <c r="O2760" t="s">
        <v>22</v>
      </c>
    </row>
    <row r="2761" spans="1:15">
      <c r="A2761" t="s">
        <v>6670</v>
      </c>
      <c r="B2761" t="s">
        <v>6670</v>
      </c>
      <c r="C2761" t="s">
        <v>6671</v>
      </c>
      <c r="F2761">
        <v>1</v>
      </c>
      <c r="G2761" s="1" t="s">
        <v>2877</v>
      </c>
      <c r="I2761" s="1" t="s">
        <v>11473</v>
      </c>
      <c r="O2761" t="s">
        <v>22</v>
      </c>
    </row>
    <row r="2762" spans="1:15">
      <c r="A2762" t="s">
        <v>8621</v>
      </c>
      <c r="B2762" t="s">
        <v>8621</v>
      </c>
      <c r="C2762" t="s">
        <v>8622</v>
      </c>
      <c r="F2762">
        <v>1</v>
      </c>
      <c r="G2762" s="1" t="s">
        <v>2878</v>
      </c>
      <c r="I2762" s="1" t="s">
        <v>11473</v>
      </c>
      <c r="O2762" t="s">
        <v>22</v>
      </c>
    </row>
    <row r="2763" spans="1:15">
      <c r="A2763" t="s">
        <v>10143</v>
      </c>
      <c r="B2763" t="s">
        <v>10143</v>
      </c>
      <c r="C2763" t="s">
        <v>8622</v>
      </c>
      <c r="F2763">
        <v>1</v>
      </c>
      <c r="G2763" s="1" t="s">
        <v>2879</v>
      </c>
      <c r="I2763" s="1" t="s">
        <v>11473</v>
      </c>
      <c r="O2763" t="s">
        <v>22</v>
      </c>
    </row>
    <row r="2764" spans="1:15">
      <c r="A2764" t="s">
        <v>10758</v>
      </c>
      <c r="B2764" t="s">
        <v>10758</v>
      </c>
      <c r="C2764" t="s">
        <v>8622</v>
      </c>
      <c r="F2764">
        <v>1</v>
      </c>
      <c r="G2764" s="1" t="s">
        <v>2880</v>
      </c>
      <c r="I2764" s="1" t="s">
        <v>11473</v>
      </c>
      <c r="O2764" t="s">
        <v>22</v>
      </c>
    </row>
    <row r="2765" spans="1:15">
      <c r="A2765" t="s">
        <v>8596</v>
      </c>
      <c r="B2765" t="s">
        <v>8596</v>
      </c>
      <c r="C2765" t="s">
        <v>5252</v>
      </c>
      <c r="F2765">
        <v>1</v>
      </c>
      <c r="G2765" s="1" t="s">
        <v>2881</v>
      </c>
      <c r="I2765" s="1" t="s">
        <v>11473</v>
      </c>
      <c r="O2765" t="s">
        <v>22</v>
      </c>
    </row>
    <row r="2766" spans="1:15">
      <c r="A2766" t="s">
        <v>10053</v>
      </c>
      <c r="B2766" t="s">
        <v>10053</v>
      </c>
      <c r="C2766" t="s">
        <v>10054</v>
      </c>
      <c r="F2766">
        <v>1</v>
      </c>
      <c r="G2766" s="1" t="s">
        <v>2882</v>
      </c>
      <c r="I2766" s="1" t="s">
        <v>11473</v>
      </c>
      <c r="O2766" t="s">
        <v>22</v>
      </c>
    </row>
    <row r="2767" spans="1:15">
      <c r="A2767" t="s">
        <v>6676</v>
      </c>
      <c r="B2767" t="s">
        <v>6676</v>
      </c>
      <c r="C2767" t="s">
        <v>6677</v>
      </c>
      <c r="F2767">
        <v>1</v>
      </c>
      <c r="G2767" s="1" t="s">
        <v>2883</v>
      </c>
      <c r="I2767" s="1" t="s">
        <v>11473</v>
      </c>
      <c r="O2767" t="s">
        <v>22</v>
      </c>
    </row>
    <row r="2768" spans="1:15">
      <c r="A2768" t="s">
        <v>6490</v>
      </c>
      <c r="B2768" t="s">
        <v>6490</v>
      </c>
      <c r="C2768" t="s">
        <v>6491</v>
      </c>
      <c r="F2768">
        <v>1</v>
      </c>
      <c r="G2768" s="1" t="s">
        <v>2884</v>
      </c>
      <c r="I2768" s="1" t="s">
        <v>11473</v>
      </c>
      <c r="O2768" t="s">
        <v>22</v>
      </c>
    </row>
    <row r="2769" spans="1:15">
      <c r="A2769" t="s">
        <v>6901</v>
      </c>
      <c r="B2769" t="s">
        <v>6901</v>
      </c>
      <c r="C2769" t="s">
        <v>6902</v>
      </c>
      <c r="F2769">
        <v>1</v>
      </c>
      <c r="G2769" s="1" t="s">
        <v>2885</v>
      </c>
      <c r="I2769" s="1" t="s">
        <v>11473</v>
      </c>
      <c r="O2769" t="s">
        <v>22</v>
      </c>
    </row>
    <row r="2770" spans="1:15">
      <c r="A2770" t="s">
        <v>10311</v>
      </c>
      <c r="B2770" t="s">
        <v>10311</v>
      </c>
      <c r="C2770" t="s">
        <v>4110</v>
      </c>
      <c r="F2770">
        <v>1</v>
      </c>
      <c r="G2770" s="1" t="s">
        <v>2886</v>
      </c>
      <c r="I2770" s="1" t="s">
        <v>11473</v>
      </c>
      <c r="O2770" t="s">
        <v>22</v>
      </c>
    </row>
    <row r="2771" spans="1:15">
      <c r="A2771" t="s">
        <v>8616</v>
      </c>
      <c r="B2771" t="s">
        <v>8616</v>
      </c>
      <c r="C2771" t="s">
        <v>5280</v>
      </c>
      <c r="F2771">
        <v>1</v>
      </c>
      <c r="G2771" s="1" t="s">
        <v>2887</v>
      </c>
      <c r="I2771" s="1" t="s">
        <v>11473</v>
      </c>
      <c r="O2771" t="s">
        <v>22</v>
      </c>
    </row>
    <row r="2772" spans="1:15">
      <c r="A2772" t="s">
        <v>6918</v>
      </c>
      <c r="B2772" t="s">
        <v>6918</v>
      </c>
      <c r="C2772" t="s">
        <v>6919</v>
      </c>
      <c r="F2772">
        <v>1</v>
      </c>
      <c r="G2772" s="1" t="s">
        <v>2888</v>
      </c>
      <c r="I2772" s="1" t="s">
        <v>11473</v>
      </c>
      <c r="O2772" t="s">
        <v>22</v>
      </c>
    </row>
    <row r="2773" spans="1:15">
      <c r="A2773" t="s">
        <v>5464</v>
      </c>
      <c r="B2773" t="s">
        <v>5464</v>
      </c>
      <c r="C2773" t="s">
        <v>5181</v>
      </c>
      <c r="F2773">
        <v>1</v>
      </c>
      <c r="G2773" s="1" t="s">
        <v>2889</v>
      </c>
      <c r="I2773" s="1" t="s">
        <v>11473</v>
      </c>
      <c r="O2773" t="s">
        <v>22</v>
      </c>
    </row>
    <row r="2774" spans="1:15">
      <c r="A2774" t="s">
        <v>6897</v>
      </c>
      <c r="B2774" t="s">
        <v>6897</v>
      </c>
      <c r="C2774" t="s">
        <v>5181</v>
      </c>
      <c r="F2774">
        <v>1</v>
      </c>
      <c r="G2774" s="1" t="s">
        <v>2890</v>
      </c>
      <c r="I2774" s="1" t="s">
        <v>11473</v>
      </c>
      <c r="O2774" t="s">
        <v>22</v>
      </c>
    </row>
    <row r="2775" spans="1:15">
      <c r="A2775" t="s">
        <v>8603</v>
      </c>
      <c r="B2775" t="s">
        <v>8603</v>
      </c>
      <c r="C2775" t="s">
        <v>5180</v>
      </c>
      <c r="F2775">
        <v>1</v>
      </c>
      <c r="G2775" s="1" t="s">
        <v>2891</v>
      </c>
      <c r="I2775" s="1" t="s">
        <v>11473</v>
      </c>
      <c r="O2775" t="s">
        <v>22</v>
      </c>
    </row>
    <row r="2776" spans="1:15">
      <c r="A2776" t="s">
        <v>8148</v>
      </c>
      <c r="B2776" t="s">
        <v>8148</v>
      </c>
      <c r="C2776" t="s">
        <v>8149</v>
      </c>
      <c r="F2776">
        <v>1</v>
      </c>
      <c r="G2776" s="1" t="s">
        <v>2892</v>
      </c>
      <c r="I2776" s="1" t="s">
        <v>11473</v>
      </c>
      <c r="O2776" t="s">
        <v>22</v>
      </c>
    </row>
    <row r="2777" spans="1:15">
      <c r="A2777" t="s">
        <v>10127</v>
      </c>
      <c r="B2777" t="s">
        <v>10127</v>
      </c>
      <c r="C2777" t="s">
        <v>5201</v>
      </c>
      <c r="F2777">
        <v>1</v>
      </c>
      <c r="G2777" s="1" t="s">
        <v>2893</v>
      </c>
      <c r="I2777" s="1" t="s">
        <v>11473</v>
      </c>
      <c r="O2777" t="s">
        <v>22</v>
      </c>
    </row>
    <row r="2778" spans="1:15">
      <c r="A2778" t="s">
        <v>10128</v>
      </c>
      <c r="B2778" t="s">
        <v>10128</v>
      </c>
      <c r="C2778" t="s">
        <v>10129</v>
      </c>
      <c r="F2778">
        <v>1</v>
      </c>
      <c r="G2778" s="1" t="s">
        <v>2894</v>
      </c>
      <c r="I2778" s="1" t="s">
        <v>11473</v>
      </c>
      <c r="O2778" t="s">
        <v>22</v>
      </c>
    </row>
    <row r="2779" spans="1:15">
      <c r="A2779" t="s">
        <v>10363</v>
      </c>
      <c r="B2779" t="s">
        <v>10363</v>
      </c>
      <c r="C2779" t="s">
        <v>4805</v>
      </c>
      <c r="F2779">
        <v>1</v>
      </c>
      <c r="G2779" s="1" t="s">
        <v>2895</v>
      </c>
      <c r="I2779" s="1" t="s">
        <v>11473</v>
      </c>
      <c r="O2779" t="s">
        <v>22</v>
      </c>
    </row>
    <row r="2780" spans="1:15">
      <c r="A2780" t="s">
        <v>6898</v>
      </c>
      <c r="B2780" t="s">
        <v>6898</v>
      </c>
      <c r="C2780" t="s">
        <v>6900</v>
      </c>
      <c r="F2780">
        <v>1</v>
      </c>
      <c r="G2780" s="1" t="s">
        <v>2896</v>
      </c>
      <c r="I2780" s="1" t="s">
        <v>11473</v>
      </c>
      <c r="O2780" t="s">
        <v>22</v>
      </c>
    </row>
    <row r="2781" spans="1:15">
      <c r="A2781" t="s">
        <v>6674</v>
      </c>
      <c r="B2781" t="s">
        <v>6674</v>
      </c>
      <c r="C2781" t="s">
        <v>4862</v>
      </c>
      <c r="F2781">
        <v>1</v>
      </c>
      <c r="G2781" s="1" t="s">
        <v>2897</v>
      </c>
      <c r="I2781" s="1" t="s">
        <v>11473</v>
      </c>
      <c r="O2781" t="s">
        <v>22</v>
      </c>
    </row>
    <row r="2782" spans="1:15">
      <c r="A2782" t="s">
        <v>7725</v>
      </c>
      <c r="B2782" t="s">
        <v>7725</v>
      </c>
      <c r="C2782" t="s">
        <v>7726</v>
      </c>
      <c r="F2782">
        <v>1</v>
      </c>
      <c r="G2782" s="1" t="s">
        <v>2898</v>
      </c>
      <c r="I2782" s="1" t="s">
        <v>11473</v>
      </c>
      <c r="O2782" t="s">
        <v>22</v>
      </c>
    </row>
    <row r="2783" spans="1:15">
      <c r="A2783" t="s">
        <v>9901</v>
      </c>
      <c r="B2783" t="s">
        <v>9901</v>
      </c>
      <c r="C2783" t="s">
        <v>7726</v>
      </c>
      <c r="F2783">
        <v>1</v>
      </c>
      <c r="G2783" s="1" t="s">
        <v>2899</v>
      </c>
      <c r="I2783" s="1" t="s">
        <v>11473</v>
      </c>
      <c r="O2783" t="s">
        <v>22</v>
      </c>
    </row>
    <row r="2784" spans="1:15">
      <c r="A2784" t="s">
        <v>10095</v>
      </c>
      <c r="B2784" t="s">
        <v>10095</v>
      </c>
      <c r="C2784" t="s">
        <v>10096</v>
      </c>
      <c r="F2784">
        <v>1</v>
      </c>
      <c r="G2784" s="1" t="s">
        <v>2900</v>
      </c>
      <c r="I2784" s="1" t="s">
        <v>11473</v>
      </c>
      <c r="O2784" t="s">
        <v>22</v>
      </c>
    </row>
    <row r="2785" spans="1:15">
      <c r="A2785" t="s">
        <v>6464</v>
      </c>
      <c r="B2785" t="s">
        <v>6464</v>
      </c>
      <c r="C2785" t="s">
        <v>4533</v>
      </c>
      <c r="F2785">
        <v>1</v>
      </c>
      <c r="G2785" s="1" t="s">
        <v>2901</v>
      </c>
      <c r="I2785" s="1" t="s">
        <v>11473</v>
      </c>
      <c r="O2785" t="s">
        <v>22</v>
      </c>
    </row>
    <row r="2786" spans="1:15">
      <c r="A2786" t="s">
        <v>6678</v>
      </c>
      <c r="B2786" t="s">
        <v>6678</v>
      </c>
      <c r="C2786" t="s">
        <v>4533</v>
      </c>
      <c r="F2786">
        <v>1</v>
      </c>
      <c r="G2786" s="1" t="s">
        <v>2902</v>
      </c>
      <c r="I2786" s="1" t="s">
        <v>11473</v>
      </c>
      <c r="O2786" t="s">
        <v>22</v>
      </c>
    </row>
    <row r="2787" spans="1:15">
      <c r="A2787" t="s">
        <v>8611</v>
      </c>
      <c r="B2787" t="s">
        <v>8611</v>
      </c>
      <c r="C2787" t="s">
        <v>4533</v>
      </c>
      <c r="F2787">
        <v>1</v>
      </c>
      <c r="G2787" s="1" t="s">
        <v>2903</v>
      </c>
      <c r="I2787" s="1" t="s">
        <v>11473</v>
      </c>
      <c r="O2787" t="s">
        <v>22</v>
      </c>
    </row>
    <row r="2788" spans="1:15">
      <c r="A2788" t="s">
        <v>9840</v>
      </c>
      <c r="B2788" t="s">
        <v>9840</v>
      </c>
      <c r="C2788" t="s">
        <v>9841</v>
      </c>
      <c r="F2788">
        <v>1</v>
      </c>
      <c r="G2788" s="1" t="s">
        <v>2904</v>
      </c>
      <c r="I2788" s="1" t="s">
        <v>11473</v>
      </c>
      <c r="O2788" t="s">
        <v>22</v>
      </c>
    </row>
    <row r="2789" spans="1:15">
      <c r="A2789" t="s">
        <v>11442</v>
      </c>
      <c r="B2789" t="s">
        <v>11442</v>
      </c>
      <c r="C2789" t="s">
        <v>4857</v>
      </c>
      <c r="F2789">
        <v>1</v>
      </c>
      <c r="G2789" s="1" t="s">
        <v>2905</v>
      </c>
      <c r="I2789" s="1" t="s">
        <v>11473</v>
      </c>
      <c r="O2789" t="s">
        <v>22</v>
      </c>
    </row>
    <row r="2790" spans="1:15">
      <c r="A2790" t="s">
        <v>7468</v>
      </c>
      <c r="B2790" t="s">
        <v>7468</v>
      </c>
      <c r="C2790" t="s">
        <v>5168</v>
      </c>
      <c r="F2790">
        <v>1</v>
      </c>
      <c r="G2790" s="1" t="s">
        <v>2906</v>
      </c>
      <c r="I2790" s="1" t="s">
        <v>11473</v>
      </c>
      <c r="O2790" t="s">
        <v>22</v>
      </c>
    </row>
    <row r="2791" spans="1:15">
      <c r="A2791" t="s">
        <v>8176</v>
      </c>
      <c r="B2791" t="s">
        <v>8176</v>
      </c>
      <c r="C2791" t="s">
        <v>5393</v>
      </c>
      <c r="F2791">
        <v>1</v>
      </c>
      <c r="G2791" s="1" t="s">
        <v>2907</v>
      </c>
      <c r="I2791" s="1" t="s">
        <v>11473</v>
      </c>
      <c r="O2791" t="s">
        <v>22</v>
      </c>
    </row>
    <row r="2792" spans="1:15">
      <c r="A2792" t="s">
        <v>7113</v>
      </c>
      <c r="B2792" t="s">
        <v>7113</v>
      </c>
      <c r="C2792" t="s">
        <v>7114</v>
      </c>
      <c r="F2792">
        <v>1</v>
      </c>
      <c r="G2792" s="1" t="s">
        <v>2908</v>
      </c>
      <c r="I2792" s="1" t="s">
        <v>11473</v>
      </c>
      <c r="O2792" t="s">
        <v>22</v>
      </c>
    </row>
    <row r="2793" spans="1:15">
      <c r="A2793" t="s">
        <v>10298</v>
      </c>
      <c r="B2793" t="s">
        <v>10298</v>
      </c>
      <c r="C2793" t="s">
        <v>7114</v>
      </c>
      <c r="F2793">
        <v>1</v>
      </c>
      <c r="G2793" s="1" t="s">
        <v>2909</v>
      </c>
      <c r="I2793" s="1" t="s">
        <v>11473</v>
      </c>
      <c r="O2793" t="s">
        <v>22</v>
      </c>
    </row>
    <row r="2794" spans="1:15">
      <c r="A2794" t="s">
        <v>11437</v>
      </c>
      <c r="B2794" t="s">
        <v>11437</v>
      </c>
      <c r="C2794" t="s">
        <v>7114</v>
      </c>
      <c r="F2794">
        <v>1</v>
      </c>
      <c r="G2794" s="1" t="s">
        <v>2910</v>
      </c>
      <c r="I2794" s="1" t="s">
        <v>11473</v>
      </c>
      <c r="O2794" t="s">
        <v>22</v>
      </c>
    </row>
    <row r="2795" spans="1:15">
      <c r="A2795" t="s">
        <v>6188</v>
      </c>
      <c r="B2795" t="s">
        <v>6188</v>
      </c>
      <c r="C2795" t="s">
        <v>6189</v>
      </c>
      <c r="F2795">
        <v>1</v>
      </c>
      <c r="G2795" s="1" t="s">
        <v>2911</v>
      </c>
      <c r="I2795" s="1" t="s">
        <v>11473</v>
      </c>
      <c r="O2795" t="s">
        <v>22</v>
      </c>
    </row>
    <row r="2796" spans="1:15">
      <c r="A2796" t="s">
        <v>7277</v>
      </c>
      <c r="B2796" t="s">
        <v>7277</v>
      </c>
      <c r="C2796" t="s">
        <v>4071</v>
      </c>
      <c r="F2796">
        <v>1</v>
      </c>
      <c r="G2796" s="1" t="s">
        <v>2912</v>
      </c>
      <c r="I2796" s="1" t="s">
        <v>11473</v>
      </c>
      <c r="O2796" t="s">
        <v>22</v>
      </c>
    </row>
    <row r="2797" spans="1:15">
      <c r="A2797" t="s">
        <v>7278</v>
      </c>
      <c r="B2797" t="s">
        <v>7278</v>
      </c>
      <c r="C2797" t="s">
        <v>7279</v>
      </c>
      <c r="F2797">
        <v>1</v>
      </c>
      <c r="G2797" s="1" t="s">
        <v>2913</v>
      </c>
      <c r="I2797" s="1" t="s">
        <v>11473</v>
      </c>
      <c r="O2797" t="s">
        <v>22</v>
      </c>
    </row>
    <row r="2798" spans="1:15">
      <c r="A2798" t="s">
        <v>7497</v>
      </c>
      <c r="B2798" t="s">
        <v>7497</v>
      </c>
      <c r="C2798" t="s">
        <v>7498</v>
      </c>
      <c r="F2798">
        <v>1</v>
      </c>
      <c r="G2798" s="1" t="s">
        <v>2914</v>
      </c>
      <c r="I2798" s="1" t="s">
        <v>11473</v>
      </c>
      <c r="O2798" t="s">
        <v>22</v>
      </c>
    </row>
    <row r="2799" spans="1:15">
      <c r="A2799" t="s">
        <v>9475</v>
      </c>
      <c r="B2799" t="s">
        <v>9475</v>
      </c>
      <c r="C2799" t="s">
        <v>9476</v>
      </c>
      <c r="F2799">
        <v>1</v>
      </c>
      <c r="G2799" s="1" t="s">
        <v>2915</v>
      </c>
      <c r="I2799" s="1" t="s">
        <v>11473</v>
      </c>
      <c r="O2799" t="s">
        <v>22</v>
      </c>
    </row>
    <row r="2800" spans="1:15">
      <c r="A2800" t="s">
        <v>9874</v>
      </c>
      <c r="B2800" t="s">
        <v>9874</v>
      </c>
      <c r="C2800" t="s">
        <v>9476</v>
      </c>
      <c r="F2800">
        <v>1</v>
      </c>
      <c r="G2800" s="1" t="s">
        <v>2916</v>
      </c>
      <c r="I2800" s="1" t="s">
        <v>11473</v>
      </c>
      <c r="O2800" t="s">
        <v>22</v>
      </c>
    </row>
    <row r="2801" spans="1:15">
      <c r="A2801" t="s">
        <v>7694</v>
      </c>
      <c r="B2801" t="s">
        <v>7694</v>
      </c>
      <c r="C2801" t="s">
        <v>7695</v>
      </c>
      <c r="F2801">
        <v>1</v>
      </c>
      <c r="G2801" s="1" t="s">
        <v>2917</v>
      </c>
      <c r="I2801" s="1" t="s">
        <v>11473</v>
      </c>
      <c r="O2801" t="s">
        <v>22</v>
      </c>
    </row>
    <row r="2802" spans="1:15">
      <c r="A2802" t="s">
        <v>10086</v>
      </c>
      <c r="B2802" t="s">
        <v>10086</v>
      </c>
      <c r="C2802" t="s">
        <v>7695</v>
      </c>
      <c r="F2802">
        <v>1</v>
      </c>
      <c r="G2802" s="1" t="s">
        <v>2918</v>
      </c>
      <c r="I2802" s="1" t="s">
        <v>11473</v>
      </c>
      <c r="O2802" t="s">
        <v>22</v>
      </c>
    </row>
    <row r="2803" spans="1:15">
      <c r="A2803" t="s">
        <v>6691</v>
      </c>
      <c r="B2803" t="s">
        <v>6691</v>
      </c>
      <c r="C2803" t="s">
        <v>6692</v>
      </c>
      <c r="F2803">
        <v>1</v>
      </c>
      <c r="G2803" s="1" t="s">
        <v>2919</v>
      </c>
      <c r="I2803" s="1" t="s">
        <v>11473</v>
      </c>
      <c r="O2803" t="s">
        <v>22</v>
      </c>
    </row>
    <row r="2804" spans="1:15">
      <c r="A2804" t="s">
        <v>9081</v>
      </c>
      <c r="B2804" t="s">
        <v>9081</v>
      </c>
      <c r="C2804" t="s">
        <v>9082</v>
      </c>
      <c r="F2804">
        <v>1</v>
      </c>
      <c r="G2804" s="1" t="s">
        <v>2920</v>
      </c>
      <c r="I2804" s="1" t="s">
        <v>11473</v>
      </c>
      <c r="O2804" t="s">
        <v>22</v>
      </c>
    </row>
    <row r="2805" spans="1:15">
      <c r="A2805" t="s">
        <v>9677</v>
      </c>
      <c r="B2805" t="s">
        <v>9677</v>
      </c>
      <c r="C2805" t="s">
        <v>4119</v>
      </c>
      <c r="F2805">
        <v>1</v>
      </c>
      <c r="G2805" s="1" t="s">
        <v>2921</v>
      </c>
      <c r="I2805" s="1" t="s">
        <v>11473</v>
      </c>
      <c r="O2805" t="s">
        <v>22</v>
      </c>
    </row>
    <row r="2806" spans="1:15">
      <c r="A2806" t="s">
        <v>7267</v>
      </c>
      <c r="B2806" t="s">
        <v>7267</v>
      </c>
      <c r="C2806" t="s">
        <v>7268</v>
      </c>
      <c r="F2806">
        <v>1</v>
      </c>
      <c r="G2806" s="1" t="s">
        <v>2922</v>
      </c>
      <c r="I2806" s="1" t="s">
        <v>11473</v>
      </c>
      <c r="O2806" t="s">
        <v>22</v>
      </c>
    </row>
    <row r="2807" spans="1:15">
      <c r="A2807" t="s">
        <v>7475</v>
      </c>
      <c r="B2807" t="s">
        <v>7475</v>
      </c>
      <c r="C2807" t="s">
        <v>5057</v>
      </c>
      <c r="F2807">
        <v>1</v>
      </c>
      <c r="G2807" s="1" t="s">
        <v>2923</v>
      </c>
      <c r="I2807" s="1" t="s">
        <v>11473</v>
      </c>
      <c r="O2807" t="s">
        <v>22</v>
      </c>
    </row>
    <row r="2808" spans="1:15">
      <c r="A2808" t="s">
        <v>9948</v>
      </c>
      <c r="B2808" t="s">
        <v>9948</v>
      </c>
      <c r="C2808" t="s">
        <v>5053</v>
      </c>
      <c r="F2808">
        <v>1</v>
      </c>
      <c r="G2808" s="1" t="s">
        <v>2924</v>
      </c>
      <c r="I2808" s="1" t="s">
        <v>11473</v>
      </c>
      <c r="O2808" t="s">
        <v>22</v>
      </c>
    </row>
    <row r="2809" spans="1:15">
      <c r="A2809" t="s">
        <v>9639</v>
      </c>
      <c r="B2809" t="s">
        <v>9639</v>
      </c>
      <c r="C2809" t="s">
        <v>5051</v>
      </c>
      <c r="F2809">
        <v>1</v>
      </c>
      <c r="G2809" s="1" t="s">
        <v>2925</v>
      </c>
      <c r="I2809" s="1" t="s">
        <v>11473</v>
      </c>
      <c r="O2809" t="s">
        <v>22</v>
      </c>
    </row>
    <row r="2810" spans="1:15">
      <c r="A2810" t="s">
        <v>7476</v>
      </c>
      <c r="B2810" t="s">
        <v>7476</v>
      </c>
      <c r="C2810" t="s">
        <v>5055</v>
      </c>
      <c r="F2810">
        <v>1</v>
      </c>
      <c r="G2810" s="1" t="s">
        <v>2926</v>
      </c>
      <c r="I2810" s="1" t="s">
        <v>11473</v>
      </c>
      <c r="O2810" t="s">
        <v>22</v>
      </c>
    </row>
    <row r="2811" spans="1:15">
      <c r="A2811" t="s">
        <v>6652</v>
      </c>
      <c r="B2811" t="s">
        <v>6652</v>
      </c>
      <c r="C2811" t="s">
        <v>5046</v>
      </c>
      <c r="F2811">
        <v>1</v>
      </c>
      <c r="G2811" s="1" t="s">
        <v>2927</v>
      </c>
      <c r="I2811" s="1" t="s">
        <v>11473</v>
      </c>
      <c r="O2811" t="s">
        <v>22</v>
      </c>
    </row>
    <row r="2812" spans="1:15">
      <c r="A2812" t="s">
        <v>8465</v>
      </c>
      <c r="B2812" t="s">
        <v>8465</v>
      </c>
      <c r="C2812" t="s">
        <v>8466</v>
      </c>
      <c r="F2812">
        <v>1</v>
      </c>
      <c r="G2812" s="1" t="s">
        <v>2928</v>
      </c>
      <c r="I2812" s="1" t="s">
        <v>11473</v>
      </c>
      <c r="O2812" t="s">
        <v>22</v>
      </c>
    </row>
    <row r="2813" spans="1:15">
      <c r="A2813" t="s">
        <v>7470</v>
      </c>
      <c r="B2813" t="s">
        <v>7470</v>
      </c>
      <c r="C2813" t="s">
        <v>4067</v>
      </c>
      <c r="F2813">
        <v>1</v>
      </c>
      <c r="G2813" s="1" t="s">
        <v>2929</v>
      </c>
      <c r="I2813" s="1" t="s">
        <v>11473</v>
      </c>
      <c r="O2813" t="s">
        <v>22</v>
      </c>
    </row>
    <row r="2814" spans="1:15">
      <c r="A2814" t="s">
        <v>7260</v>
      </c>
      <c r="B2814" t="s">
        <v>7260</v>
      </c>
      <c r="C2814" t="s">
        <v>7261</v>
      </c>
      <c r="F2814">
        <v>1</v>
      </c>
      <c r="G2814" s="1" t="s">
        <v>2930</v>
      </c>
      <c r="I2814" s="1" t="s">
        <v>11473</v>
      </c>
      <c r="O2814" t="s">
        <v>22</v>
      </c>
    </row>
    <row r="2815" spans="1:15">
      <c r="A2815" t="s">
        <v>9674</v>
      </c>
      <c r="B2815" t="s">
        <v>9674</v>
      </c>
      <c r="C2815" t="s">
        <v>7261</v>
      </c>
      <c r="F2815">
        <v>1</v>
      </c>
      <c r="G2815" s="1" t="s">
        <v>2931</v>
      </c>
      <c r="I2815" s="1" t="s">
        <v>11473</v>
      </c>
      <c r="O2815" t="s">
        <v>22</v>
      </c>
    </row>
    <row r="2816" spans="1:15">
      <c r="A2816" t="s">
        <v>11438</v>
      </c>
      <c r="B2816" t="s">
        <v>11438</v>
      </c>
      <c r="C2816" t="s">
        <v>7261</v>
      </c>
      <c r="F2816">
        <v>1</v>
      </c>
      <c r="G2816" s="1" t="s">
        <v>2932</v>
      </c>
      <c r="I2816" s="1" t="s">
        <v>11473</v>
      </c>
      <c r="O2816" t="s">
        <v>22</v>
      </c>
    </row>
    <row r="2817" spans="1:15">
      <c r="A2817" t="s">
        <v>7499</v>
      </c>
      <c r="B2817" t="s">
        <v>7499</v>
      </c>
      <c r="C2817" t="s">
        <v>7500</v>
      </c>
      <c r="F2817">
        <v>1</v>
      </c>
      <c r="G2817" s="1" t="s">
        <v>2933</v>
      </c>
      <c r="I2817" s="1" t="s">
        <v>11473</v>
      </c>
      <c r="O2817" t="s">
        <v>22</v>
      </c>
    </row>
    <row r="2818" spans="1:15">
      <c r="A2818" t="s">
        <v>7464</v>
      </c>
      <c r="B2818" t="s">
        <v>7464</v>
      </c>
      <c r="C2818" t="s">
        <v>7465</v>
      </c>
      <c r="F2818">
        <v>1</v>
      </c>
      <c r="G2818" s="1" t="s">
        <v>2934</v>
      </c>
      <c r="I2818" s="1" t="s">
        <v>11473</v>
      </c>
      <c r="O2818" t="s">
        <v>22</v>
      </c>
    </row>
    <row r="2819" spans="1:15">
      <c r="A2819" t="s">
        <v>7505</v>
      </c>
      <c r="B2819" t="s">
        <v>7505</v>
      </c>
      <c r="C2819" t="s">
        <v>5389</v>
      </c>
      <c r="F2819">
        <v>1</v>
      </c>
      <c r="G2819" s="1" t="s">
        <v>2935</v>
      </c>
      <c r="I2819" s="1" t="s">
        <v>11473</v>
      </c>
      <c r="O2819" t="s">
        <v>22</v>
      </c>
    </row>
    <row r="2820" spans="1:15">
      <c r="A2820" t="s">
        <v>9457</v>
      </c>
      <c r="B2820" t="s">
        <v>9457</v>
      </c>
      <c r="C2820" t="s">
        <v>5389</v>
      </c>
      <c r="F2820">
        <v>1</v>
      </c>
      <c r="G2820" s="1" t="s">
        <v>2936</v>
      </c>
      <c r="I2820" s="1" t="s">
        <v>11473</v>
      </c>
      <c r="O2820" t="s">
        <v>22</v>
      </c>
    </row>
    <row r="2821" spans="1:15">
      <c r="A2821" t="s">
        <v>10161</v>
      </c>
      <c r="B2821" t="s">
        <v>10161</v>
      </c>
      <c r="C2821" t="s">
        <v>5389</v>
      </c>
      <c r="F2821">
        <v>1</v>
      </c>
      <c r="G2821" s="1" t="s">
        <v>2937</v>
      </c>
      <c r="I2821" s="1" t="s">
        <v>11473</v>
      </c>
      <c r="O2821" t="s">
        <v>22</v>
      </c>
    </row>
    <row r="2822" spans="1:15">
      <c r="A2822" t="s">
        <v>7684</v>
      </c>
      <c r="B2822" t="s">
        <v>7684</v>
      </c>
      <c r="C2822" t="s">
        <v>7685</v>
      </c>
      <c r="F2822">
        <v>1</v>
      </c>
      <c r="G2822" s="1" t="s">
        <v>2938</v>
      </c>
      <c r="I2822" s="1" t="s">
        <v>11473</v>
      </c>
      <c r="O2822" t="s">
        <v>22</v>
      </c>
    </row>
    <row r="2823" spans="1:15">
      <c r="A2823" t="s">
        <v>9473</v>
      </c>
      <c r="B2823" t="s">
        <v>9473</v>
      </c>
      <c r="C2823" t="s">
        <v>7685</v>
      </c>
      <c r="F2823">
        <v>1</v>
      </c>
      <c r="G2823" s="1" t="s">
        <v>2939</v>
      </c>
      <c r="I2823" s="1" t="s">
        <v>11473</v>
      </c>
      <c r="O2823" t="s">
        <v>22</v>
      </c>
    </row>
    <row r="2824" spans="1:15">
      <c r="A2824" t="s">
        <v>7280</v>
      </c>
      <c r="B2824" t="s">
        <v>7280</v>
      </c>
      <c r="C2824" t="s">
        <v>7281</v>
      </c>
      <c r="F2824">
        <v>1</v>
      </c>
      <c r="G2824" s="1" t="s">
        <v>2940</v>
      </c>
      <c r="I2824" s="1" t="s">
        <v>11473</v>
      </c>
      <c r="O2824" t="s">
        <v>22</v>
      </c>
    </row>
    <row r="2825" spans="1:15">
      <c r="A2825" t="s">
        <v>9905</v>
      </c>
      <c r="B2825" t="s">
        <v>9905</v>
      </c>
      <c r="C2825" t="s">
        <v>7281</v>
      </c>
      <c r="F2825">
        <v>1</v>
      </c>
      <c r="G2825" s="1" t="s">
        <v>2941</v>
      </c>
      <c r="I2825" s="1" t="s">
        <v>11473</v>
      </c>
      <c r="O2825" t="s">
        <v>22</v>
      </c>
    </row>
    <row r="2826" spans="1:15">
      <c r="A2826" t="s">
        <v>8997</v>
      </c>
      <c r="B2826" t="s">
        <v>8997</v>
      </c>
      <c r="C2826" t="s">
        <v>8998</v>
      </c>
      <c r="F2826">
        <v>1</v>
      </c>
      <c r="G2826" s="1" t="s">
        <v>2942</v>
      </c>
      <c r="I2826" s="1" t="s">
        <v>11473</v>
      </c>
      <c r="O2826" t="s">
        <v>22</v>
      </c>
    </row>
    <row r="2827" spans="1:15">
      <c r="A2827" t="s">
        <v>7459</v>
      </c>
      <c r="B2827" t="s">
        <v>7459</v>
      </c>
      <c r="C2827" t="s">
        <v>7460</v>
      </c>
      <c r="F2827">
        <v>1</v>
      </c>
      <c r="G2827" s="1" t="s">
        <v>2943</v>
      </c>
      <c r="I2827" s="1" t="s">
        <v>11473</v>
      </c>
      <c r="O2827" t="s">
        <v>22</v>
      </c>
    </row>
    <row r="2828" spans="1:15">
      <c r="A2828" t="s">
        <v>9811</v>
      </c>
      <c r="B2828" t="s">
        <v>9811</v>
      </c>
      <c r="C2828" t="s">
        <v>7460</v>
      </c>
      <c r="F2828">
        <v>1</v>
      </c>
      <c r="G2828" s="1" t="s">
        <v>2944</v>
      </c>
      <c r="I2828" s="1" t="s">
        <v>11473</v>
      </c>
      <c r="O2828" t="s">
        <v>22</v>
      </c>
    </row>
    <row r="2829" spans="1:15">
      <c r="A2829" t="s">
        <v>9500</v>
      </c>
      <c r="B2829" t="s">
        <v>9500</v>
      </c>
      <c r="C2829" t="s">
        <v>9501</v>
      </c>
      <c r="F2829">
        <v>1</v>
      </c>
      <c r="G2829" s="1" t="s">
        <v>2945</v>
      </c>
      <c r="I2829" s="1" t="s">
        <v>11473</v>
      </c>
      <c r="O2829" t="s">
        <v>22</v>
      </c>
    </row>
    <row r="2830" spans="1:15">
      <c r="A2830" t="s">
        <v>7508</v>
      </c>
      <c r="B2830" t="s">
        <v>7508</v>
      </c>
      <c r="C2830" t="s">
        <v>4164</v>
      </c>
      <c r="F2830">
        <v>1</v>
      </c>
      <c r="G2830" s="1" t="s">
        <v>2946</v>
      </c>
      <c r="I2830" s="1" t="s">
        <v>11473</v>
      </c>
      <c r="O2830" t="s">
        <v>22</v>
      </c>
    </row>
    <row r="2831" spans="1:15">
      <c r="A2831" t="s">
        <v>7686</v>
      </c>
      <c r="B2831" t="s">
        <v>7686</v>
      </c>
      <c r="C2831" t="s">
        <v>7687</v>
      </c>
      <c r="F2831">
        <v>1</v>
      </c>
      <c r="G2831" s="1" t="s">
        <v>2947</v>
      </c>
      <c r="I2831" s="1" t="s">
        <v>11473</v>
      </c>
      <c r="O2831" t="s">
        <v>22</v>
      </c>
    </row>
    <row r="2832" spans="1:15">
      <c r="A2832" t="s">
        <v>8359</v>
      </c>
      <c r="B2832" t="s">
        <v>8359</v>
      </c>
      <c r="C2832" t="s">
        <v>5358</v>
      </c>
      <c r="F2832">
        <v>1</v>
      </c>
      <c r="G2832" s="1" t="s">
        <v>2948</v>
      </c>
      <c r="I2832" s="1" t="s">
        <v>11473</v>
      </c>
      <c r="O2832" t="s">
        <v>22</v>
      </c>
    </row>
    <row r="2833" spans="1:15">
      <c r="A2833" t="s">
        <v>11267</v>
      </c>
      <c r="B2833" t="s">
        <v>11267</v>
      </c>
      <c r="C2833" t="s">
        <v>4671</v>
      </c>
      <c r="F2833">
        <v>1</v>
      </c>
      <c r="G2833" s="1" t="s">
        <v>2949</v>
      </c>
      <c r="I2833" s="1" t="s">
        <v>11473</v>
      </c>
      <c r="O2833" t="s">
        <v>22</v>
      </c>
    </row>
    <row r="2834" spans="1:15">
      <c r="A2834" t="s">
        <v>10486</v>
      </c>
      <c r="B2834" t="s">
        <v>10486</v>
      </c>
      <c r="C2834" t="s">
        <v>4844</v>
      </c>
      <c r="F2834">
        <v>1</v>
      </c>
      <c r="G2834" s="1" t="s">
        <v>2950</v>
      </c>
      <c r="I2834" s="1" t="s">
        <v>11473</v>
      </c>
      <c r="O2834" t="s">
        <v>22</v>
      </c>
    </row>
    <row r="2835" spans="1:15">
      <c r="A2835" t="s">
        <v>9668</v>
      </c>
      <c r="B2835" t="s">
        <v>9668</v>
      </c>
      <c r="C2835" t="s">
        <v>9669</v>
      </c>
      <c r="F2835">
        <v>1</v>
      </c>
      <c r="G2835" s="1" t="s">
        <v>2951</v>
      </c>
      <c r="I2835" s="1" t="s">
        <v>11473</v>
      </c>
      <c r="O2835" t="s">
        <v>22</v>
      </c>
    </row>
    <row r="2836" spans="1:15">
      <c r="A2836" t="s">
        <v>7473</v>
      </c>
      <c r="B2836" t="s">
        <v>7473</v>
      </c>
      <c r="C2836" t="s">
        <v>4089</v>
      </c>
      <c r="F2836">
        <v>1</v>
      </c>
      <c r="G2836" s="1" t="s">
        <v>2952</v>
      </c>
      <c r="I2836" s="1" t="s">
        <v>11473</v>
      </c>
      <c r="O2836" t="s">
        <v>22</v>
      </c>
    </row>
    <row r="2837" spans="1:15">
      <c r="A2837" t="s">
        <v>7488</v>
      </c>
      <c r="B2837" t="s">
        <v>7488</v>
      </c>
      <c r="C2837" t="s">
        <v>4089</v>
      </c>
      <c r="F2837">
        <v>1</v>
      </c>
      <c r="G2837" s="1" t="s">
        <v>2953</v>
      </c>
      <c r="I2837" s="1" t="s">
        <v>11473</v>
      </c>
      <c r="O2837" t="s">
        <v>22</v>
      </c>
    </row>
    <row r="2838" spans="1:15">
      <c r="A2838" t="s">
        <v>11069</v>
      </c>
      <c r="B2838" t="s">
        <v>11069</v>
      </c>
      <c r="C2838" t="s">
        <v>4089</v>
      </c>
      <c r="F2838">
        <v>1</v>
      </c>
      <c r="G2838" s="1" t="s">
        <v>2954</v>
      </c>
      <c r="I2838" s="1" t="s">
        <v>11473</v>
      </c>
      <c r="O2838" t="s">
        <v>22</v>
      </c>
    </row>
    <row r="2839" spans="1:15">
      <c r="A2839" t="s">
        <v>7681</v>
      </c>
      <c r="B2839" t="s">
        <v>7681</v>
      </c>
      <c r="C2839" t="s">
        <v>4887</v>
      </c>
      <c r="F2839">
        <v>1</v>
      </c>
      <c r="G2839" s="1" t="s">
        <v>2955</v>
      </c>
      <c r="I2839" s="1" t="s">
        <v>11473</v>
      </c>
      <c r="O2839" t="s">
        <v>22</v>
      </c>
    </row>
    <row r="2840" spans="1:15">
      <c r="A2840" t="s">
        <v>7677</v>
      </c>
      <c r="B2840" t="s">
        <v>7677</v>
      </c>
      <c r="C2840" t="s">
        <v>4841</v>
      </c>
      <c r="F2840">
        <v>1</v>
      </c>
      <c r="G2840" s="1" t="s">
        <v>2956</v>
      </c>
      <c r="I2840" s="1" t="s">
        <v>11473</v>
      </c>
      <c r="O2840" t="s">
        <v>22</v>
      </c>
    </row>
    <row r="2841" spans="1:15">
      <c r="A2841" t="s">
        <v>7012</v>
      </c>
      <c r="B2841" t="s">
        <v>7012</v>
      </c>
      <c r="C2841" t="s">
        <v>4149</v>
      </c>
      <c r="F2841">
        <v>1</v>
      </c>
      <c r="G2841" s="1" t="s">
        <v>2957</v>
      </c>
      <c r="I2841" s="1" t="s">
        <v>11473</v>
      </c>
      <c r="O2841" t="s">
        <v>22</v>
      </c>
    </row>
    <row r="2842" spans="1:15">
      <c r="A2842" t="s">
        <v>9459</v>
      </c>
      <c r="B2842" t="s">
        <v>9459</v>
      </c>
      <c r="C2842" t="s">
        <v>5048</v>
      </c>
      <c r="F2842">
        <v>1</v>
      </c>
      <c r="G2842" s="1" t="s">
        <v>2958</v>
      </c>
      <c r="I2842" s="1" t="s">
        <v>11473</v>
      </c>
      <c r="O2842" t="s">
        <v>22</v>
      </c>
    </row>
    <row r="2843" spans="1:15">
      <c r="A2843" t="s">
        <v>9658</v>
      </c>
      <c r="B2843" t="s">
        <v>9658</v>
      </c>
      <c r="C2843" t="s">
        <v>9659</v>
      </c>
      <c r="F2843">
        <v>1</v>
      </c>
      <c r="G2843" s="1" t="s">
        <v>2959</v>
      </c>
      <c r="I2843" s="1" t="s">
        <v>11473</v>
      </c>
      <c r="O2843" t="s">
        <v>22</v>
      </c>
    </row>
    <row r="2844" spans="1:15">
      <c r="A2844" t="s">
        <v>9571</v>
      </c>
      <c r="B2844" t="s">
        <v>9571</v>
      </c>
      <c r="C2844" t="s">
        <v>5190</v>
      </c>
      <c r="F2844">
        <v>1</v>
      </c>
      <c r="G2844" s="1" t="s">
        <v>2960</v>
      </c>
      <c r="I2844" s="1" t="s">
        <v>11473</v>
      </c>
      <c r="O2844" t="s">
        <v>22</v>
      </c>
    </row>
    <row r="2845" spans="1:15">
      <c r="A2845" t="s">
        <v>7274</v>
      </c>
      <c r="B2845" t="s">
        <v>7274</v>
      </c>
      <c r="C2845" t="s">
        <v>7275</v>
      </c>
      <c r="F2845">
        <v>1</v>
      </c>
      <c r="G2845" s="1" t="s">
        <v>2961</v>
      </c>
      <c r="I2845" s="1" t="s">
        <v>11473</v>
      </c>
      <c r="O2845" t="s">
        <v>22</v>
      </c>
    </row>
    <row r="2846" spans="1:15">
      <c r="A2846" t="s">
        <v>9482</v>
      </c>
      <c r="B2846" t="s">
        <v>9482</v>
      </c>
      <c r="C2846" t="s">
        <v>7275</v>
      </c>
      <c r="F2846">
        <v>1</v>
      </c>
      <c r="G2846" s="1" t="s">
        <v>2962</v>
      </c>
      <c r="I2846" s="1" t="s">
        <v>11473</v>
      </c>
      <c r="O2846" t="s">
        <v>22</v>
      </c>
    </row>
    <row r="2847" spans="1:15">
      <c r="A2847" t="s">
        <v>10089</v>
      </c>
      <c r="B2847" t="s">
        <v>10089</v>
      </c>
      <c r="C2847" t="s">
        <v>7275</v>
      </c>
      <c r="F2847">
        <v>1</v>
      </c>
      <c r="G2847" s="1" t="s">
        <v>2963</v>
      </c>
      <c r="I2847" s="1" t="s">
        <v>11473</v>
      </c>
      <c r="O2847" t="s">
        <v>22</v>
      </c>
    </row>
    <row r="2848" spans="1:15">
      <c r="A2848" t="s">
        <v>9634</v>
      </c>
      <c r="B2848" t="s">
        <v>9634</v>
      </c>
      <c r="C2848" t="s">
        <v>5047</v>
      </c>
      <c r="F2848">
        <v>1</v>
      </c>
      <c r="G2848" s="1" t="s">
        <v>2964</v>
      </c>
      <c r="I2848" s="1" t="s">
        <v>11473</v>
      </c>
      <c r="O2848" t="s">
        <v>22</v>
      </c>
    </row>
    <row r="2849" spans="1:15">
      <c r="A2849" t="s">
        <v>10927</v>
      </c>
      <c r="B2849" t="s">
        <v>10927</v>
      </c>
      <c r="C2849" t="s">
        <v>10928</v>
      </c>
      <c r="F2849">
        <v>1</v>
      </c>
      <c r="G2849" s="1" t="s">
        <v>2965</v>
      </c>
      <c r="I2849" s="1" t="s">
        <v>11473</v>
      </c>
      <c r="O2849" t="s">
        <v>22</v>
      </c>
    </row>
    <row r="2850" spans="1:15">
      <c r="A2850" t="s">
        <v>7506</v>
      </c>
      <c r="B2850" t="s">
        <v>7506</v>
      </c>
      <c r="C2850" t="s">
        <v>7507</v>
      </c>
      <c r="F2850">
        <v>1</v>
      </c>
      <c r="G2850" s="1" t="s">
        <v>2966</v>
      </c>
      <c r="I2850" s="1" t="s">
        <v>11473</v>
      </c>
      <c r="O2850" t="s">
        <v>22</v>
      </c>
    </row>
    <row r="2851" spans="1:15">
      <c r="A2851" t="s">
        <v>6423</v>
      </c>
      <c r="B2851" t="s">
        <v>6423</v>
      </c>
      <c r="C2851" t="s">
        <v>6424</v>
      </c>
      <c r="F2851">
        <v>1</v>
      </c>
      <c r="G2851" s="1" t="s">
        <v>2967</v>
      </c>
      <c r="I2851" s="1" t="s">
        <v>11473</v>
      </c>
      <c r="O2851" t="s">
        <v>22</v>
      </c>
    </row>
    <row r="2852" spans="1:15">
      <c r="A2852" t="s">
        <v>9785</v>
      </c>
      <c r="B2852" t="s">
        <v>9785</v>
      </c>
      <c r="C2852" t="s">
        <v>5189</v>
      </c>
      <c r="F2852">
        <v>1</v>
      </c>
      <c r="G2852" s="1" t="s">
        <v>2968</v>
      </c>
      <c r="I2852" s="1" t="s">
        <v>11473</v>
      </c>
      <c r="O2852" t="s">
        <v>22</v>
      </c>
    </row>
    <row r="2853" spans="1:15">
      <c r="A2853" t="s">
        <v>7501</v>
      </c>
      <c r="B2853" t="s">
        <v>7501</v>
      </c>
      <c r="C2853" t="s">
        <v>7502</v>
      </c>
      <c r="F2853">
        <v>1</v>
      </c>
      <c r="G2853" s="1" t="s">
        <v>2969</v>
      </c>
      <c r="I2853" s="1" t="s">
        <v>11473</v>
      </c>
      <c r="O2853" t="s">
        <v>22</v>
      </c>
    </row>
    <row r="2854" spans="1:15">
      <c r="A2854" t="s">
        <v>7455</v>
      </c>
      <c r="B2854" t="s">
        <v>7455</v>
      </c>
      <c r="C2854" t="s">
        <v>7456</v>
      </c>
      <c r="F2854">
        <v>1</v>
      </c>
      <c r="G2854" s="1" t="s">
        <v>2970</v>
      </c>
      <c r="I2854" s="1" t="s">
        <v>11473</v>
      </c>
      <c r="O2854" t="s">
        <v>22</v>
      </c>
    </row>
    <row r="2855" spans="1:15">
      <c r="A2855" t="s">
        <v>7688</v>
      </c>
      <c r="B2855" t="s">
        <v>7688</v>
      </c>
      <c r="C2855" t="s">
        <v>7689</v>
      </c>
      <c r="F2855">
        <v>1</v>
      </c>
      <c r="G2855" s="1" t="s">
        <v>2971</v>
      </c>
      <c r="I2855" s="1" t="s">
        <v>11473</v>
      </c>
      <c r="O2855" t="s">
        <v>22</v>
      </c>
    </row>
    <row r="2856" spans="1:15">
      <c r="A2856" t="s">
        <v>9552</v>
      </c>
      <c r="B2856" t="s">
        <v>9552</v>
      </c>
      <c r="C2856" t="s">
        <v>7689</v>
      </c>
      <c r="F2856">
        <v>1</v>
      </c>
      <c r="G2856" s="1" t="s">
        <v>2972</v>
      </c>
      <c r="I2856" s="1" t="s">
        <v>11473</v>
      </c>
      <c r="O2856" t="s">
        <v>22</v>
      </c>
    </row>
    <row r="2857" spans="1:15">
      <c r="A2857" t="s">
        <v>9441</v>
      </c>
      <c r="B2857" t="s">
        <v>9441</v>
      </c>
      <c r="C2857" t="s">
        <v>4060</v>
      </c>
      <c r="F2857">
        <v>1</v>
      </c>
      <c r="G2857" s="1" t="s">
        <v>2973</v>
      </c>
      <c r="I2857" s="1" t="s">
        <v>11473</v>
      </c>
      <c r="O2857" t="s">
        <v>22</v>
      </c>
    </row>
    <row r="2858" spans="1:15">
      <c r="A2858" t="s">
        <v>4753</v>
      </c>
      <c r="B2858" t="s">
        <v>4753</v>
      </c>
      <c r="C2858" t="s">
        <v>5191</v>
      </c>
      <c r="F2858">
        <v>1</v>
      </c>
      <c r="G2858" s="1" t="s">
        <v>2974</v>
      </c>
      <c r="I2858" s="1" t="s">
        <v>11473</v>
      </c>
      <c r="O2858" t="s">
        <v>22</v>
      </c>
    </row>
    <row r="2859" spans="1:15">
      <c r="A2859" t="s">
        <v>6507</v>
      </c>
      <c r="B2859" t="s">
        <v>6507</v>
      </c>
      <c r="C2859" t="s">
        <v>6508</v>
      </c>
      <c r="F2859">
        <v>1</v>
      </c>
      <c r="G2859" s="1" t="s">
        <v>2975</v>
      </c>
      <c r="I2859" s="1" t="s">
        <v>11473</v>
      </c>
      <c r="O2859" t="s">
        <v>22</v>
      </c>
    </row>
    <row r="2860" spans="1:15">
      <c r="A2860" t="s">
        <v>6415</v>
      </c>
      <c r="B2860" t="s">
        <v>6415</v>
      </c>
      <c r="C2860" t="s">
        <v>6416</v>
      </c>
      <c r="F2860">
        <v>1</v>
      </c>
      <c r="G2860" s="1" t="s">
        <v>2976</v>
      </c>
      <c r="I2860" s="1" t="s">
        <v>11473</v>
      </c>
      <c r="O2860" t="s">
        <v>22</v>
      </c>
    </row>
    <row r="2861" spans="1:15">
      <c r="A2861" t="s">
        <v>9276</v>
      </c>
      <c r="B2861" t="s">
        <v>9276</v>
      </c>
      <c r="C2861" t="s">
        <v>9277</v>
      </c>
      <c r="F2861">
        <v>1</v>
      </c>
      <c r="G2861" s="1" t="s">
        <v>2977</v>
      </c>
      <c r="I2861" s="1" t="s">
        <v>11473</v>
      </c>
      <c r="O2861" t="s">
        <v>22</v>
      </c>
    </row>
    <row r="2862" spans="1:15">
      <c r="A2862" t="s">
        <v>7467</v>
      </c>
      <c r="B2862" t="s">
        <v>7467</v>
      </c>
      <c r="C2862" t="s">
        <v>5059</v>
      </c>
      <c r="F2862">
        <v>1</v>
      </c>
      <c r="G2862" s="1" t="s">
        <v>2978</v>
      </c>
      <c r="I2862" s="1" t="s">
        <v>11473</v>
      </c>
      <c r="O2862" t="s">
        <v>22</v>
      </c>
    </row>
    <row r="2863" spans="1:15">
      <c r="A2863" t="s">
        <v>7265</v>
      </c>
      <c r="B2863" t="s">
        <v>7265</v>
      </c>
      <c r="C2863" t="s">
        <v>4768</v>
      </c>
      <c r="F2863">
        <v>1</v>
      </c>
      <c r="G2863" s="1" t="s">
        <v>2979</v>
      </c>
      <c r="I2863" s="1" t="s">
        <v>11473</v>
      </c>
      <c r="O2863" t="s">
        <v>22</v>
      </c>
    </row>
    <row r="2864" spans="1:15">
      <c r="A2864" t="s">
        <v>9470</v>
      </c>
      <c r="B2864" t="s">
        <v>9470</v>
      </c>
      <c r="C2864" t="s">
        <v>9471</v>
      </c>
      <c r="F2864">
        <v>1</v>
      </c>
      <c r="G2864" s="1" t="s">
        <v>2980</v>
      </c>
      <c r="I2864" s="1" t="s">
        <v>11473</v>
      </c>
      <c r="O2864" t="s">
        <v>22</v>
      </c>
    </row>
    <row r="2865" spans="1:15">
      <c r="A2865" t="s">
        <v>6927</v>
      </c>
      <c r="B2865" t="s">
        <v>6927</v>
      </c>
      <c r="C2865" t="s">
        <v>6</v>
      </c>
      <c r="F2865">
        <v>1</v>
      </c>
      <c r="G2865" s="1" t="s">
        <v>2981</v>
      </c>
      <c r="I2865" s="1" t="s">
        <v>11473</v>
      </c>
      <c r="O2865" t="s">
        <v>22</v>
      </c>
    </row>
    <row r="2866" spans="1:15">
      <c r="A2866" t="s">
        <v>10414</v>
      </c>
      <c r="B2866" t="s">
        <v>10414</v>
      </c>
      <c r="C2866" t="s">
        <v>10415</v>
      </c>
      <c r="F2866">
        <v>1</v>
      </c>
      <c r="G2866" s="1" t="s">
        <v>2982</v>
      </c>
      <c r="I2866" s="1" t="s">
        <v>11473</v>
      </c>
      <c r="O2866" t="s">
        <v>22</v>
      </c>
    </row>
    <row r="2867" spans="1:15">
      <c r="A2867" t="s">
        <v>11113</v>
      </c>
      <c r="B2867" t="s">
        <v>11113</v>
      </c>
      <c r="C2867" t="s">
        <v>10415</v>
      </c>
      <c r="F2867">
        <v>1</v>
      </c>
      <c r="G2867" s="1" t="s">
        <v>2983</v>
      </c>
      <c r="I2867" s="1" t="s">
        <v>11473</v>
      </c>
      <c r="O2867" t="s">
        <v>22</v>
      </c>
    </row>
    <row r="2868" spans="1:15">
      <c r="A2868" t="s">
        <v>5925</v>
      </c>
      <c r="B2868" t="s">
        <v>5925</v>
      </c>
      <c r="C2868" t="s">
        <v>4120</v>
      </c>
      <c r="F2868">
        <v>1</v>
      </c>
      <c r="G2868" s="1" t="s">
        <v>2984</v>
      </c>
      <c r="I2868" s="1" t="s">
        <v>11473</v>
      </c>
      <c r="O2868" t="s">
        <v>22</v>
      </c>
    </row>
    <row r="2869" spans="1:15">
      <c r="A2869" t="s">
        <v>11187</v>
      </c>
      <c r="B2869" t="s">
        <v>11187</v>
      </c>
      <c r="C2869" t="s">
        <v>4120</v>
      </c>
      <c r="F2869">
        <v>1</v>
      </c>
      <c r="G2869" s="1" t="s">
        <v>2985</v>
      </c>
      <c r="I2869" s="1" t="s">
        <v>11473</v>
      </c>
      <c r="O2869" t="s">
        <v>22</v>
      </c>
    </row>
    <row r="2870" spans="1:15">
      <c r="A2870" t="s">
        <v>9008</v>
      </c>
      <c r="B2870" t="s">
        <v>9008</v>
      </c>
      <c r="C2870" t="s">
        <v>4269</v>
      </c>
      <c r="F2870">
        <v>1</v>
      </c>
      <c r="G2870" s="1" t="s">
        <v>2986</v>
      </c>
      <c r="I2870" s="1" t="s">
        <v>11473</v>
      </c>
      <c r="O2870" t="s">
        <v>22</v>
      </c>
    </row>
    <row r="2871" spans="1:15">
      <c r="A2871" t="s">
        <v>8114</v>
      </c>
      <c r="B2871" t="s">
        <v>8114</v>
      </c>
      <c r="C2871" t="s">
        <v>8115</v>
      </c>
      <c r="F2871">
        <v>1</v>
      </c>
      <c r="G2871" s="1" t="s">
        <v>2987</v>
      </c>
      <c r="I2871" s="1" t="s">
        <v>11473</v>
      </c>
      <c r="O2871" t="s">
        <v>22</v>
      </c>
    </row>
    <row r="2872" spans="1:15">
      <c r="A2872" t="s">
        <v>11180</v>
      </c>
      <c r="B2872" t="s">
        <v>11180</v>
      </c>
      <c r="C2872" t="s">
        <v>11181</v>
      </c>
      <c r="F2872">
        <v>1</v>
      </c>
      <c r="G2872" s="1" t="s">
        <v>2988</v>
      </c>
      <c r="I2872" s="1" t="s">
        <v>11473</v>
      </c>
      <c r="O2872" t="s">
        <v>22</v>
      </c>
    </row>
    <row r="2873" spans="1:15">
      <c r="A2873" t="s">
        <v>10956</v>
      </c>
      <c r="B2873" t="s">
        <v>10956</v>
      </c>
      <c r="C2873" t="s">
        <v>10957</v>
      </c>
      <c r="F2873">
        <v>1</v>
      </c>
      <c r="G2873" s="1" t="s">
        <v>2989</v>
      </c>
      <c r="I2873" s="1" t="s">
        <v>11473</v>
      </c>
      <c r="O2873" t="s">
        <v>22</v>
      </c>
    </row>
    <row r="2874" spans="1:15">
      <c r="A2874" t="s">
        <v>11116</v>
      </c>
      <c r="B2874" t="s">
        <v>11116</v>
      </c>
      <c r="C2874" t="s">
        <v>4192</v>
      </c>
      <c r="F2874">
        <v>1</v>
      </c>
      <c r="G2874" s="1" t="s">
        <v>2990</v>
      </c>
      <c r="I2874" s="1" t="s">
        <v>11473</v>
      </c>
      <c r="O2874" t="s">
        <v>22</v>
      </c>
    </row>
    <row r="2875" spans="1:15">
      <c r="A2875" t="s">
        <v>11143</v>
      </c>
      <c r="B2875" t="s">
        <v>11143</v>
      </c>
      <c r="C2875" t="s">
        <v>4192</v>
      </c>
      <c r="F2875">
        <v>1</v>
      </c>
      <c r="G2875" s="1" t="s">
        <v>2991</v>
      </c>
      <c r="I2875" s="1" t="s">
        <v>11473</v>
      </c>
      <c r="O2875" t="s">
        <v>22</v>
      </c>
    </row>
    <row r="2876" spans="1:15">
      <c r="A2876" t="s">
        <v>11141</v>
      </c>
      <c r="B2876" t="s">
        <v>11141</v>
      </c>
      <c r="C2876" t="s">
        <v>4877</v>
      </c>
      <c r="F2876">
        <v>1</v>
      </c>
      <c r="G2876" s="1" t="s">
        <v>2992</v>
      </c>
      <c r="I2876" s="1" t="s">
        <v>11473</v>
      </c>
      <c r="O2876" t="s">
        <v>22</v>
      </c>
    </row>
    <row r="2877" spans="1:15">
      <c r="A2877" t="s">
        <v>8316</v>
      </c>
      <c r="B2877" t="s">
        <v>8316</v>
      </c>
      <c r="C2877" t="s">
        <v>4233</v>
      </c>
      <c r="F2877">
        <v>1</v>
      </c>
      <c r="G2877" s="1" t="s">
        <v>2993</v>
      </c>
      <c r="I2877" s="1" t="s">
        <v>11473</v>
      </c>
      <c r="O2877" t="s">
        <v>22</v>
      </c>
    </row>
    <row r="2878" spans="1:15">
      <c r="A2878" t="s">
        <v>7810</v>
      </c>
      <c r="B2878" t="s">
        <v>7810</v>
      </c>
      <c r="C2878" t="s">
        <v>7811</v>
      </c>
      <c r="F2878">
        <v>1</v>
      </c>
      <c r="G2878" s="1" t="s">
        <v>2994</v>
      </c>
      <c r="I2878" s="1" t="s">
        <v>11473</v>
      </c>
      <c r="O2878" t="s">
        <v>22</v>
      </c>
    </row>
    <row r="2879" spans="1:15">
      <c r="A2879" t="s">
        <v>8317</v>
      </c>
      <c r="B2879" t="s">
        <v>8317</v>
      </c>
      <c r="C2879" t="s">
        <v>4268</v>
      </c>
      <c r="F2879">
        <v>1</v>
      </c>
      <c r="G2879" s="1" t="s">
        <v>2995</v>
      </c>
      <c r="I2879" s="1" t="s">
        <v>11473</v>
      </c>
      <c r="O2879" t="s">
        <v>22</v>
      </c>
    </row>
    <row r="2880" spans="1:15">
      <c r="A2880" t="s">
        <v>6601</v>
      </c>
      <c r="B2880" t="s">
        <v>6601</v>
      </c>
      <c r="C2880" t="s">
        <v>4111</v>
      </c>
      <c r="F2880">
        <v>1</v>
      </c>
      <c r="G2880" s="1" t="s">
        <v>2996</v>
      </c>
      <c r="I2880" s="1" t="s">
        <v>11473</v>
      </c>
      <c r="O2880" t="s">
        <v>22</v>
      </c>
    </row>
    <row r="2881" spans="1:15">
      <c r="A2881" t="s">
        <v>6605</v>
      </c>
      <c r="B2881" t="s">
        <v>6605</v>
      </c>
      <c r="C2881" t="s">
        <v>4231</v>
      </c>
      <c r="F2881">
        <v>1</v>
      </c>
      <c r="G2881" s="1" t="s">
        <v>2997</v>
      </c>
      <c r="I2881" s="1" t="s">
        <v>11473</v>
      </c>
      <c r="O2881" t="s">
        <v>22</v>
      </c>
    </row>
    <row r="2882" spans="1:15">
      <c r="A2882" t="s">
        <v>6606</v>
      </c>
      <c r="B2882" t="s">
        <v>6606</v>
      </c>
      <c r="C2882" t="s">
        <v>4231</v>
      </c>
      <c r="F2882">
        <v>1</v>
      </c>
      <c r="G2882" s="1" t="s">
        <v>2998</v>
      </c>
      <c r="I2882" s="1" t="s">
        <v>11473</v>
      </c>
      <c r="O2882" t="s">
        <v>22</v>
      </c>
    </row>
    <row r="2883" spans="1:15">
      <c r="A2883" t="s">
        <v>8105</v>
      </c>
      <c r="B2883" t="s">
        <v>8105</v>
      </c>
      <c r="C2883" t="s">
        <v>4884</v>
      </c>
      <c r="F2883">
        <v>1</v>
      </c>
      <c r="G2883" s="1" t="s">
        <v>2999</v>
      </c>
      <c r="I2883" s="1" t="s">
        <v>11473</v>
      </c>
      <c r="O2883" t="s">
        <v>22</v>
      </c>
    </row>
    <row r="2884" spans="1:15">
      <c r="A2884" t="s">
        <v>5662</v>
      </c>
      <c r="B2884" t="s">
        <v>5662</v>
      </c>
      <c r="C2884" t="s">
        <v>4203</v>
      </c>
      <c r="F2884">
        <v>1</v>
      </c>
      <c r="G2884" s="1" t="s">
        <v>3000</v>
      </c>
      <c r="I2884" s="1" t="s">
        <v>11473</v>
      </c>
      <c r="O2884" t="s">
        <v>22</v>
      </c>
    </row>
    <row r="2885" spans="1:15">
      <c r="A2885" t="s">
        <v>6608</v>
      </c>
      <c r="B2885" t="s">
        <v>6608</v>
      </c>
      <c r="C2885" t="s">
        <v>4203</v>
      </c>
      <c r="F2885">
        <v>1</v>
      </c>
      <c r="G2885" s="1" t="s">
        <v>3001</v>
      </c>
      <c r="I2885" s="1" t="s">
        <v>11473</v>
      </c>
      <c r="O2885" t="s">
        <v>22</v>
      </c>
    </row>
    <row r="2886" spans="1:15">
      <c r="A2886" t="s">
        <v>7929</v>
      </c>
      <c r="B2886" t="s">
        <v>7929</v>
      </c>
      <c r="C2886" t="s">
        <v>4307</v>
      </c>
      <c r="F2886">
        <v>1</v>
      </c>
      <c r="G2886" s="1" t="s">
        <v>3002</v>
      </c>
      <c r="I2886" s="1" t="s">
        <v>11473</v>
      </c>
      <c r="O2886" t="s">
        <v>22</v>
      </c>
    </row>
    <row r="2887" spans="1:15">
      <c r="A2887" t="s">
        <v>8119</v>
      </c>
      <c r="B2887" t="s">
        <v>8119</v>
      </c>
      <c r="C2887" t="s">
        <v>4307</v>
      </c>
      <c r="F2887">
        <v>1</v>
      </c>
      <c r="G2887" s="1" t="s">
        <v>3003</v>
      </c>
      <c r="I2887" s="1" t="s">
        <v>11473</v>
      </c>
      <c r="O2887" t="s">
        <v>22</v>
      </c>
    </row>
    <row r="2888" spans="1:15">
      <c r="A2888" t="s">
        <v>10418</v>
      </c>
      <c r="B2888" t="s">
        <v>10418</v>
      </c>
      <c r="C2888" t="s">
        <v>4307</v>
      </c>
      <c r="F2888">
        <v>1</v>
      </c>
      <c r="G2888" s="1" t="s">
        <v>3004</v>
      </c>
      <c r="I2888" s="1" t="s">
        <v>11473</v>
      </c>
      <c r="O2888" t="s">
        <v>22</v>
      </c>
    </row>
    <row r="2889" spans="1:15">
      <c r="A2889" t="s">
        <v>6603</v>
      </c>
      <c r="B2889" t="s">
        <v>6603</v>
      </c>
      <c r="C2889" t="s">
        <v>4980</v>
      </c>
      <c r="F2889">
        <v>1</v>
      </c>
      <c r="G2889" s="1" t="s">
        <v>3005</v>
      </c>
      <c r="I2889" s="1" t="s">
        <v>11473</v>
      </c>
      <c r="O2889" t="s">
        <v>22</v>
      </c>
    </row>
    <row r="2890" spans="1:15">
      <c r="A2890" t="s">
        <v>8106</v>
      </c>
      <c r="B2890" t="s">
        <v>8106</v>
      </c>
      <c r="C2890" t="s">
        <v>8107</v>
      </c>
      <c r="F2890">
        <v>1</v>
      </c>
      <c r="G2890" s="1" t="s">
        <v>3006</v>
      </c>
      <c r="I2890" s="1" t="s">
        <v>11473</v>
      </c>
      <c r="O2890" t="s">
        <v>22</v>
      </c>
    </row>
    <row r="2891" spans="1:15">
      <c r="A2891" t="s">
        <v>5823</v>
      </c>
      <c r="B2891" t="s">
        <v>5823</v>
      </c>
      <c r="C2891" t="s">
        <v>4229</v>
      </c>
      <c r="F2891">
        <v>1</v>
      </c>
      <c r="G2891" s="1" t="s">
        <v>3007</v>
      </c>
      <c r="I2891" s="1" t="s">
        <v>11473</v>
      </c>
      <c r="O2891" t="s">
        <v>22</v>
      </c>
    </row>
    <row r="2892" spans="1:15">
      <c r="A2892" t="s">
        <v>8472</v>
      </c>
      <c r="B2892" t="s">
        <v>8472</v>
      </c>
      <c r="C2892" t="s">
        <v>4229</v>
      </c>
      <c r="F2892">
        <v>1</v>
      </c>
      <c r="G2892" s="1" t="s">
        <v>3008</v>
      </c>
      <c r="I2892" s="1" t="s">
        <v>11473</v>
      </c>
      <c r="O2892" t="s">
        <v>22</v>
      </c>
    </row>
    <row r="2893" spans="1:15">
      <c r="A2893" t="s">
        <v>9263</v>
      </c>
      <c r="B2893" t="s">
        <v>9263</v>
      </c>
      <c r="C2893" t="s">
        <v>4229</v>
      </c>
      <c r="F2893">
        <v>1</v>
      </c>
      <c r="G2893" s="1" t="s">
        <v>3009</v>
      </c>
      <c r="I2893" s="1" t="s">
        <v>11473</v>
      </c>
      <c r="O2893" t="s">
        <v>22</v>
      </c>
    </row>
    <row r="2894" spans="1:15">
      <c r="A2894" t="s">
        <v>11115</v>
      </c>
      <c r="B2894" t="s">
        <v>11115</v>
      </c>
      <c r="C2894" t="s">
        <v>4229</v>
      </c>
      <c r="F2894">
        <v>1</v>
      </c>
      <c r="G2894" s="1" t="s">
        <v>3010</v>
      </c>
      <c r="I2894" s="1" t="s">
        <v>11473</v>
      </c>
      <c r="O2894" t="s">
        <v>22</v>
      </c>
    </row>
    <row r="2895" spans="1:15">
      <c r="A2895" t="s">
        <v>6595</v>
      </c>
      <c r="B2895" t="s">
        <v>6595</v>
      </c>
      <c r="C2895" t="s">
        <v>6596</v>
      </c>
      <c r="F2895">
        <v>1</v>
      </c>
      <c r="G2895" s="1" t="s">
        <v>3011</v>
      </c>
      <c r="I2895" s="1" t="s">
        <v>11473</v>
      </c>
      <c r="O2895" t="s">
        <v>22</v>
      </c>
    </row>
    <row r="2896" spans="1:15">
      <c r="A2896" t="s">
        <v>6597</v>
      </c>
      <c r="B2896" t="s">
        <v>6597</v>
      </c>
      <c r="C2896" t="s">
        <v>6598</v>
      </c>
      <c r="F2896">
        <v>1</v>
      </c>
      <c r="G2896" s="1" t="s">
        <v>3012</v>
      </c>
      <c r="I2896" s="1" t="s">
        <v>11473</v>
      </c>
      <c r="O2896" t="s">
        <v>22</v>
      </c>
    </row>
    <row r="2897" spans="1:15">
      <c r="A2897" t="s">
        <v>6961</v>
      </c>
      <c r="B2897" t="s">
        <v>6961</v>
      </c>
      <c r="C2897" t="s">
        <v>6598</v>
      </c>
      <c r="F2897">
        <v>1</v>
      </c>
      <c r="G2897" s="1" t="s">
        <v>3013</v>
      </c>
      <c r="I2897" s="1" t="s">
        <v>11473</v>
      </c>
      <c r="O2897" t="s">
        <v>22</v>
      </c>
    </row>
    <row r="2898" spans="1:15">
      <c r="A2898" t="s">
        <v>8322</v>
      </c>
      <c r="B2898" t="s">
        <v>8322</v>
      </c>
      <c r="C2898" t="s">
        <v>6598</v>
      </c>
      <c r="F2898">
        <v>1</v>
      </c>
      <c r="G2898" s="1" t="s">
        <v>3014</v>
      </c>
      <c r="I2898" s="1" t="s">
        <v>11473</v>
      </c>
      <c r="O2898" t="s">
        <v>22</v>
      </c>
    </row>
    <row r="2899" spans="1:15">
      <c r="A2899" t="s">
        <v>10342</v>
      </c>
      <c r="B2899" t="s">
        <v>10342</v>
      </c>
      <c r="C2899" t="s">
        <v>6598</v>
      </c>
      <c r="F2899">
        <v>1</v>
      </c>
      <c r="G2899" s="1" t="s">
        <v>3015</v>
      </c>
      <c r="I2899" s="1" t="s">
        <v>11473</v>
      </c>
      <c r="O2899" t="s">
        <v>22</v>
      </c>
    </row>
    <row r="2900" spans="1:15">
      <c r="A2900" t="s">
        <v>8319</v>
      </c>
      <c r="B2900" t="s">
        <v>8319</v>
      </c>
      <c r="C2900" t="s">
        <v>4230</v>
      </c>
      <c r="F2900">
        <v>1</v>
      </c>
      <c r="G2900" s="1" t="s">
        <v>3016</v>
      </c>
      <c r="I2900" s="1" t="s">
        <v>11473</v>
      </c>
      <c r="O2900" t="s">
        <v>22</v>
      </c>
    </row>
    <row r="2901" spans="1:15">
      <c r="A2901" t="s">
        <v>11117</v>
      </c>
      <c r="B2901" t="s">
        <v>11117</v>
      </c>
      <c r="C2901" t="s">
        <v>4975</v>
      </c>
      <c r="F2901">
        <v>1</v>
      </c>
      <c r="G2901" s="1" t="s">
        <v>3017</v>
      </c>
      <c r="I2901" s="1" t="s">
        <v>11473</v>
      </c>
      <c r="O2901" t="s">
        <v>22</v>
      </c>
    </row>
    <row r="2902" spans="1:15">
      <c r="A2902" t="s">
        <v>11144</v>
      </c>
      <c r="B2902" t="s">
        <v>11144</v>
      </c>
      <c r="C2902" t="s">
        <v>4975</v>
      </c>
      <c r="F2902">
        <v>1</v>
      </c>
      <c r="G2902" s="1" t="s">
        <v>3018</v>
      </c>
      <c r="I2902" s="1" t="s">
        <v>11473</v>
      </c>
      <c r="O2902" t="s">
        <v>22</v>
      </c>
    </row>
    <row r="2903" spans="1:15">
      <c r="A2903" t="s">
        <v>8374</v>
      </c>
      <c r="B2903" t="s">
        <v>8374</v>
      </c>
      <c r="C2903" t="s">
        <v>8375</v>
      </c>
      <c r="F2903">
        <v>1</v>
      </c>
      <c r="G2903" s="1" t="s">
        <v>3019</v>
      </c>
      <c r="I2903" s="1" t="s">
        <v>11473</v>
      </c>
      <c r="O2903" t="s">
        <v>22</v>
      </c>
    </row>
    <row r="2904" spans="1:15">
      <c r="A2904" t="s">
        <v>8127</v>
      </c>
      <c r="B2904" t="s">
        <v>8127</v>
      </c>
      <c r="C2904" t="s">
        <v>4132</v>
      </c>
      <c r="F2904">
        <v>1</v>
      </c>
      <c r="G2904" s="1" t="s">
        <v>3020</v>
      </c>
      <c r="I2904" s="1" t="s">
        <v>11473</v>
      </c>
      <c r="O2904" t="s">
        <v>22</v>
      </c>
    </row>
    <row r="2905" spans="1:15">
      <c r="A2905" t="s">
        <v>9267</v>
      </c>
      <c r="B2905" t="s">
        <v>9267</v>
      </c>
      <c r="C2905" t="s">
        <v>9268</v>
      </c>
      <c r="F2905">
        <v>1</v>
      </c>
      <c r="G2905" s="1" t="s">
        <v>3021</v>
      </c>
      <c r="I2905" s="1" t="s">
        <v>11473</v>
      </c>
      <c r="O2905" t="s">
        <v>22</v>
      </c>
    </row>
    <row r="2906" spans="1:15">
      <c r="A2906" t="s">
        <v>10893</v>
      </c>
      <c r="B2906" t="s">
        <v>10893</v>
      </c>
      <c r="C2906" t="s">
        <v>9268</v>
      </c>
      <c r="F2906">
        <v>1</v>
      </c>
      <c r="G2906" s="1" t="s">
        <v>3022</v>
      </c>
      <c r="I2906" s="1" t="s">
        <v>11473</v>
      </c>
      <c r="O2906" t="s">
        <v>22</v>
      </c>
    </row>
    <row r="2907" spans="1:15">
      <c r="A2907" t="s">
        <v>5865</v>
      </c>
      <c r="B2907" t="s">
        <v>5865</v>
      </c>
      <c r="C2907" t="s">
        <v>4328</v>
      </c>
      <c r="F2907">
        <v>1</v>
      </c>
      <c r="G2907" s="1" t="s">
        <v>3023</v>
      </c>
      <c r="I2907" s="1" t="s">
        <v>11473</v>
      </c>
      <c r="O2907" t="s">
        <v>22</v>
      </c>
    </row>
    <row r="2908" spans="1:15">
      <c r="A2908" t="s">
        <v>6602</v>
      </c>
      <c r="B2908" t="s">
        <v>6602</v>
      </c>
      <c r="C2908" t="s">
        <v>4271</v>
      </c>
      <c r="F2908">
        <v>1</v>
      </c>
      <c r="G2908" s="1" t="s">
        <v>3024</v>
      </c>
      <c r="I2908" s="1" t="s">
        <v>11473</v>
      </c>
      <c r="O2908" t="s">
        <v>22</v>
      </c>
    </row>
    <row r="2909" spans="1:15">
      <c r="A2909" t="s">
        <v>11135</v>
      </c>
      <c r="B2909" t="s">
        <v>11135</v>
      </c>
      <c r="C2909" t="s">
        <v>4271</v>
      </c>
      <c r="F2909">
        <v>1</v>
      </c>
      <c r="G2909" s="1" t="s">
        <v>3025</v>
      </c>
      <c r="I2909" s="1" t="s">
        <v>11473</v>
      </c>
      <c r="O2909" t="s">
        <v>22</v>
      </c>
    </row>
    <row r="2910" spans="1:15">
      <c r="A2910" t="s">
        <v>7930</v>
      </c>
      <c r="B2910" t="s">
        <v>7930</v>
      </c>
      <c r="C2910" t="s">
        <v>4112</v>
      </c>
      <c r="F2910">
        <v>1</v>
      </c>
      <c r="G2910" s="1" t="s">
        <v>3026</v>
      </c>
      <c r="I2910" s="1" t="s">
        <v>11473</v>
      </c>
      <c r="O2910" t="s">
        <v>22</v>
      </c>
    </row>
    <row r="2911" spans="1:15">
      <c r="A2911" t="s">
        <v>8344</v>
      </c>
      <c r="B2911" t="s">
        <v>8344</v>
      </c>
      <c r="C2911" t="s">
        <v>8345</v>
      </c>
      <c r="F2911">
        <v>1</v>
      </c>
      <c r="G2911" s="1" t="s">
        <v>3027</v>
      </c>
      <c r="I2911" s="1" t="s">
        <v>11473</v>
      </c>
      <c r="O2911" t="s">
        <v>22</v>
      </c>
    </row>
    <row r="2912" spans="1:15">
      <c r="A2912" t="s">
        <v>5658</v>
      </c>
      <c r="B2912" t="s">
        <v>5658</v>
      </c>
      <c r="C2912" t="s">
        <v>5360</v>
      </c>
      <c r="F2912">
        <v>1</v>
      </c>
      <c r="G2912" s="1" t="s">
        <v>3028</v>
      </c>
      <c r="I2912" s="1" t="s">
        <v>11473</v>
      </c>
      <c r="O2912" t="s">
        <v>22</v>
      </c>
    </row>
    <row r="2913" spans="1:15">
      <c r="A2913" t="s">
        <v>6607</v>
      </c>
      <c r="B2913" t="s">
        <v>6607</v>
      </c>
      <c r="C2913" t="s">
        <v>5360</v>
      </c>
      <c r="F2913">
        <v>1</v>
      </c>
      <c r="G2913" s="1" t="s">
        <v>3029</v>
      </c>
      <c r="I2913" s="1" t="s">
        <v>11473</v>
      </c>
      <c r="O2913" t="s">
        <v>22</v>
      </c>
    </row>
    <row r="2914" spans="1:15">
      <c r="A2914" t="s">
        <v>8941</v>
      </c>
      <c r="B2914" t="s">
        <v>8941</v>
      </c>
      <c r="C2914" t="s">
        <v>8942</v>
      </c>
      <c r="F2914">
        <v>1</v>
      </c>
      <c r="G2914" s="1" t="s">
        <v>3030</v>
      </c>
      <c r="I2914" s="1" t="s">
        <v>11473</v>
      </c>
      <c r="O2914" t="s">
        <v>22</v>
      </c>
    </row>
    <row r="2915" spans="1:15">
      <c r="A2915" t="s">
        <v>9563</v>
      </c>
      <c r="B2915" t="s">
        <v>9563</v>
      </c>
      <c r="C2915" t="s">
        <v>8942</v>
      </c>
      <c r="F2915">
        <v>1</v>
      </c>
      <c r="G2915" s="1" t="s">
        <v>3031</v>
      </c>
      <c r="I2915" s="1" t="s">
        <v>11473</v>
      </c>
      <c r="O2915" t="s">
        <v>22</v>
      </c>
    </row>
    <row r="2916" spans="1:15">
      <c r="A2916" t="s">
        <v>11136</v>
      </c>
      <c r="B2916" t="s">
        <v>11136</v>
      </c>
      <c r="C2916" t="s">
        <v>5091</v>
      </c>
      <c r="F2916">
        <v>1</v>
      </c>
      <c r="G2916" s="1" t="s">
        <v>3032</v>
      </c>
      <c r="I2916" s="1" t="s">
        <v>11473</v>
      </c>
      <c r="O2916" t="s">
        <v>22</v>
      </c>
    </row>
    <row r="2917" spans="1:15">
      <c r="A2917" t="s">
        <v>10354</v>
      </c>
      <c r="B2917" t="s">
        <v>10354</v>
      </c>
      <c r="C2917" t="s">
        <v>4272</v>
      </c>
      <c r="F2917">
        <v>1</v>
      </c>
      <c r="G2917" s="1" t="s">
        <v>3033</v>
      </c>
      <c r="I2917" s="1" t="s">
        <v>11473</v>
      </c>
      <c r="O2917" t="s">
        <v>22</v>
      </c>
    </row>
    <row r="2918" spans="1:15">
      <c r="A2918" t="s">
        <v>9706</v>
      </c>
      <c r="B2918" t="s">
        <v>9706</v>
      </c>
      <c r="C2918" t="s">
        <v>4134</v>
      </c>
      <c r="F2918">
        <v>1</v>
      </c>
      <c r="G2918" s="1" t="s">
        <v>3034</v>
      </c>
      <c r="I2918" s="1" t="s">
        <v>11473</v>
      </c>
      <c r="O2918" t="s">
        <v>22</v>
      </c>
    </row>
    <row r="2919" spans="1:15">
      <c r="A2919" t="s">
        <v>10346</v>
      </c>
      <c r="B2919" t="s">
        <v>10346</v>
      </c>
      <c r="C2919" t="s">
        <v>4134</v>
      </c>
      <c r="F2919">
        <v>1</v>
      </c>
      <c r="G2919" s="1" t="s">
        <v>3035</v>
      </c>
      <c r="I2919" s="1" t="s">
        <v>11473</v>
      </c>
      <c r="O2919" t="s">
        <v>22</v>
      </c>
    </row>
    <row r="2920" spans="1:15">
      <c r="A2920" t="s">
        <v>10960</v>
      </c>
      <c r="B2920" t="s">
        <v>10960</v>
      </c>
      <c r="C2920" t="s">
        <v>4134</v>
      </c>
      <c r="F2920">
        <v>1</v>
      </c>
      <c r="G2920" s="1" t="s">
        <v>3036</v>
      </c>
      <c r="I2920" s="1" t="s">
        <v>11473</v>
      </c>
      <c r="O2920" t="s">
        <v>22</v>
      </c>
    </row>
    <row r="2921" spans="1:15">
      <c r="A2921" t="s">
        <v>8326</v>
      </c>
      <c r="B2921" t="s">
        <v>8326</v>
      </c>
      <c r="C2921" t="s">
        <v>8327</v>
      </c>
      <c r="F2921">
        <v>1</v>
      </c>
      <c r="G2921" s="1" t="s">
        <v>3037</v>
      </c>
      <c r="I2921" s="1" t="s">
        <v>11473</v>
      </c>
      <c r="O2921" t="s">
        <v>22</v>
      </c>
    </row>
    <row r="2922" spans="1:15">
      <c r="A2922" t="s">
        <v>9535</v>
      </c>
      <c r="B2922" t="s">
        <v>9535</v>
      </c>
      <c r="C2922" t="s">
        <v>8327</v>
      </c>
      <c r="F2922">
        <v>1</v>
      </c>
      <c r="G2922" s="1" t="s">
        <v>3038</v>
      </c>
      <c r="I2922" s="1" t="s">
        <v>11473</v>
      </c>
      <c r="O2922" t="s">
        <v>22</v>
      </c>
    </row>
    <row r="2923" spans="1:15">
      <c r="A2923" t="s">
        <v>8325</v>
      </c>
      <c r="B2923" t="s">
        <v>8325</v>
      </c>
      <c r="C2923" t="s">
        <v>4273</v>
      </c>
      <c r="F2923">
        <v>1</v>
      </c>
      <c r="G2923" s="1" t="s">
        <v>3039</v>
      </c>
      <c r="I2923" s="1" t="s">
        <v>11473</v>
      </c>
      <c r="O2923" t="s">
        <v>22</v>
      </c>
    </row>
    <row r="2924" spans="1:15">
      <c r="A2924" t="s">
        <v>6592</v>
      </c>
      <c r="B2924" t="s">
        <v>6592</v>
      </c>
      <c r="C2924" t="s">
        <v>6593</v>
      </c>
      <c r="F2924">
        <v>1</v>
      </c>
      <c r="G2924" s="1" t="s">
        <v>3040</v>
      </c>
      <c r="I2924" s="1" t="s">
        <v>11473</v>
      </c>
      <c r="O2924" t="s">
        <v>22</v>
      </c>
    </row>
    <row r="2925" spans="1:15">
      <c r="A2925" t="s">
        <v>8112</v>
      </c>
      <c r="B2925" t="s">
        <v>8112</v>
      </c>
      <c r="C2925" t="s">
        <v>8113</v>
      </c>
      <c r="F2925">
        <v>1</v>
      </c>
      <c r="G2925" s="1" t="s">
        <v>3041</v>
      </c>
      <c r="I2925" s="1" t="s">
        <v>11473</v>
      </c>
      <c r="O2925" t="s">
        <v>22</v>
      </c>
    </row>
    <row r="2926" spans="1:15">
      <c r="A2926" t="s">
        <v>10115</v>
      </c>
      <c r="B2926" t="s">
        <v>10115</v>
      </c>
      <c r="C2926" t="s">
        <v>8113</v>
      </c>
      <c r="F2926">
        <v>1</v>
      </c>
      <c r="G2926" s="1" t="s">
        <v>3042</v>
      </c>
      <c r="I2926" s="1" t="s">
        <v>11473</v>
      </c>
      <c r="O2926" t="s">
        <v>22</v>
      </c>
    </row>
    <row r="2927" spans="1:15">
      <c r="A2927" t="s">
        <v>10353</v>
      </c>
      <c r="B2927" t="s">
        <v>10353</v>
      </c>
      <c r="C2927" t="s">
        <v>8113</v>
      </c>
      <c r="F2927">
        <v>1</v>
      </c>
      <c r="G2927" s="1" t="s">
        <v>3043</v>
      </c>
      <c r="I2927" s="1" t="s">
        <v>11473</v>
      </c>
      <c r="O2927" t="s">
        <v>22</v>
      </c>
    </row>
    <row r="2928" spans="1:15">
      <c r="A2928" t="s">
        <v>5973</v>
      </c>
      <c r="B2928" t="s">
        <v>5973</v>
      </c>
      <c r="C2928" t="s">
        <v>5974</v>
      </c>
      <c r="F2928">
        <v>1</v>
      </c>
      <c r="G2928" s="1" t="s">
        <v>3044</v>
      </c>
      <c r="I2928" s="1" t="s">
        <v>11473</v>
      </c>
      <c r="O2928" t="s">
        <v>22</v>
      </c>
    </row>
    <row r="2929" spans="1:15">
      <c r="A2929" t="s">
        <v>5503</v>
      </c>
      <c r="B2929" t="s">
        <v>5503</v>
      </c>
      <c r="C2929" t="s">
        <v>4274</v>
      </c>
      <c r="F2929">
        <v>1</v>
      </c>
      <c r="G2929" s="1" t="s">
        <v>3045</v>
      </c>
      <c r="I2929" s="1" t="s">
        <v>11473</v>
      </c>
      <c r="O2929" t="s">
        <v>22</v>
      </c>
    </row>
    <row r="2930" spans="1:15">
      <c r="A2930" t="s">
        <v>5683</v>
      </c>
      <c r="B2930" t="s">
        <v>5683</v>
      </c>
      <c r="C2930" t="s">
        <v>4274</v>
      </c>
      <c r="F2930">
        <v>1</v>
      </c>
      <c r="G2930" s="1" t="s">
        <v>3046</v>
      </c>
      <c r="I2930" s="1" t="s">
        <v>11473</v>
      </c>
      <c r="O2930" t="s">
        <v>22</v>
      </c>
    </row>
    <row r="2931" spans="1:15">
      <c r="A2931" t="s">
        <v>10350</v>
      </c>
      <c r="B2931" t="s">
        <v>10350</v>
      </c>
      <c r="C2931" t="s">
        <v>4274</v>
      </c>
      <c r="F2931">
        <v>1</v>
      </c>
      <c r="G2931" s="1" t="s">
        <v>3047</v>
      </c>
      <c r="I2931" s="1" t="s">
        <v>11473</v>
      </c>
      <c r="O2931" t="s">
        <v>22</v>
      </c>
    </row>
    <row r="2932" spans="1:15">
      <c r="A2932" t="s">
        <v>6588</v>
      </c>
      <c r="B2932" t="s">
        <v>6588</v>
      </c>
      <c r="C2932" t="s">
        <v>6589</v>
      </c>
      <c r="F2932">
        <v>1</v>
      </c>
      <c r="G2932" s="1" t="s">
        <v>3048</v>
      </c>
      <c r="I2932" s="1" t="s">
        <v>11473</v>
      </c>
      <c r="O2932" t="s">
        <v>22</v>
      </c>
    </row>
    <row r="2933" spans="1:15">
      <c r="A2933" t="s">
        <v>8346</v>
      </c>
      <c r="B2933" t="s">
        <v>8346</v>
      </c>
      <c r="C2933" t="s">
        <v>6589</v>
      </c>
      <c r="F2933">
        <v>1</v>
      </c>
      <c r="G2933" s="1" t="s">
        <v>3049</v>
      </c>
      <c r="I2933" s="1" t="s">
        <v>11473</v>
      </c>
      <c r="O2933" t="s">
        <v>22</v>
      </c>
    </row>
    <row r="2934" spans="1:15">
      <c r="A2934" t="s">
        <v>6590</v>
      </c>
      <c r="B2934" t="s">
        <v>6590</v>
      </c>
      <c r="C2934" t="s">
        <v>4275</v>
      </c>
      <c r="F2934">
        <v>1</v>
      </c>
      <c r="G2934" s="1" t="s">
        <v>3050</v>
      </c>
      <c r="I2934" s="1" t="s">
        <v>11473</v>
      </c>
      <c r="O2934" t="s">
        <v>22</v>
      </c>
    </row>
    <row r="2935" spans="1:15">
      <c r="A2935" t="s">
        <v>11112</v>
      </c>
      <c r="B2935" t="s">
        <v>11112</v>
      </c>
      <c r="C2935" t="s">
        <v>4131</v>
      </c>
      <c r="F2935">
        <v>1</v>
      </c>
      <c r="G2935" s="1" t="s">
        <v>3051</v>
      </c>
      <c r="I2935" s="1" t="s">
        <v>11473</v>
      </c>
      <c r="O2935" t="s">
        <v>22</v>
      </c>
    </row>
    <row r="2936" spans="1:15">
      <c r="A2936" t="s">
        <v>10343</v>
      </c>
      <c r="B2936" t="s">
        <v>10343</v>
      </c>
      <c r="C2936" t="s">
        <v>4965</v>
      </c>
      <c r="F2936">
        <v>1</v>
      </c>
      <c r="G2936" s="1" t="s">
        <v>3052</v>
      </c>
      <c r="I2936" s="1" t="s">
        <v>11473</v>
      </c>
      <c r="O2936" t="s">
        <v>22</v>
      </c>
    </row>
    <row r="2937" spans="1:15">
      <c r="A2937" t="s">
        <v>11129</v>
      </c>
      <c r="B2937" t="s">
        <v>11129</v>
      </c>
      <c r="C2937" t="s">
        <v>11130</v>
      </c>
      <c r="F2937">
        <v>1</v>
      </c>
      <c r="G2937" s="1" t="s">
        <v>3053</v>
      </c>
      <c r="I2937" s="1" t="s">
        <v>11473</v>
      </c>
      <c r="O2937" t="s">
        <v>22</v>
      </c>
    </row>
    <row r="2938" spans="1:15">
      <c r="A2938" t="s">
        <v>7958</v>
      </c>
      <c r="B2938" t="s">
        <v>7958</v>
      </c>
      <c r="C2938" t="s">
        <v>7959</v>
      </c>
      <c r="F2938">
        <v>1</v>
      </c>
      <c r="G2938" s="1" t="s">
        <v>3054</v>
      </c>
      <c r="I2938" s="1" t="s">
        <v>11473</v>
      </c>
      <c r="O2938" t="s">
        <v>22</v>
      </c>
    </row>
    <row r="2939" spans="1:15">
      <c r="A2939" t="s">
        <v>7821</v>
      </c>
      <c r="B2939" t="s">
        <v>7821</v>
      </c>
      <c r="C2939" t="s">
        <v>7822</v>
      </c>
      <c r="F2939">
        <v>1</v>
      </c>
      <c r="G2939" s="1" t="s">
        <v>3055</v>
      </c>
      <c r="I2939" s="1" t="s">
        <v>11473</v>
      </c>
      <c r="O2939" t="s">
        <v>22</v>
      </c>
    </row>
    <row r="2940" spans="1:15">
      <c r="A2940" t="s">
        <v>11184</v>
      </c>
      <c r="B2940" t="s">
        <v>11184</v>
      </c>
      <c r="C2940" t="s">
        <v>7822</v>
      </c>
      <c r="F2940">
        <v>1</v>
      </c>
      <c r="G2940" s="1" t="s">
        <v>3056</v>
      </c>
      <c r="I2940" s="1" t="s">
        <v>11473</v>
      </c>
      <c r="O2940" t="s">
        <v>22</v>
      </c>
    </row>
    <row r="2941" spans="1:15">
      <c r="A2941" t="s">
        <v>7968</v>
      </c>
      <c r="B2941" t="s">
        <v>7968</v>
      </c>
      <c r="C2941" t="s">
        <v>5359</v>
      </c>
      <c r="F2941">
        <v>1</v>
      </c>
      <c r="G2941" s="1" t="s">
        <v>3057</v>
      </c>
      <c r="I2941" s="1" t="s">
        <v>11473</v>
      </c>
      <c r="O2941" t="s">
        <v>22</v>
      </c>
    </row>
    <row r="2942" spans="1:15">
      <c r="A2942" t="s">
        <v>8320</v>
      </c>
      <c r="B2942" t="s">
        <v>8320</v>
      </c>
      <c r="C2942" t="s">
        <v>8321</v>
      </c>
      <c r="F2942">
        <v>1</v>
      </c>
      <c r="G2942" s="1" t="s">
        <v>3058</v>
      </c>
      <c r="I2942" s="1" t="s">
        <v>11473</v>
      </c>
      <c r="O2942" t="s">
        <v>22</v>
      </c>
    </row>
    <row r="2943" spans="1:15">
      <c r="A2943" t="s">
        <v>9966</v>
      </c>
      <c r="B2943" t="s">
        <v>9966</v>
      </c>
      <c r="C2943" t="s">
        <v>8321</v>
      </c>
      <c r="F2943">
        <v>1</v>
      </c>
      <c r="G2943" s="1" t="s">
        <v>3059</v>
      </c>
      <c r="I2943" s="1" t="s">
        <v>11473</v>
      </c>
      <c r="O2943" t="s">
        <v>22</v>
      </c>
    </row>
    <row r="2944" spans="1:15">
      <c r="A2944" t="s">
        <v>11137</v>
      </c>
      <c r="B2944" t="s">
        <v>11137</v>
      </c>
      <c r="C2944" t="s">
        <v>8321</v>
      </c>
      <c r="F2944">
        <v>1</v>
      </c>
      <c r="G2944" s="1" t="s">
        <v>3060</v>
      </c>
      <c r="I2944" s="1" t="s">
        <v>11473</v>
      </c>
      <c r="O2944" t="s">
        <v>22</v>
      </c>
    </row>
    <row r="2945" spans="1:15">
      <c r="A2945" t="s">
        <v>11179</v>
      </c>
      <c r="B2945" t="s">
        <v>11179</v>
      </c>
      <c r="C2945" t="s">
        <v>8321</v>
      </c>
      <c r="F2945">
        <v>1</v>
      </c>
      <c r="G2945" s="1" t="s">
        <v>3061</v>
      </c>
      <c r="I2945" s="1" t="s">
        <v>11473</v>
      </c>
      <c r="O2945" t="s">
        <v>22</v>
      </c>
    </row>
    <row r="2946" spans="1:15">
      <c r="A2946" t="s">
        <v>7954</v>
      </c>
      <c r="B2946" t="s">
        <v>7954</v>
      </c>
      <c r="C2946" t="s">
        <v>7955</v>
      </c>
      <c r="F2946">
        <v>1</v>
      </c>
      <c r="G2946" s="1" t="s">
        <v>3062</v>
      </c>
      <c r="I2946" s="1" t="s">
        <v>11473</v>
      </c>
      <c r="O2946" t="s">
        <v>22</v>
      </c>
    </row>
    <row r="2947" spans="1:15">
      <c r="A2947" t="s">
        <v>10341</v>
      </c>
      <c r="B2947" t="s">
        <v>10341</v>
      </c>
      <c r="C2947" t="s">
        <v>4034</v>
      </c>
      <c r="F2947">
        <v>1</v>
      </c>
      <c r="G2947" s="1" t="s">
        <v>3063</v>
      </c>
      <c r="I2947" s="1" t="s">
        <v>11473</v>
      </c>
      <c r="O2947" t="s">
        <v>22</v>
      </c>
    </row>
    <row r="2948" spans="1:15">
      <c r="A2948" t="s">
        <v>10794</v>
      </c>
      <c r="B2948" t="s">
        <v>10794</v>
      </c>
      <c r="C2948" t="s">
        <v>4133</v>
      </c>
      <c r="F2948">
        <v>1</v>
      </c>
      <c r="G2948" s="1" t="s">
        <v>3064</v>
      </c>
      <c r="I2948" s="1" t="s">
        <v>11473</v>
      </c>
      <c r="O2948" t="s">
        <v>22</v>
      </c>
    </row>
    <row r="2949" spans="1:15">
      <c r="A2949" t="s">
        <v>7920</v>
      </c>
      <c r="B2949" t="s">
        <v>7920</v>
      </c>
      <c r="C2949" t="s">
        <v>7921</v>
      </c>
      <c r="F2949">
        <v>1</v>
      </c>
      <c r="G2949" s="1" t="s">
        <v>3065</v>
      </c>
      <c r="I2949" s="1" t="s">
        <v>11473</v>
      </c>
      <c r="O2949" t="s">
        <v>22</v>
      </c>
    </row>
    <row r="2950" spans="1:15">
      <c r="A2950" t="s">
        <v>7933</v>
      </c>
      <c r="B2950" t="s">
        <v>7933</v>
      </c>
      <c r="C2950" t="s">
        <v>7934</v>
      </c>
      <c r="F2950">
        <v>1</v>
      </c>
      <c r="G2950" s="1" t="s">
        <v>3066</v>
      </c>
      <c r="I2950" s="1" t="s">
        <v>11473</v>
      </c>
      <c r="O2950" t="s">
        <v>22</v>
      </c>
    </row>
    <row r="2951" spans="1:15">
      <c r="A2951" t="s">
        <v>5679</v>
      </c>
      <c r="B2951" t="s">
        <v>5679</v>
      </c>
      <c r="C2951" t="s">
        <v>4139</v>
      </c>
      <c r="F2951">
        <v>1</v>
      </c>
      <c r="G2951" s="1" t="s">
        <v>3067</v>
      </c>
      <c r="I2951" s="1" t="s">
        <v>11473</v>
      </c>
      <c r="O2951" t="s">
        <v>22</v>
      </c>
    </row>
    <row r="2952" spans="1:15">
      <c r="A2952" t="s">
        <v>7919</v>
      </c>
      <c r="B2952" t="s">
        <v>7919</v>
      </c>
      <c r="C2952" t="s">
        <v>4139</v>
      </c>
      <c r="F2952">
        <v>1</v>
      </c>
      <c r="G2952" s="1" t="s">
        <v>3068</v>
      </c>
      <c r="I2952" s="1" t="s">
        <v>11473</v>
      </c>
      <c r="O2952" t="s">
        <v>22</v>
      </c>
    </row>
    <row r="2953" spans="1:15">
      <c r="A2953" t="s">
        <v>10347</v>
      </c>
      <c r="B2953" t="s">
        <v>10347</v>
      </c>
      <c r="C2953" t="s">
        <v>10348</v>
      </c>
      <c r="F2953">
        <v>1</v>
      </c>
      <c r="G2953" s="1" t="s">
        <v>3069</v>
      </c>
      <c r="I2953" s="1" t="s">
        <v>11473</v>
      </c>
      <c r="O2953" t="s">
        <v>22</v>
      </c>
    </row>
    <row r="2954" spans="1:15">
      <c r="A2954" t="s">
        <v>11127</v>
      </c>
      <c r="B2954" t="s">
        <v>11127</v>
      </c>
      <c r="C2954" t="s">
        <v>4342</v>
      </c>
      <c r="F2954">
        <v>1</v>
      </c>
      <c r="G2954" s="1" t="s">
        <v>3070</v>
      </c>
      <c r="I2954" s="1" t="s">
        <v>11473</v>
      </c>
      <c r="O2954" t="s">
        <v>22</v>
      </c>
    </row>
    <row r="2955" spans="1:15">
      <c r="A2955" t="s">
        <v>7814</v>
      </c>
      <c r="B2955" t="s">
        <v>7814</v>
      </c>
      <c r="C2955" t="s">
        <v>7815</v>
      </c>
      <c r="F2955">
        <v>1</v>
      </c>
      <c r="G2955" s="1" t="s">
        <v>3071</v>
      </c>
      <c r="I2955" s="1" t="s">
        <v>11473</v>
      </c>
      <c r="O2955" t="s">
        <v>22</v>
      </c>
    </row>
    <row r="2956" spans="1:15">
      <c r="A2956" t="s">
        <v>9947</v>
      </c>
      <c r="B2956" t="s">
        <v>9947</v>
      </c>
      <c r="C2956" t="s">
        <v>5089</v>
      </c>
      <c r="F2956">
        <v>1</v>
      </c>
      <c r="G2956" s="1" t="s">
        <v>3072</v>
      </c>
      <c r="I2956" s="1" t="s">
        <v>11473</v>
      </c>
      <c r="O2956" t="s">
        <v>22</v>
      </c>
    </row>
    <row r="2957" spans="1:15">
      <c r="A2957" t="s">
        <v>7937</v>
      </c>
      <c r="B2957" t="s">
        <v>7937</v>
      </c>
      <c r="C2957" t="s">
        <v>7938</v>
      </c>
      <c r="F2957">
        <v>1</v>
      </c>
      <c r="G2957" s="1" t="s">
        <v>3073</v>
      </c>
      <c r="I2957" s="1" t="s">
        <v>11473</v>
      </c>
      <c r="O2957" t="s">
        <v>22</v>
      </c>
    </row>
    <row r="2958" spans="1:15">
      <c r="A2958" t="s">
        <v>7947</v>
      </c>
      <c r="B2958" t="s">
        <v>7947</v>
      </c>
      <c r="C2958" t="s">
        <v>21</v>
      </c>
      <c r="F2958">
        <v>1</v>
      </c>
      <c r="G2958" s="1" t="s">
        <v>3074</v>
      </c>
      <c r="I2958" s="1" t="s">
        <v>11473</v>
      </c>
      <c r="O2958" t="s">
        <v>22</v>
      </c>
    </row>
    <row r="2959" spans="1:15">
      <c r="A2959" t="s">
        <v>7963</v>
      </c>
      <c r="B2959" t="s">
        <v>7963</v>
      </c>
      <c r="C2959" t="s">
        <v>21</v>
      </c>
      <c r="F2959">
        <v>1</v>
      </c>
      <c r="G2959" s="1" t="s">
        <v>3075</v>
      </c>
      <c r="I2959" s="1" t="s">
        <v>11473</v>
      </c>
      <c r="O2959" t="s">
        <v>22</v>
      </c>
    </row>
    <row r="2960" spans="1:15">
      <c r="A2960" t="s">
        <v>6591</v>
      </c>
      <c r="B2960" t="s">
        <v>6591</v>
      </c>
      <c r="C2960" t="s">
        <v>4145</v>
      </c>
      <c r="F2960">
        <v>1</v>
      </c>
      <c r="G2960" s="1" t="s">
        <v>3076</v>
      </c>
      <c r="I2960" s="1" t="s">
        <v>11473</v>
      </c>
      <c r="O2960" t="s">
        <v>22</v>
      </c>
    </row>
    <row r="2961" spans="1:15">
      <c r="A2961" t="s">
        <v>8310</v>
      </c>
      <c r="B2961" t="s">
        <v>8310</v>
      </c>
      <c r="C2961" t="s">
        <v>4145</v>
      </c>
      <c r="F2961">
        <v>1</v>
      </c>
      <c r="G2961" s="1" t="s">
        <v>3077</v>
      </c>
      <c r="I2961" s="1" t="s">
        <v>11473</v>
      </c>
      <c r="O2961" t="s">
        <v>22</v>
      </c>
    </row>
    <row r="2962" spans="1:15">
      <c r="A2962" t="s">
        <v>10423</v>
      </c>
      <c r="B2962" t="s">
        <v>10423</v>
      </c>
      <c r="C2962" t="s">
        <v>10424</v>
      </c>
      <c r="F2962">
        <v>1</v>
      </c>
      <c r="G2962" s="1" t="s">
        <v>3078</v>
      </c>
      <c r="I2962" s="1" t="s">
        <v>11473</v>
      </c>
      <c r="O2962" t="s">
        <v>22</v>
      </c>
    </row>
    <row r="2963" spans="1:15">
      <c r="A2963" t="s">
        <v>7817</v>
      </c>
      <c r="B2963" t="s">
        <v>7817</v>
      </c>
      <c r="C2963" t="s">
        <v>4128</v>
      </c>
      <c r="F2963">
        <v>1</v>
      </c>
      <c r="G2963" s="1" t="s">
        <v>3079</v>
      </c>
      <c r="I2963" s="1" t="s">
        <v>11473</v>
      </c>
      <c r="O2963" t="s">
        <v>22</v>
      </c>
    </row>
    <row r="2964" spans="1:15">
      <c r="A2964" t="s">
        <v>7949</v>
      </c>
      <c r="B2964" t="s">
        <v>7949</v>
      </c>
      <c r="C2964" t="s">
        <v>4128</v>
      </c>
      <c r="F2964">
        <v>1</v>
      </c>
      <c r="G2964" s="1" t="s">
        <v>3080</v>
      </c>
      <c r="I2964" s="1" t="s">
        <v>11473</v>
      </c>
      <c r="O2964" t="s">
        <v>22</v>
      </c>
    </row>
    <row r="2965" spans="1:15">
      <c r="A2965" t="s">
        <v>7972</v>
      </c>
      <c r="B2965" t="s">
        <v>7972</v>
      </c>
      <c r="C2965" t="s">
        <v>7973</v>
      </c>
      <c r="F2965">
        <v>1</v>
      </c>
      <c r="G2965" s="1" t="s">
        <v>3081</v>
      </c>
      <c r="I2965" s="1" t="s">
        <v>11473</v>
      </c>
      <c r="O2965" t="s">
        <v>22</v>
      </c>
    </row>
    <row r="2966" spans="1:15">
      <c r="A2966" t="s">
        <v>9775</v>
      </c>
      <c r="B2966" t="s">
        <v>9775</v>
      </c>
      <c r="C2966" t="s">
        <v>9776</v>
      </c>
      <c r="F2966">
        <v>1</v>
      </c>
      <c r="G2966" s="1" t="s">
        <v>3082</v>
      </c>
      <c r="I2966" s="1" t="s">
        <v>11473</v>
      </c>
      <c r="O2966" t="s">
        <v>22</v>
      </c>
    </row>
    <row r="2967" spans="1:15">
      <c r="A2967" t="s">
        <v>6594</v>
      </c>
      <c r="B2967" t="s">
        <v>6594</v>
      </c>
      <c r="C2967" t="s">
        <v>4735</v>
      </c>
      <c r="F2967">
        <v>1</v>
      </c>
      <c r="G2967" s="1" t="s">
        <v>3083</v>
      </c>
      <c r="I2967" s="1" t="s">
        <v>11473</v>
      </c>
      <c r="O2967" t="s">
        <v>22</v>
      </c>
    </row>
    <row r="2968" spans="1:15">
      <c r="A2968" t="s">
        <v>11125</v>
      </c>
      <c r="B2968" t="s">
        <v>11125</v>
      </c>
      <c r="C2968" t="s">
        <v>4255</v>
      </c>
      <c r="F2968">
        <v>1</v>
      </c>
      <c r="G2968" s="1" t="s">
        <v>3084</v>
      </c>
      <c r="I2968" s="1" t="s">
        <v>11473</v>
      </c>
      <c r="O2968" t="s">
        <v>22</v>
      </c>
    </row>
    <row r="2969" spans="1:15">
      <c r="A2969" t="s">
        <v>8368</v>
      </c>
      <c r="B2969" t="s">
        <v>8368</v>
      </c>
      <c r="C2969" t="s">
        <v>5090</v>
      </c>
      <c r="F2969">
        <v>1</v>
      </c>
      <c r="G2969" s="1" t="s">
        <v>3085</v>
      </c>
      <c r="I2969" s="1" t="s">
        <v>11473</v>
      </c>
      <c r="O2969" t="s">
        <v>22</v>
      </c>
    </row>
    <row r="2970" spans="1:15">
      <c r="A2970" t="s">
        <v>8313</v>
      </c>
      <c r="B2970" t="s">
        <v>8313</v>
      </c>
      <c r="C2970" t="s">
        <v>8314</v>
      </c>
      <c r="F2970">
        <v>1</v>
      </c>
      <c r="G2970" s="1" t="s">
        <v>3086</v>
      </c>
      <c r="I2970" s="1" t="s">
        <v>11473</v>
      </c>
      <c r="O2970" t="s">
        <v>22</v>
      </c>
    </row>
    <row r="2971" spans="1:15">
      <c r="A2971" t="s">
        <v>11128</v>
      </c>
      <c r="B2971" t="s">
        <v>11128</v>
      </c>
      <c r="C2971" t="s">
        <v>8314</v>
      </c>
      <c r="F2971">
        <v>1</v>
      </c>
      <c r="G2971" s="1" t="s">
        <v>3087</v>
      </c>
      <c r="I2971" s="1" t="s">
        <v>11473</v>
      </c>
      <c r="O2971" t="s">
        <v>22</v>
      </c>
    </row>
    <row r="2972" spans="1:15">
      <c r="A2972" t="s">
        <v>7962</v>
      </c>
      <c r="B2972" t="s">
        <v>7962</v>
      </c>
      <c r="C2972" t="s">
        <v>18</v>
      </c>
      <c r="F2972">
        <v>1</v>
      </c>
      <c r="G2972" s="1" t="s">
        <v>3088</v>
      </c>
      <c r="I2972" s="1" t="s">
        <v>11473</v>
      </c>
      <c r="O2972" t="s">
        <v>22</v>
      </c>
    </row>
    <row r="2973" spans="1:15">
      <c r="A2973" t="s">
        <v>10461</v>
      </c>
      <c r="B2973" t="s">
        <v>10461</v>
      </c>
      <c r="C2973" t="s">
        <v>18</v>
      </c>
      <c r="F2973">
        <v>1</v>
      </c>
      <c r="G2973" s="1" t="s">
        <v>3089</v>
      </c>
      <c r="I2973" s="1" t="s">
        <v>11473</v>
      </c>
      <c r="O2973" t="s">
        <v>22</v>
      </c>
    </row>
    <row r="2974" spans="1:15">
      <c r="A2974" t="s">
        <v>10661</v>
      </c>
      <c r="B2974" t="s">
        <v>10661</v>
      </c>
      <c r="C2974" t="s">
        <v>18</v>
      </c>
      <c r="F2974">
        <v>1</v>
      </c>
      <c r="G2974" s="1" t="s">
        <v>3090</v>
      </c>
      <c r="I2974" s="1" t="s">
        <v>11473</v>
      </c>
      <c r="O2974" t="s">
        <v>22</v>
      </c>
    </row>
    <row r="2975" spans="1:15">
      <c r="A2975" t="s">
        <v>11126</v>
      </c>
      <c r="B2975" t="s">
        <v>11126</v>
      </c>
      <c r="C2975" t="s">
        <v>18</v>
      </c>
      <c r="F2975">
        <v>1</v>
      </c>
      <c r="G2975" s="1" t="s">
        <v>3091</v>
      </c>
      <c r="I2975" s="1" t="s">
        <v>11473</v>
      </c>
      <c r="O2975" t="s">
        <v>22</v>
      </c>
    </row>
    <row r="2976" spans="1:15">
      <c r="A2976" t="s">
        <v>11169</v>
      </c>
      <c r="B2976" t="s">
        <v>11169</v>
      </c>
      <c r="C2976" t="s">
        <v>18</v>
      </c>
      <c r="F2976">
        <v>1</v>
      </c>
      <c r="G2976" s="1" t="s">
        <v>3092</v>
      </c>
      <c r="I2976" s="1" t="s">
        <v>11473</v>
      </c>
      <c r="O2976" t="s">
        <v>22</v>
      </c>
    </row>
    <row r="2977" spans="1:15">
      <c r="A2977" t="s">
        <v>5588</v>
      </c>
      <c r="B2977" t="s">
        <v>5588</v>
      </c>
      <c r="C2977" t="s">
        <v>4261</v>
      </c>
      <c r="F2977">
        <v>1</v>
      </c>
      <c r="G2977" s="1" t="s">
        <v>3093</v>
      </c>
      <c r="I2977" s="1" t="s">
        <v>11473</v>
      </c>
      <c r="O2977" t="s">
        <v>22</v>
      </c>
    </row>
    <row r="2978" spans="1:15">
      <c r="A2978" t="s">
        <v>7951</v>
      </c>
      <c r="B2978" t="s">
        <v>7951</v>
      </c>
      <c r="C2978" t="s">
        <v>4116</v>
      </c>
      <c r="F2978">
        <v>1</v>
      </c>
      <c r="G2978" s="1" t="s">
        <v>3094</v>
      </c>
      <c r="I2978" s="1" t="s">
        <v>11473</v>
      </c>
      <c r="O2978" t="s">
        <v>22</v>
      </c>
    </row>
    <row r="2979" spans="1:15">
      <c r="A2979" t="s">
        <v>7960</v>
      </c>
      <c r="B2979" t="s">
        <v>7960</v>
      </c>
      <c r="C2979" t="s">
        <v>4116</v>
      </c>
      <c r="F2979">
        <v>1</v>
      </c>
      <c r="G2979" s="1" t="s">
        <v>3095</v>
      </c>
      <c r="I2979" s="1" t="s">
        <v>11473</v>
      </c>
      <c r="O2979" t="s">
        <v>22</v>
      </c>
    </row>
    <row r="2980" spans="1:15">
      <c r="A2980" t="s">
        <v>8312</v>
      </c>
      <c r="B2980" t="s">
        <v>8312</v>
      </c>
      <c r="C2980" t="s">
        <v>4116</v>
      </c>
      <c r="F2980">
        <v>1</v>
      </c>
      <c r="G2980" s="1" t="s">
        <v>3096</v>
      </c>
      <c r="I2980" s="1" t="s">
        <v>11473</v>
      </c>
      <c r="O2980" t="s">
        <v>22</v>
      </c>
    </row>
    <row r="2981" spans="1:15">
      <c r="A2981" t="s">
        <v>11168</v>
      </c>
      <c r="B2981" t="s">
        <v>11168</v>
      </c>
      <c r="C2981" t="s">
        <v>4116</v>
      </c>
      <c r="F2981">
        <v>1</v>
      </c>
      <c r="G2981" s="1" t="s">
        <v>3097</v>
      </c>
      <c r="I2981" s="1" t="s">
        <v>11473</v>
      </c>
      <c r="O2981" t="s">
        <v>22</v>
      </c>
    </row>
    <row r="2982" spans="1:15">
      <c r="A2982" t="s">
        <v>7941</v>
      </c>
      <c r="B2982" t="s">
        <v>7941</v>
      </c>
      <c r="C2982" t="s">
        <v>7942</v>
      </c>
      <c r="F2982">
        <v>1</v>
      </c>
      <c r="G2982" s="1" t="s">
        <v>3098</v>
      </c>
      <c r="I2982" s="1" t="s">
        <v>11473</v>
      </c>
      <c r="O2982" t="s">
        <v>22</v>
      </c>
    </row>
    <row r="2983" spans="1:15">
      <c r="A2983" t="s">
        <v>10458</v>
      </c>
      <c r="B2983" t="s">
        <v>10458</v>
      </c>
      <c r="C2983" t="s">
        <v>4267</v>
      </c>
      <c r="F2983">
        <v>1</v>
      </c>
      <c r="G2983" s="1" t="s">
        <v>3099</v>
      </c>
      <c r="I2983" s="1" t="s">
        <v>11473</v>
      </c>
      <c r="O2983" t="s">
        <v>22</v>
      </c>
    </row>
    <row r="2984" spans="1:15">
      <c r="A2984" t="s">
        <v>7363</v>
      </c>
      <c r="B2984" t="s">
        <v>7363</v>
      </c>
      <c r="C2984" t="s">
        <v>7364</v>
      </c>
      <c r="F2984">
        <v>1</v>
      </c>
      <c r="G2984" s="1" t="s">
        <v>3100</v>
      </c>
      <c r="I2984" s="1" t="s">
        <v>11473</v>
      </c>
      <c r="O2984" t="s">
        <v>22</v>
      </c>
    </row>
    <row r="2985" spans="1:15">
      <c r="A2985" t="s">
        <v>10352</v>
      </c>
      <c r="B2985" t="s">
        <v>10352</v>
      </c>
      <c r="C2985" t="s">
        <v>4138</v>
      </c>
      <c r="F2985">
        <v>1</v>
      </c>
      <c r="G2985" s="1" t="s">
        <v>3101</v>
      </c>
      <c r="I2985" s="1" t="s">
        <v>11473</v>
      </c>
      <c r="O2985" t="s">
        <v>22</v>
      </c>
    </row>
    <row r="2986" spans="1:15">
      <c r="A2986" t="s">
        <v>10434</v>
      </c>
      <c r="B2986" t="s">
        <v>10434</v>
      </c>
      <c r="C2986" t="s">
        <v>4138</v>
      </c>
      <c r="F2986">
        <v>1</v>
      </c>
      <c r="G2986" s="1" t="s">
        <v>3102</v>
      </c>
      <c r="I2986" s="1" t="s">
        <v>11473</v>
      </c>
      <c r="O2986" t="s">
        <v>22</v>
      </c>
    </row>
    <row r="2987" spans="1:15">
      <c r="A2987" t="s">
        <v>10456</v>
      </c>
      <c r="B2987" t="s">
        <v>10456</v>
      </c>
      <c r="C2987" t="s">
        <v>10457</v>
      </c>
      <c r="F2987">
        <v>1</v>
      </c>
      <c r="G2987" s="1" t="s">
        <v>3103</v>
      </c>
      <c r="I2987" s="1" t="s">
        <v>11473</v>
      </c>
      <c r="O2987" t="s">
        <v>22</v>
      </c>
    </row>
    <row r="2988" spans="1:15">
      <c r="A2988" t="s">
        <v>5663</v>
      </c>
      <c r="B2988" t="s">
        <v>5663</v>
      </c>
      <c r="C2988" t="s">
        <v>4921</v>
      </c>
      <c r="F2988">
        <v>1</v>
      </c>
      <c r="G2988" s="1" t="s">
        <v>3104</v>
      </c>
      <c r="I2988" s="1" t="s">
        <v>11473</v>
      </c>
      <c r="O2988" t="s">
        <v>22</v>
      </c>
    </row>
    <row r="2989" spans="1:15">
      <c r="A2989" t="s">
        <v>5731</v>
      </c>
      <c r="B2989" t="s">
        <v>5731</v>
      </c>
      <c r="C2989" t="s">
        <v>5732</v>
      </c>
      <c r="F2989">
        <v>1</v>
      </c>
      <c r="G2989" s="1" t="s">
        <v>3105</v>
      </c>
      <c r="I2989" s="1" t="s">
        <v>11473</v>
      </c>
      <c r="O2989" t="s">
        <v>22</v>
      </c>
    </row>
    <row r="2990" spans="1:15">
      <c r="A2990" t="s">
        <v>9127</v>
      </c>
      <c r="B2990" t="s">
        <v>9127</v>
      </c>
      <c r="C2990" t="s">
        <v>5078</v>
      </c>
      <c r="F2990">
        <v>1</v>
      </c>
      <c r="G2990" s="1" t="s">
        <v>3106</v>
      </c>
      <c r="I2990" s="1" t="s">
        <v>11473</v>
      </c>
      <c r="O2990" t="s">
        <v>22</v>
      </c>
    </row>
    <row r="2991" spans="1:15">
      <c r="A2991" t="s">
        <v>7912</v>
      </c>
      <c r="B2991" t="s">
        <v>7912</v>
      </c>
      <c r="C2991" t="s">
        <v>7913</v>
      </c>
      <c r="F2991">
        <v>1</v>
      </c>
      <c r="G2991" s="1" t="s">
        <v>3107</v>
      </c>
      <c r="I2991" s="1" t="s">
        <v>11473</v>
      </c>
      <c r="O2991" t="s">
        <v>22</v>
      </c>
    </row>
    <row r="2992" spans="1:15">
      <c r="A2992" t="s">
        <v>7950</v>
      </c>
      <c r="B2992" t="s">
        <v>7950</v>
      </c>
      <c r="C2992" t="s">
        <v>7913</v>
      </c>
      <c r="F2992">
        <v>1</v>
      </c>
      <c r="G2992" s="1" t="s">
        <v>3108</v>
      </c>
      <c r="I2992" s="1" t="s">
        <v>11473</v>
      </c>
      <c r="O2992" t="s">
        <v>22</v>
      </c>
    </row>
    <row r="2993" spans="1:15">
      <c r="A2993" t="s">
        <v>8311</v>
      </c>
      <c r="B2993" t="s">
        <v>8311</v>
      </c>
      <c r="C2993" t="s">
        <v>7913</v>
      </c>
      <c r="F2993">
        <v>1</v>
      </c>
      <c r="G2993" s="1" t="s">
        <v>3109</v>
      </c>
      <c r="I2993" s="1" t="s">
        <v>11473</v>
      </c>
      <c r="O2993" t="s">
        <v>22</v>
      </c>
    </row>
    <row r="2994" spans="1:15">
      <c r="A2994" t="s">
        <v>7090</v>
      </c>
      <c r="B2994" t="s">
        <v>7090</v>
      </c>
      <c r="C2994" t="s">
        <v>7091</v>
      </c>
      <c r="F2994">
        <v>1</v>
      </c>
      <c r="G2994" s="1" t="s">
        <v>3110</v>
      </c>
      <c r="I2994" s="1" t="s">
        <v>11473</v>
      </c>
      <c r="O2994" t="s">
        <v>22</v>
      </c>
    </row>
    <row r="2995" spans="1:15">
      <c r="A2995" t="s">
        <v>8336</v>
      </c>
      <c r="B2995" t="s">
        <v>8336</v>
      </c>
      <c r="C2995" t="s">
        <v>7091</v>
      </c>
      <c r="F2995">
        <v>1</v>
      </c>
      <c r="G2995" s="1" t="s">
        <v>3111</v>
      </c>
      <c r="I2995" s="1" t="s">
        <v>11473</v>
      </c>
      <c r="O2995" t="s">
        <v>22</v>
      </c>
    </row>
    <row r="2996" spans="1:15">
      <c r="A2996" t="s">
        <v>9299</v>
      </c>
      <c r="B2996" t="s">
        <v>9299</v>
      </c>
      <c r="C2996" t="s">
        <v>7091</v>
      </c>
      <c r="F2996">
        <v>1</v>
      </c>
      <c r="G2996" s="1" t="s">
        <v>3112</v>
      </c>
      <c r="I2996" s="1" t="s">
        <v>11473</v>
      </c>
      <c r="O2996" t="s">
        <v>22</v>
      </c>
    </row>
    <row r="2997" spans="1:15">
      <c r="A2997" t="s">
        <v>8337</v>
      </c>
      <c r="B2997" t="s">
        <v>8337</v>
      </c>
      <c r="C2997" t="s">
        <v>8338</v>
      </c>
      <c r="F2997">
        <v>1</v>
      </c>
      <c r="G2997" s="1" t="s">
        <v>3113</v>
      </c>
      <c r="I2997" s="1" t="s">
        <v>11473</v>
      </c>
      <c r="O2997" t="s">
        <v>22</v>
      </c>
    </row>
    <row r="2998" spans="1:15">
      <c r="A2998" t="s">
        <v>8128</v>
      </c>
      <c r="B2998" t="s">
        <v>8128</v>
      </c>
      <c r="C2998" t="s">
        <v>8129</v>
      </c>
      <c r="F2998">
        <v>1</v>
      </c>
      <c r="G2998" s="1" t="s">
        <v>3114</v>
      </c>
      <c r="I2998" s="1" t="s">
        <v>11473</v>
      </c>
      <c r="O2998" t="s">
        <v>22</v>
      </c>
    </row>
    <row r="2999" spans="1:15">
      <c r="A2999" t="s">
        <v>9554</v>
      </c>
      <c r="B2999" t="s">
        <v>9554</v>
      </c>
      <c r="C2999" t="s">
        <v>9555</v>
      </c>
      <c r="F2999">
        <v>1</v>
      </c>
      <c r="G2999" s="1" t="s">
        <v>3115</v>
      </c>
      <c r="I2999" s="1" t="s">
        <v>11473</v>
      </c>
      <c r="O2999" t="s">
        <v>22</v>
      </c>
    </row>
    <row r="3000" spans="1:15">
      <c r="A3000" t="s">
        <v>11124</v>
      </c>
      <c r="B3000" t="s">
        <v>11124</v>
      </c>
      <c r="C3000" t="s">
        <v>4650</v>
      </c>
      <c r="F3000">
        <v>1</v>
      </c>
      <c r="G3000" s="1" t="s">
        <v>3116</v>
      </c>
      <c r="I3000" s="1" t="s">
        <v>11473</v>
      </c>
      <c r="O3000" t="s">
        <v>22</v>
      </c>
    </row>
    <row r="3001" spans="1:15">
      <c r="A3001" t="s">
        <v>11133</v>
      </c>
      <c r="B3001" t="s">
        <v>11133</v>
      </c>
      <c r="C3001" t="s">
        <v>11134</v>
      </c>
      <c r="F3001">
        <v>1</v>
      </c>
      <c r="G3001" s="1" t="s">
        <v>3117</v>
      </c>
      <c r="I3001" s="1" t="s">
        <v>11473</v>
      </c>
      <c r="O3001" t="s">
        <v>22</v>
      </c>
    </row>
    <row r="3002" spans="1:15">
      <c r="A3002" t="s">
        <v>7212</v>
      </c>
      <c r="B3002" t="s">
        <v>7212</v>
      </c>
      <c r="C3002" t="s">
        <v>17</v>
      </c>
      <c r="F3002">
        <v>1</v>
      </c>
      <c r="G3002" s="1" t="s">
        <v>3118</v>
      </c>
      <c r="I3002" s="1" t="s">
        <v>11473</v>
      </c>
      <c r="O3002" t="s">
        <v>22</v>
      </c>
    </row>
    <row r="3003" spans="1:15">
      <c r="A3003" t="s">
        <v>9111</v>
      </c>
      <c r="B3003" t="s">
        <v>9111</v>
      </c>
      <c r="C3003" t="s">
        <v>17</v>
      </c>
      <c r="F3003">
        <v>1</v>
      </c>
      <c r="G3003" s="1" t="s">
        <v>3119</v>
      </c>
      <c r="I3003" s="1" t="s">
        <v>11473</v>
      </c>
      <c r="O3003" t="s">
        <v>22</v>
      </c>
    </row>
    <row r="3004" spans="1:15">
      <c r="A3004" t="s">
        <v>9347</v>
      </c>
      <c r="B3004" t="s">
        <v>9347</v>
      </c>
      <c r="C3004" t="s">
        <v>17</v>
      </c>
      <c r="F3004">
        <v>1</v>
      </c>
      <c r="G3004" s="1" t="s">
        <v>3120</v>
      </c>
      <c r="I3004" s="1" t="s">
        <v>11473</v>
      </c>
      <c r="O3004" t="s">
        <v>22</v>
      </c>
    </row>
    <row r="3005" spans="1:15">
      <c r="A3005" t="s">
        <v>11123</v>
      </c>
      <c r="B3005" t="s">
        <v>11123</v>
      </c>
      <c r="C3005" t="s">
        <v>17</v>
      </c>
      <c r="F3005">
        <v>1</v>
      </c>
      <c r="G3005" s="1" t="s">
        <v>3121</v>
      </c>
      <c r="I3005" s="1" t="s">
        <v>11473</v>
      </c>
      <c r="O3005" t="s">
        <v>22</v>
      </c>
    </row>
    <row r="3006" spans="1:15">
      <c r="A3006" t="s">
        <v>6444</v>
      </c>
      <c r="B3006" t="s">
        <v>6444</v>
      </c>
      <c r="C3006" t="s">
        <v>4880</v>
      </c>
      <c r="F3006">
        <v>1</v>
      </c>
      <c r="G3006" s="1" t="s">
        <v>3122</v>
      </c>
      <c r="I3006" s="1" t="s">
        <v>11473</v>
      </c>
      <c r="O3006" t="s">
        <v>22</v>
      </c>
    </row>
    <row r="3007" spans="1:15">
      <c r="A3007" t="s">
        <v>7910</v>
      </c>
      <c r="B3007" t="s">
        <v>7910</v>
      </c>
      <c r="C3007" t="s">
        <v>7911</v>
      </c>
      <c r="F3007">
        <v>1</v>
      </c>
      <c r="G3007" s="1" t="s">
        <v>3123</v>
      </c>
      <c r="I3007" s="1" t="s">
        <v>11473</v>
      </c>
      <c r="O3007" t="s">
        <v>22</v>
      </c>
    </row>
    <row r="3008" spans="1:15">
      <c r="A3008" t="s">
        <v>8457</v>
      </c>
      <c r="B3008" t="s">
        <v>8457</v>
      </c>
      <c r="C3008" t="s">
        <v>8458</v>
      </c>
      <c r="F3008">
        <v>1</v>
      </c>
      <c r="G3008" s="1" t="s">
        <v>3124</v>
      </c>
      <c r="I3008" s="1" t="s">
        <v>11473</v>
      </c>
      <c r="O3008" t="s">
        <v>22</v>
      </c>
    </row>
    <row r="3009" spans="1:15">
      <c r="A3009" t="s">
        <v>9364</v>
      </c>
      <c r="B3009" t="s">
        <v>9364</v>
      </c>
      <c r="C3009" t="s">
        <v>4931</v>
      </c>
      <c r="F3009">
        <v>1</v>
      </c>
      <c r="G3009" s="1" t="s">
        <v>3125</v>
      </c>
      <c r="I3009" s="1" t="s">
        <v>11473</v>
      </c>
      <c r="O3009" t="s">
        <v>22</v>
      </c>
    </row>
    <row r="3010" spans="1:15">
      <c r="A3010" t="s">
        <v>7964</v>
      </c>
      <c r="B3010" t="s">
        <v>7964</v>
      </c>
      <c r="C3010" t="s">
        <v>7965</v>
      </c>
      <c r="F3010">
        <v>1</v>
      </c>
      <c r="G3010" s="1" t="s">
        <v>3126</v>
      </c>
      <c r="I3010" s="1" t="s">
        <v>11473</v>
      </c>
      <c r="O3010" t="s">
        <v>22</v>
      </c>
    </row>
    <row r="3011" spans="1:15">
      <c r="A3011" t="s">
        <v>7818</v>
      </c>
      <c r="B3011" t="s">
        <v>7818</v>
      </c>
      <c r="C3011" t="s">
        <v>7819</v>
      </c>
      <c r="F3011">
        <v>1</v>
      </c>
      <c r="G3011" s="1" t="s">
        <v>3127</v>
      </c>
      <c r="I3011" s="1" t="s">
        <v>11473</v>
      </c>
      <c r="O3011" t="s">
        <v>22</v>
      </c>
    </row>
    <row r="3012" spans="1:15">
      <c r="A3012" t="s">
        <v>11132</v>
      </c>
      <c r="B3012" t="s">
        <v>11132</v>
      </c>
      <c r="C3012" t="s">
        <v>4151</v>
      </c>
      <c r="F3012">
        <v>1</v>
      </c>
      <c r="G3012" s="1" t="s">
        <v>3128</v>
      </c>
      <c r="I3012" s="1" t="s">
        <v>11473</v>
      </c>
      <c r="O3012" t="s">
        <v>22</v>
      </c>
    </row>
    <row r="3013" spans="1:15">
      <c r="A3013" t="s">
        <v>6146</v>
      </c>
      <c r="B3013" t="s">
        <v>6146</v>
      </c>
      <c r="C3013" t="s">
        <v>4140</v>
      </c>
      <c r="F3013">
        <v>1</v>
      </c>
      <c r="G3013" s="1" t="s">
        <v>3129</v>
      </c>
      <c r="I3013" s="1" t="s">
        <v>11473</v>
      </c>
      <c r="O3013" t="s">
        <v>22</v>
      </c>
    </row>
    <row r="3014" spans="1:15">
      <c r="A3014" t="s">
        <v>7816</v>
      </c>
      <c r="B3014" t="s">
        <v>7816</v>
      </c>
      <c r="C3014" t="s">
        <v>4140</v>
      </c>
      <c r="F3014">
        <v>1</v>
      </c>
      <c r="G3014" s="1" t="s">
        <v>3130</v>
      </c>
      <c r="I3014" s="1" t="s">
        <v>11473</v>
      </c>
      <c r="O3014" t="s">
        <v>22</v>
      </c>
    </row>
    <row r="3015" spans="1:15">
      <c r="A3015" t="s">
        <v>9369</v>
      </c>
      <c r="B3015" t="s">
        <v>9369</v>
      </c>
      <c r="C3015" t="s">
        <v>4876</v>
      </c>
      <c r="F3015">
        <v>1</v>
      </c>
      <c r="G3015" s="1" t="s">
        <v>3131</v>
      </c>
      <c r="I3015" s="1" t="s">
        <v>11473</v>
      </c>
      <c r="O3015" t="s">
        <v>22</v>
      </c>
    </row>
    <row r="3016" spans="1:15">
      <c r="A3016" t="s">
        <v>7956</v>
      </c>
      <c r="B3016" t="s">
        <v>7956</v>
      </c>
      <c r="C3016" t="s">
        <v>7957</v>
      </c>
      <c r="F3016">
        <v>1</v>
      </c>
      <c r="G3016" s="1" t="s">
        <v>3132</v>
      </c>
      <c r="I3016" s="1" t="s">
        <v>11473</v>
      </c>
      <c r="O3016" t="s">
        <v>22</v>
      </c>
    </row>
    <row r="3017" spans="1:15">
      <c r="A3017" t="s">
        <v>8100</v>
      </c>
      <c r="B3017" t="s">
        <v>8100</v>
      </c>
      <c r="C3017" t="s">
        <v>7957</v>
      </c>
      <c r="F3017">
        <v>1</v>
      </c>
      <c r="G3017" s="1" t="s">
        <v>3133</v>
      </c>
      <c r="I3017" s="1" t="s">
        <v>11473</v>
      </c>
      <c r="O3017" t="s">
        <v>22</v>
      </c>
    </row>
    <row r="3018" spans="1:15">
      <c r="A3018" t="s">
        <v>6599</v>
      </c>
      <c r="B3018" t="s">
        <v>6599</v>
      </c>
      <c r="C3018" t="s">
        <v>6600</v>
      </c>
      <c r="F3018">
        <v>1</v>
      </c>
      <c r="G3018" s="1" t="s">
        <v>3134</v>
      </c>
      <c r="I3018" s="1" t="s">
        <v>11473</v>
      </c>
      <c r="O3018" t="s">
        <v>22</v>
      </c>
    </row>
    <row r="3019" spans="1:15">
      <c r="A3019" t="s">
        <v>8938</v>
      </c>
      <c r="B3019" t="s">
        <v>8938</v>
      </c>
      <c r="C3019" t="s">
        <v>8939</v>
      </c>
      <c r="F3019">
        <v>1</v>
      </c>
      <c r="G3019" s="1" t="s">
        <v>3135</v>
      </c>
      <c r="I3019" s="1" t="s">
        <v>11473</v>
      </c>
      <c r="O3019" t="s">
        <v>22</v>
      </c>
    </row>
    <row r="3020" spans="1:15">
      <c r="A3020" t="s">
        <v>10218</v>
      </c>
      <c r="B3020" t="s">
        <v>10218</v>
      </c>
      <c r="C3020" t="s">
        <v>8939</v>
      </c>
      <c r="F3020">
        <v>1</v>
      </c>
      <c r="G3020" s="1" t="s">
        <v>3136</v>
      </c>
      <c r="I3020" s="1" t="s">
        <v>11473</v>
      </c>
      <c r="O3020" t="s">
        <v>22</v>
      </c>
    </row>
    <row r="3021" spans="1:15">
      <c r="A3021" t="s">
        <v>9240</v>
      </c>
      <c r="B3021" t="s">
        <v>9240</v>
      </c>
      <c r="C3021" t="s">
        <v>11183</v>
      </c>
      <c r="F3021">
        <v>1</v>
      </c>
      <c r="G3021" s="1" t="s">
        <v>3137</v>
      </c>
      <c r="I3021" s="1" t="s">
        <v>11473</v>
      </c>
      <c r="O3021" t="s">
        <v>22</v>
      </c>
    </row>
    <row r="3022" spans="1:15">
      <c r="A3022" t="s">
        <v>10465</v>
      </c>
      <c r="B3022" t="s">
        <v>10465</v>
      </c>
      <c r="C3022" t="s">
        <v>10466</v>
      </c>
      <c r="F3022">
        <v>1</v>
      </c>
      <c r="G3022" s="1" t="s">
        <v>3138</v>
      </c>
      <c r="I3022" s="1" t="s">
        <v>11473</v>
      </c>
      <c r="O3022" t="s">
        <v>22</v>
      </c>
    </row>
    <row r="3023" spans="1:15">
      <c r="A3023" t="s">
        <v>11079</v>
      </c>
      <c r="B3023" t="s">
        <v>11079</v>
      </c>
      <c r="C3023" t="s">
        <v>11080</v>
      </c>
      <c r="F3023">
        <v>1</v>
      </c>
      <c r="G3023" s="1" t="s">
        <v>3139</v>
      </c>
      <c r="I3023" s="1" t="s">
        <v>11473</v>
      </c>
      <c r="O3023" t="s">
        <v>22</v>
      </c>
    </row>
    <row r="3024" spans="1:15">
      <c r="A3024" t="s">
        <v>11155</v>
      </c>
      <c r="B3024" t="s">
        <v>11155</v>
      </c>
      <c r="C3024" t="s">
        <v>11156</v>
      </c>
      <c r="F3024">
        <v>1</v>
      </c>
      <c r="G3024" s="1" t="s">
        <v>3140</v>
      </c>
      <c r="I3024" s="1" t="s">
        <v>11473</v>
      </c>
      <c r="O3024" t="s">
        <v>22</v>
      </c>
    </row>
    <row r="3025" spans="1:15">
      <c r="A3025" t="s">
        <v>8328</v>
      </c>
      <c r="B3025" t="s">
        <v>8328</v>
      </c>
      <c r="C3025" t="s">
        <v>8329</v>
      </c>
      <c r="F3025">
        <v>1</v>
      </c>
      <c r="G3025" s="1" t="s">
        <v>3141</v>
      </c>
      <c r="I3025" s="1" t="s">
        <v>11473</v>
      </c>
      <c r="O3025" t="s">
        <v>22</v>
      </c>
    </row>
    <row r="3026" spans="1:15">
      <c r="A3026" t="s">
        <v>11185</v>
      </c>
      <c r="B3026" t="s">
        <v>11185</v>
      </c>
      <c r="C3026" t="s">
        <v>11186</v>
      </c>
      <c r="F3026">
        <v>1</v>
      </c>
      <c r="G3026" s="1" t="s">
        <v>3142</v>
      </c>
      <c r="I3026" s="1" t="s">
        <v>11473</v>
      </c>
      <c r="O3026" t="s">
        <v>22</v>
      </c>
    </row>
    <row r="3027" spans="1:15">
      <c r="A3027" t="s">
        <v>10344</v>
      </c>
      <c r="B3027" t="s">
        <v>10344</v>
      </c>
      <c r="C3027" t="s">
        <v>10345</v>
      </c>
      <c r="F3027">
        <v>1</v>
      </c>
      <c r="G3027" s="1" t="s">
        <v>3143</v>
      </c>
      <c r="I3027" s="1" t="s">
        <v>11473</v>
      </c>
      <c r="O3027" t="s">
        <v>22</v>
      </c>
    </row>
    <row r="3028" spans="1:15">
      <c r="A3028" t="s">
        <v>8308</v>
      </c>
      <c r="B3028" t="s">
        <v>8308</v>
      </c>
      <c r="C3028" t="s">
        <v>8309</v>
      </c>
      <c r="F3028">
        <v>1</v>
      </c>
      <c r="G3028" s="1" t="s">
        <v>3144</v>
      </c>
      <c r="I3028" s="1" t="s">
        <v>11473</v>
      </c>
      <c r="O3028" t="s">
        <v>22</v>
      </c>
    </row>
    <row r="3029" spans="1:15">
      <c r="A3029" t="s">
        <v>9806</v>
      </c>
      <c r="B3029" t="s">
        <v>9806</v>
      </c>
      <c r="C3029" t="s">
        <v>8309</v>
      </c>
      <c r="F3029">
        <v>1</v>
      </c>
      <c r="G3029" s="1" t="s">
        <v>3145</v>
      </c>
      <c r="I3029" s="1" t="s">
        <v>11473</v>
      </c>
      <c r="O3029" t="s">
        <v>22</v>
      </c>
    </row>
    <row r="3030" spans="1:15">
      <c r="A3030" t="s">
        <v>5690</v>
      </c>
      <c r="B3030" t="s">
        <v>5690</v>
      </c>
      <c r="C3030" t="s">
        <v>5691</v>
      </c>
      <c r="F3030">
        <v>1</v>
      </c>
      <c r="G3030" s="1" t="s">
        <v>3146</v>
      </c>
      <c r="I3030" s="1" t="s">
        <v>11473</v>
      </c>
      <c r="O3030" t="s">
        <v>22</v>
      </c>
    </row>
    <row r="3031" spans="1:15">
      <c r="A3031" t="s">
        <v>8339</v>
      </c>
      <c r="B3031" t="s">
        <v>8339</v>
      </c>
      <c r="C3031" t="s">
        <v>8340</v>
      </c>
      <c r="F3031">
        <v>1</v>
      </c>
      <c r="G3031" s="1" t="s">
        <v>3147</v>
      </c>
      <c r="I3031" s="1" t="s">
        <v>11473</v>
      </c>
      <c r="O3031" t="s">
        <v>22</v>
      </c>
    </row>
    <row r="3032" spans="1:15">
      <c r="A3032" t="s">
        <v>7945</v>
      </c>
      <c r="B3032" t="s">
        <v>7945</v>
      </c>
      <c r="C3032" t="s">
        <v>4879</v>
      </c>
      <c r="F3032">
        <v>1</v>
      </c>
      <c r="G3032" s="1" t="s">
        <v>3148</v>
      </c>
      <c r="I3032" s="1" t="s">
        <v>11473</v>
      </c>
      <c r="O3032" t="s">
        <v>22</v>
      </c>
    </row>
    <row r="3033" spans="1:15">
      <c r="A3033" t="s">
        <v>8436</v>
      </c>
      <c r="B3033" t="s">
        <v>8436</v>
      </c>
      <c r="C3033" t="s">
        <v>8437</v>
      </c>
      <c r="F3033">
        <v>1</v>
      </c>
      <c r="G3033" s="1" t="s">
        <v>3149</v>
      </c>
      <c r="I3033" s="1" t="s">
        <v>11473</v>
      </c>
      <c r="O3033" t="s">
        <v>22</v>
      </c>
    </row>
    <row r="3034" spans="1:15">
      <c r="A3034" t="s">
        <v>8928</v>
      </c>
      <c r="B3034" t="s">
        <v>8928</v>
      </c>
      <c r="C3034" t="s">
        <v>8929</v>
      </c>
      <c r="F3034">
        <v>1</v>
      </c>
      <c r="G3034" s="1" t="s">
        <v>3150</v>
      </c>
      <c r="I3034" s="1" t="s">
        <v>11473</v>
      </c>
      <c r="O3034" t="s">
        <v>22</v>
      </c>
    </row>
    <row r="3035" spans="1:15">
      <c r="A3035" t="s">
        <v>8884</v>
      </c>
      <c r="B3035" t="s">
        <v>8884</v>
      </c>
      <c r="C3035" t="s">
        <v>8885</v>
      </c>
      <c r="F3035">
        <v>1</v>
      </c>
      <c r="G3035" s="1" t="s">
        <v>3151</v>
      </c>
      <c r="I3035" s="1" t="s">
        <v>11473</v>
      </c>
      <c r="O3035" t="s">
        <v>22</v>
      </c>
    </row>
    <row r="3036" spans="1:15">
      <c r="A3036" t="s">
        <v>8886</v>
      </c>
      <c r="B3036" t="s">
        <v>8886</v>
      </c>
      <c r="C3036" t="s">
        <v>8887</v>
      </c>
      <c r="F3036">
        <v>1</v>
      </c>
      <c r="G3036" s="1" t="s">
        <v>3152</v>
      </c>
      <c r="I3036" s="1" t="s">
        <v>11473</v>
      </c>
      <c r="O3036" t="s">
        <v>22</v>
      </c>
    </row>
    <row r="3037" spans="1:15">
      <c r="A3037" t="s">
        <v>10167</v>
      </c>
      <c r="B3037" t="s">
        <v>10167</v>
      </c>
      <c r="C3037" t="s">
        <v>5106</v>
      </c>
      <c r="F3037">
        <v>1</v>
      </c>
      <c r="G3037" s="1" t="s">
        <v>3153</v>
      </c>
      <c r="I3037" s="1" t="s">
        <v>11473</v>
      </c>
      <c r="O3037" t="s">
        <v>22</v>
      </c>
    </row>
    <row r="3038" spans="1:15">
      <c r="A3038" t="s">
        <v>9037</v>
      </c>
      <c r="B3038" t="s">
        <v>9037</v>
      </c>
      <c r="C3038" t="s">
        <v>9038</v>
      </c>
      <c r="F3038">
        <v>1</v>
      </c>
      <c r="G3038" s="1" t="s">
        <v>3154</v>
      </c>
      <c r="I3038" s="1" t="s">
        <v>11473</v>
      </c>
      <c r="O3038" t="s">
        <v>22</v>
      </c>
    </row>
    <row r="3039" spans="1:15">
      <c r="A3039" t="s">
        <v>9016</v>
      </c>
      <c r="B3039" t="s">
        <v>9016</v>
      </c>
      <c r="C3039" t="s">
        <v>9017</v>
      </c>
      <c r="F3039">
        <v>1</v>
      </c>
      <c r="G3039" s="1" t="s">
        <v>3155</v>
      </c>
      <c r="I3039" s="1" t="s">
        <v>11473</v>
      </c>
      <c r="O3039" t="s">
        <v>22</v>
      </c>
    </row>
    <row r="3040" spans="1:15">
      <c r="A3040" t="s">
        <v>10383</v>
      </c>
      <c r="B3040" t="s">
        <v>10383</v>
      </c>
      <c r="C3040" t="s">
        <v>10384</v>
      </c>
      <c r="F3040">
        <v>1</v>
      </c>
      <c r="G3040" s="1" t="s">
        <v>3156</v>
      </c>
      <c r="I3040" s="1" t="s">
        <v>11473</v>
      </c>
      <c r="O3040" t="s">
        <v>22</v>
      </c>
    </row>
    <row r="3041" spans="1:15">
      <c r="A3041" t="s">
        <v>9764</v>
      </c>
      <c r="B3041" t="s">
        <v>9764</v>
      </c>
      <c r="C3041" t="s">
        <v>9765</v>
      </c>
      <c r="F3041">
        <v>1</v>
      </c>
      <c r="G3041" s="1" t="s">
        <v>3157</v>
      </c>
      <c r="I3041" s="1" t="s">
        <v>11473</v>
      </c>
      <c r="O3041" t="s">
        <v>22</v>
      </c>
    </row>
    <row r="3042" spans="1:15">
      <c r="A3042" t="s">
        <v>8050</v>
      </c>
      <c r="B3042" t="s">
        <v>8050</v>
      </c>
      <c r="C3042" t="s">
        <v>4801</v>
      </c>
      <c r="F3042">
        <v>1</v>
      </c>
      <c r="G3042" s="1" t="s">
        <v>3158</v>
      </c>
      <c r="I3042" s="1" t="s">
        <v>11473</v>
      </c>
      <c r="O3042" t="s">
        <v>22</v>
      </c>
    </row>
    <row r="3043" spans="1:15">
      <c r="A3043" t="s">
        <v>8699</v>
      </c>
      <c r="B3043" t="s">
        <v>8699</v>
      </c>
      <c r="C3043" t="s">
        <v>4126</v>
      </c>
      <c r="F3043">
        <v>1</v>
      </c>
      <c r="G3043" s="1" t="s">
        <v>3159</v>
      </c>
      <c r="I3043" s="1" t="s">
        <v>11473</v>
      </c>
      <c r="O3043" t="s">
        <v>22</v>
      </c>
    </row>
    <row r="3044" spans="1:15">
      <c r="A3044" t="s">
        <v>10233</v>
      </c>
      <c r="B3044" t="s">
        <v>10233</v>
      </c>
      <c r="C3044" t="s">
        <v>4126</v>
      </c>
      <c r="F3044">
        <v>1</v>
      </c>
      <c r="G3044" s="1" t="s">
        <v>3160</v>
      </c>
      <c r="I3044" s="1" t="s">
        <v>11473</v>
      </c>
      <c r="O3044" t="s">
        <v>22</v>
      </c>
    </row>
    <row r="3045" spans="1:15">
      <c r="A3045" t="s">
        <v>11286</v>
      </c>
      <c r="B3045" t="s">
        <v>11286</v>
      </c>
      <c r="C3045" t="s">
        <v>4126</v>
      </c>
      <c r="F3045">
        <v>1</v>
      </c>
      <c r="G3045" s="1" t="s">
        <v>3161</v>
      </c>
      <c r="I3045" s="1" t="s">
        <v>11473</v>
      </c>
      <c r="O3045" t="s">
        <v>22</v>
      </c>
    </row>
    <row r="3046" spans="1:15">
      <c r="A3046" t="s">
        <v>7767</v>
      </c>
      <c r="B3046" t="s">
        <v>7767</v>
      </c>
      <c r="C3046" t="s">
        <v>5173</v>
      </c>
      <c r="F3046">
        <v>1</v>
      </c>
      <c r="G3046" s="1" t="s">
        <v>3162</v>
      </c>
      <c r="I3046" s="1" t="s">
        <v>11473</v>
      </c>
      <c r="O3046" t="s">
        <v>22</v>
      </c>
    </row>
    <row r="3047" spans="1:15">
      <c r="A3047" t="s">
        <v>10748</v>
      </c>
      <c r="B3047" t="s">
        <v>10748</v>
      </c>
      <c r="C3047" t="s">
        <v>10749</v>
      </c>
      <c r="F3047">
        <v>1</v>
      </c>
      <c r="G3047" s="1" t="s">
        <v>3163</v>
      </c>
      <c r="I3047" s="1" t="s">
        <v>11473</v>
      </c>
      <c r="O3047" t="s">
        <v>22</v>
      </c>
    </row>
    <row r="3048" spans="1:15">
      <c r="A3048" t="s">
        <v>8880</v>
      </c>
      <c r="B3048" t="s">
        <v>8880</v>
      </c>
      <c r="C3048" t="s">
        <v>8881</v>
      </c>
      <c r="F3048">
        <v>1</v>
      </c>
      <c r="G3048" s="1" t="s">
        <v>3164</v>
      </c>
      <c r="I3048" s="1" t="s">
        <v>11473</v>
      </c>
      <c r="O3048" t="s">
        <v>22</v>
      </c>
    </row>
    <row r="3049" spans="1:15">
      <c r="A3049" t="s">
        <v>10401</v>
      </c>
      <c r="B3049" t="s">
        <v>10401</v>
      </c>
      <c r="C3049" t="s">
        <v>10402</v>
      </c>
      <c r="F3049">
        <v>1</v>
      </c>
      <c r="G3049" s="1" t="s">
        <v>3165</v>
      </c>
      <c r="I3049" s="1" t="s">
        <v>11473</v>
      </c>
      <c r="O3049" t="s">
        <v>22</v>
      </c>
    </row>
    <row r="3050" spans="1:15">
      <c r="A3050" t="s">
        <v>7806</v>
      </c>
      <c r="B3050" t="s">
        <v>7806</v>
      </c>
      <c r="C3050" t="s">
        <v>7807</v>
      </c>
      <c r="F3050">
        <v>1</v>
      </c>
      <c r="G3050" s="1" t="s">
        <v>3166</v>
      </c>
      <c r="I3050" s="1" t="s">
        <v>11473</v>
      </c>
      <c r="O3050" t="s">
        <v>22</v>
      </c>
    </row>
    <row r="3051" spans="1:15">
      <c r="A3051" t="s">
        <v>8917</v>
      </c>
      <c r="B3051" t="s">
        <v>8917</v>
      </c>
      <c r="C3051" t="s">
        <v>8918</v>
      </c>
      <c r="F3051">
        <v>1</v>
      </c>
      <c r="G3051" s="1" t="s">
        <v>3167</v>
      </c>
      <c r="I3051" s="1" t="s">
        <v>11473</v>
      </c>
      <c r="O3051" t="s">
        <v>22</v>
      </c>
    </row>
    <row r="3052" spans="1:15">
      <c r="A3052" t="s">
        <v>8896</v>
      </c>
      <c r="B3052" t="s">
        <v>8896</v>
      </c>
      <c r="C3052" t="s">
        <v>8897</v>
      </c>
      <c r="F3052">
        <v>1</v>
      </c>
      <c r="G3052" s="1" t="s">
        <v>3168</v>
      </c>
      <c r="I3052" s="1" t="s">
        <v>11473</v>
      </c>
      <c r="O3052" t="s">
        <v>22</v>
      </c>
    </row>
    <row r="3053" spans="1:15">
      <c r="A3053" t="s">
        <v>8660</v>
      </c>
      <c r="B3053" t="s">
        <v>8660</v>
      </c>
      <c r="C3053" t="s">
        <v>5397</v>
      </c>
      <c r="F3053">
        <v>1</v>
      </c>
      <c r="G3053" s="1" t="s">
        <v>3169</v>
      </c>
      <c r="I3053" s="1" t="s">
        <v>11473</v>
      </c>
      <c r="O3053" t="s">
        <v>22</v>
      </c>
    </row>
    <row r="3054" spans="1:15">
      <c r="A3054" t="s">
        <v>10202</v>
      </c>
      <c r="B3054" t="s">
        <v>10202</v>
      </c>
      <c r="C3054" t="s">
        <v>4868</v>
      </c>
      <c r="F3054">
        <v>1</v>
      </c>
      <c r="G3054" s="1" t="s">
        <v>3170</v>
      </c>
      <c r="I3054" s="1" t="s">
        <v>11473</v>
      </c>
      <c r="O3054" t="s">
        <v>22</v>
      </c>
    </row>
    <row r="3055" spans="1:15">
      <c r="A3055" t="s">
        <v>10197</v>
      </c>
      <c r="B3055" t="s">
        <v>10197</v>
      </c>
      <c r="C3055" t="s">
        <v>10198</v>
      </c>
      <c r="F3055">
        <v>1</v>
      </c>
      <c r="G3055" s="1" t="s">
        <v>3171</v>
      </c>
      <c r="I3055" s="1" t="s">
        <v>11473</v>
      </c>
      <c r="O3055" t="s">
        <v>22</v>
      </c>
    </row>
    <row r="3056" spans="1:15">
      <c r="A3056" t="s">
        <v>6727</v>
      </c>
      <c r="B3056" t="s">
        <v>6727</v>
      </c>
      <c r="C3056" t="s">
        <v>8945</v>
      </c>
      <c r="F3056">
        <v>1</v>
      </c>
      <c r="G3056" s="1" t="s">
        <v>3172</v>
      </c>
      <c r="I3056" s="1" t="s">
        <v>11473</v>
      </c>
      <c r="O3056" t="s">
        <v>22</v>
      </c>
    </row>
    <row r="3057" spans="1:15">
      <c r="A3057" t="s">
        <v>10663</v>
      </c>
      <c r="B3057" t="s">
        <v>10663</v>
      </c>
      <c r="C3057" t="s">
        <v>10664</v>
      </c>
      <c r="F3057">
        <v>1</v>
      </c>
      <c r="G3057" s="1" t="s">
        <v>3173</v>
      </c>
      <c r="I3057" s="1" t="s">
        <v>11473</v>
      </c>
      <c r="O3057" t="s">
        <v>22</v>
      </c>
    </row>
    <row r="3058" spans="1:15">
      <c r="A3058" t="s">
        <v>8878</v>
      </c>
      <c r="B3058" t="s">
        <v>8878</v>
      </c>
      <c r="C3058" t="s">
        <v>8879</v>
      </c>
      <c r="F3058">
        <v>1</v>
      </c>
      <c r="G3058" s="1" t="s">
        <v>3174</v>
      </c>
      <c r="I3058" s="1" t="s">
        <v>11473</v>
      </c>
      <c r="O3058" t="s">
        <v>22</v>
      </c>
    </row>
    <row r="3059" spans="1:15">
      <c r="A3059" t="s">
        <v>8893</v>
      </c>
      <c r="B3059" t="s">
        <v>8893</v>
      </c>
      <c r="C3059" t="s">
        <v>4061</v>
      </c>
      <c r="F3059">
        <v>1</v>
      </c>
      <c r="G3059" s="1" t="s">
        <v>3175</v>
      </c>
      <c r="I3059" s="1" t="s">
        <v>11473</v>
      </c>
      <c r="O3059" t="s">
        <v>22</v>
      </c>
    </row>
    <row r="3060" spans="1:15">
      <c r="A3060" t="s">
        <v>8875</v>
      </c>
      <c r="B3060" t="s">
        <v>8875</v>
      </c>
      <c r="C3060" t="s">
        <v>4873</v>
      </c>
      <c r="F3060">
        <v>1</v>
      </c>
      <c r="G3060" s="1" t="s">
        <v>3176</v>
      </c>
      <c r="I3060" s="1" t="s">
        <v>11473</v>
      </c>
      <c r="O3060" t="s">
        <v>22</v>
      </c>
    </row>
    <row r="3061" spans="1:15">
      <c r="A3061" t="s">
        <v>10049</v>
      </c>
      <c r="B3061" t="s">
        <v>10049</v>
      </c>
      <c r="C3061" t="s">
        <v>4873</v>
      </c>
      <c r="F3061">
        <v>1</v>
      </c>
      <c r="G3061" s="1" t="s">
        <v>3177</v>
      </c>
      <c r="I3061" s="1" t="s">
        <v>11473</v>
      </c>
      <c r="O3061" t="s">
        <v>22</v>
      </c>
    </row>
    <row r="3062" spans="1:15">
      <c r="A3062" t="s">
        <v>10409</v>
      </c>
      <c r="B3062" t="s">
        <v>10409</v>
      </c>
      <c r="C3062" t="s">
        <v>4873</v>
      </c>
      <c r="F3062">
        <v>1</v>
      </c>
      <c r="G3062" s="1" t="s">
        <v>3178</v>
      </c>
      <c r="I3062" s="1" t="s">
        <v>11473</v>
      </c>
      <c r="O3062" t="s">
        <v>22</v>
      </c>
    </row>
    <row r="3063" spans="1:15">
      <c r="A3063" t="s">
        <v>11373</v>
      </c>
      <c r="B3063" t="s">
        <v>11373</v>
      </c>
      <c r="C3063" t="s">
        <v>4859</v>
      </c>
      <c r="F3063">
        <v>1</v>
      </c>
      <c r="G3063" s="1" t="s">
        <v>3179</v>
      </c>
      <c r="I3063" s="1" t="s">
        <v>11473</v>
      </c>
      <c r="O3063" t="s">
        <v>22</v>
      </c>
    </row>
    <row r="3064" spans="1:15">
      <c r="A3064" t="s">
        <v>6732</v>
      </c>
      <c r="B3064" t="s">
        <v>6732</v>
      </c>
      <c r="C3064" t="s">
        <v>5254</v>
      </c>
      <c r="F3064">
        <v>1</v>
      </c>
      <c r="G3064" s="1" t="s">
        <v>3180</v>
      </c>
      <c r="I3064" s="1" t="s">
        <v>11473</v>
      </c>
      <c r="O3064" t="s">
        <v>22</v>
      </c>
    </row>
    <row r="3065" spans="1:15">
      <c r="A3065" t="s">
        <v>5857</v>
      </c>
      <c r="B3065" t="s">
        <v>5857</v>
      </c>
      <c r="C3065" t="s">
        <v>5858</v>
      </c>
      <c r="F3065">
        <v>1</v>
      </c>
      <c r="G3065" s="1" t="s">
        <v>3181</v>
      </c>
      <c r="I3065" s="1" t="s">
        <v>11473</v>
      </c>
      <c r="O3065" t="s">
        <v>22</v>
      </c>
    </row>
    <row r="3066" spans="1:15">
      <c r="A3066" t="s">
        <v>7055</v>
      </c>
      <c r="B3066" t="s">
        <v>7055</v>
      </c>
      <c r="C3066" t="s">
        <v>5858</v>
      </c>
      <c r="F3066">
        <v>1</v>
      </c>
      <c r="G3066" s="1" t="s">
        <v>3182</v>
      </c>
      <c r="I3066" s="1" t="s">
        <v>11473</v>
      </c>
      <c r="O3066" t="s">
        <v>22</v>
      </c>
    </row>
    <row r="3067" spans="1:15">
      <c r="A3067" t="s">
        <v>8927</v>
      </c>
      <c r="B3067" t="s">
        <v>8927</v>
      </c>
      <c r="C3067" t="s">
        <v>5858</v>
      </c>
      <c r="F3067">
        <v>1</v>
      </c>
      <c r="G3067" s="1" t="s">
        <v>3183</v>
      </c>
      <c r="I3067" s="1" t="s">
        <v>11473</v>
      </c>
      <c r="O3067" t="s">
        <v>22</v>
      </c>
    </row>
    <row r="3068" spans="1:15">
      <c r="A3068" t="s">
        <v>10210</v>
      </c>
      <c r="B3068" t="s">
        <v>10210</v>
      </c>
      <c r="C3068" t="s">
        <v>10211</v>
      </c>
      <c r="F3068">
        <v>1</v>
      </c>
      <c r="G3068" s="1" t="s">
        <v>3184</v>
      </c>
      <c r="I3068" s="1" t="s">
        <v>11473</v>
      </c>
      <c r="O3068" t="s">
        <v>22</v>
      </c>
    </row>
    <row r="3069" spans="1:15">
      <c r="A3069" t="s">
        <v>8909</v>
      </c>
      <c r="B3069" t="s">
        <v>8909</v>
      </c>
      <c r="C3069" t="s">
        <v>8910</v>
      </c>
      <c r="F3069">
        <v>1</v>
      </c>
      <c r="G3069" s="1" t="s">
        <v>3185</v>
      </c>
      <c r="I3069" s="1" t="s">
        <v>11473</v>
      </c>
      <c r="O3069" t="s">
        <v>22</v>
      </c>
    </row>
    <row r="3070" spans="1:15">
      <c r="A3070" t="s">
        <v>10768</v>
      </c>
      <c r="B3070" t="s">
        <v>10768</v>
      </c>
      <c r="C3070" t="s">
        <v>10769</v>
      </c>
      <c r="F3070">
        <v>1</v>
      </c>
      <c r="G3070" s="1" t="s">
        <v>3186</v>
      </c>
      <c r="I3070" s="1" t="s">
        <v>11473</v>
      </c>
      <c r="O3070" t="s">
        <v>22</v>
      </c>
    </row>
    <row r="3071" spans="1:15">
      <c r="A3071" t="s">
        <v>8894</v>
      </c>
      <c r="B3071" t="s">
        <v>8894</v>
      </c>
      <c r="C3071" t="s">
        <v>4130</v>
      </c>
      <c r="F3071">
        <v>1</v>
      </c>
      <c r="G3071" s="1" t="s">
        <v>3187</v>
      </c>
      <c r="I3071" s="1" t="s">
        <v>11473</v>
      </c>
      <c r="O3071" t="s">
        <v>22</v>
      </c>
    </row>
    <row r="3072" spans="1:15">
      <c r="A3072" t="s">
        <v>8649</v>
      </c>
      <c r="B3072" t="s">
        <v>8649</v>
      </c>
      <c r="C3072" t="s">
        <v>8650</v>
      </c>
      <c r="F3072">
        <v>1</v>
      </c>
      <c r="G3072" s="1" t="s">
        <v>3188</v>
      </c>
      <c r="I3072" s="1" t="s">
        <v>11473</v>
      </c>
      <c r="O3072" t="s">
        <v>22</v>
      </c>
    </row>
    <row r="3073" spans="1:15">
      <c r="A3073" t="s">
        <v>8892</v>
      </c>
      <c r="B3073" t="s">
        <v>8892</v>
      </c>
      <c r="C3073" t="s">
        <v>8650</v>
      </c>
      <c r="F3073">
        <v>1</v>
      </c>
      <c r="G3073" s="1" t="s">
        <v>3189</v>
      </c>
      <c r="I3073" s="1" t="s">
        <v>11473</v>
      </c>
      <c r="O3073" t="s">
        <v>22</v>
      </c>
    </row>
    <row r="3074" spans="1:15">
      <c r="A3074" t="s">
        <v>8916</v>
      </c>
      <c r="B3074" t="s">
        <v>8916</v>
      </c>
      <c r="C3074" t="s">
        <v>4125</v>
      </c>
      <c r="F3074">
        <v>1</v>
      </c>
      <c r="G3074" s="1" t="s">
        <v>3190</v>
      </c>
      <c r="I3074" s="1" t="s">
        <v>11473</v>
      </c>
      <c r="O3074" t="s">
        <v>22</v>
      </c>
    </row>
    <row r="3075" spans="1:15">
      <c r="A3075" t="s">
        <v>9661</v>
      </c>
      <c r="B3075" t="s">
        <v>9661</v>
      </c>
      <c r="C3075" t="s">
        <v>4125</v>
      </c>
      <c r="F3075">
        <v>1</v>
      </c>
      <c r="G3075" s="1" t="s">
        <v>3191</v>
      </c>
      <c r="I3075" s="1" t="s">
        <v>11473</v>
      </c>
      <c r="O3075" t="s">
        <v>22</v>
      </c>
    </row>
    <row r="3076" spans="1:15">
      <c r="A3076" t="s">
        <v>7782</v>
      </c>
      <c r="B3076" t="s">
        <v>7782</v>
      </c>
      <c r="C3076" t="s">
        <v>7784</v>
      </c>
      <c r="F3076">
        <v>1</v>
      </c>
      <c r="G3076" s="1" t="s">
        <v>3192</v>
      </c>
      <c r="I3076" s="1" t="s">
        <v>11473</v>
      </c>
      <c r="O3076" t="s">
        <v>22</v>
      </c>
    </row>
    <row r="3077" spans="1:15">
      <c r="A3077" t="s">
        <v>7798</v>
      </c>
      <c r="B3077" t="s">
        <v>7798</v>
      </c>
      <c r="C3077" t="s">
        <v>4849</v>
      </c>
      <c r="F3077">
        <v>1</v>
      </c>
      <c r="G3077" s="1" t="s">
        <v>3193</v>
      </c>
      <c r="I3077" s="1" t="s">
        <v>11473</v>
      </c>
      <c r="O3077" t="s">
        <v>22</v>
      </c>
    </row>
    <row r="3078" spans="1:15">
      <c r="A3078" t="s">
        <v>8651</v>
      </c>
      <c r="B3078" t="s">
        <v>8651</v>
      </c>
      <c r="C3078" t="s">
        <v>8652</v>
      </c>
      <c r="F3078">
        <v>1</v>
      </c>
      <c r="G3078" s="1" t="s">
        <v>3194</v>
      </c>
      <c r="I3078" s="1" t="s">
        <v>11473</v>
      </c>
      <c r="O3078" t="s">
        <v>22</v>
      </c>
    </row>
    <row r="3079" spans="1:15">
      <c r="A3079" t="s">
        <v>10226</v>
      </c>
      <c r="B3079" t="s">
        <v>10226</v>
      </c>
      <c r="C3079" t="s">
        <v>8652</v>
      </c>
      <c r="F3079">
        <v>1</v>
      </c>
      <c r="G3079" s="1" t="s">
        <v>3195</v>
      </c>
      <c r="I3079" s="1" t="s">
        <v>11473</v>
      </c>
      <c r="O3079" t="s">
        <v>22</v>
      </c>
    </row>
    <row r="3080" spans="1:15">
      <c r="A3080" t="s">
        <v>7799</v>
      </c>
      <c r="B3080" t="s">
        <v>7799</v>
      </c>
      <c r="C3080" t="s">
        <v>7800</v>
      </c>
      <c r="F3080">
        <v>1</v>
      </c>
      <c r="G3080" s="1" t="s">
        <v>3196</v>
      </c>
      <c r="I3080" s="1" t="s">
        <v>11473</v>
      </c>
      <c r="O3080" t="s">
        <v>22</v>
      </c>
    </row>
    <row r="3081" spans="1:15">
      <c r="A3081" t="s">
        <v>10196</v>
      </c>
      <c r="B3081" t="s">
        <v>10196</v>
      </c>
      <c r="C3081" t="s">
        <v>7800</v>
      </c>
      <c r="F3081">
        <v>1</v>
      </c>
      <c r="G3081" s="1" t="s">
        <v>3197</v>
      </c>
      <c r="I3081" s="1" t="s">
        <v>11473</v>
      </c>
      <c r="O3081" t="s">
        <v>22</v>
      </c>
    </row>
    <row r="3082" spans="1:15">
      <c r="A3082" t="s">
        <v>8994</v>
      </c>
      <c r="B3082" t="s">
        <v>8994</v>
      </c>
      <c r="C3082" t="s">
        <v>8995</v>
      </c>
      <c r="F3082">
        <v>1</v>
      </c>
      <c r="G3082" s="1" t="s">
        <v>3198</v>
      </c>
      <c r="I3082" s="1" t="s">
        <v>11473</v>
      </c>
      <c r="O3082" t="s">
        <v>22</v>
      </c>
    </row>
    <row r="3083" spans="1:15">
      <c r="A3083" t="s">
        <v>8876</v>
      </c>
      <c r="B3083" t="s">
        <v>8876</v>
      </c>
      <c r="C3083" t="s">
        <v>8877</v>
      </c>
      <c r="F3083">
        <v>1</v>
      </c>
      <c r="G3083" s="1" t="s">
        <v>3199</v>
      </c>
      <c r="I3083" s="1" t="s">
        <v>11473</v>
      </c>
      <c r="O3083" t="s">
        <v>22</v>
      </c>
    </row>
    <row r="3084" spans="1:15">
      <c r="A3084" t="s">
        <v>8933</v>
      </c>
      <c r="B3084" t="s">
        <v>8933</v>
      </c>
      <c r="C3084" t="s">
        <v>4127</v>
      </c>
      <c r="F3084">
        <v>1</v>
      </c>
      <c r="G3084" s="1" t="s">
        <v>3200</v>
      </c>
      <c r="I3084" s="1" t="s">
        <v>11473</v>
      </c>
      <c r="O3084" t="s">
        <v>22</v>
      </c>
    </row>
    <row r="3085" spans="1:15">
      <c r="A3085" t="s">
        <v>7801</v>
      </c>
      <c r="B3085" t="s">
        <v>7801</v>
      </c>
      <c r="C3085" t="s">
        <v>7802</v>
      </c>
      <c r="F3085">
        <v>1</v>
      </c>
      <c r="G3085" s="1" t="s">
        <v>3201</v>
      </c>
      <c r="I3085" s="1" t="s">
        <v>11473</v>
      </c>
      <c r="O3085" t="s">
        <v>22</v>
      </c>
    </row>
    <row r="3086" spans="1:15">
      <c r="A3086" t="s">
        <v>8451</v>
      </c>
      <c r="B3086" t="s">
        <v>8451</v>
      </c>
      <c r="C3086" t="s">
        <v>7802</v>
      </c>
      <c r="F3086">
        <v>1</v>
      </c>
      <c r="G3086" s="1" t="s">
        <v>3202</v>
      </c>
      <c r="I3086" s="1" t="s">
        <v>11473</v>
      </c>
      <c r="O3086" t="s">
        <v>22</v>
      </c>
    </row>
    <row r="3087" spans="1:15">
      <c r="A3087" t="s">
        <v>7105</v>
      </c>
      <c r="B3087" t="s">
        <v>7105</v>
      </c>
      <c r="C3087" t="s">
        <v>5202</v>
      </c>
      <c r="F3087">
        <v>1</v>
      </c>
      <c r="G3087" s="1" t="s">
        <v>3203</v>
      </c>
      <c r="I3087" s="1" t="s">
        <v>11473</v>
      </c>
      <c r="O3087" t="s">
        <v>22</v>
      </c>
    </row>
    <row r="3088" spans="1:15">
      <c r="A3088" t="s">
        <v>9107</v>
      </c>
      <c r="B3088" t="s">
        <v>9107</v>
      </c>
      <c r="C3088" t="s">
        <v>4553</v>
      </c>
      <c r="F3088">
        <v>1</v>
      </c>
      <c r="G3088" s="1" t="s">
        <v>3204</v>
      </c>
      <c r="I3088" s="1" t="s">
        <v>11473</v>
      </c>
      <c r="O3088" t="s">
        <v>22</v>
      </c>
    </row>
    <row r="3089" spans="1:15">
      <c r="A3089" t="s">
        <v>4217</v>
      </c>
      <c r="B3089" t="s">
        <v>4217</v>
      </c>
      <c r="C3089" t="s">
        <v>4553</v>
      </c>
      <c r="F3089">
        <v>1</v>
      </c>
      <c r="G3089" s="1" t="s">
        <v>3205</v>
      </c>
      <c r="I3089" s="1" t="s">
        <v>11473</v>
      </c>
      <c r="O3089" t="s">
        <v>22</v>
      </c>
    </row>
    <row r="3090" spans="1:15">
      <c r="A3090" t="s">
        <v>10742</v>
      </c>
      <c r="B3090" t="s">
        <v>10742</v>
      </c>
      <c r="C3090" t="s">
        <v>4863</v>
      </c>
      <c r="F3090">
        <v>1</v>
      </c>
      <c r="G3090" s="1" t="s">
        <v>3206</v>
      </c>
      <c r="I3090" s="1" t="s">
        <v>11473</v>
      </c>
      <c r="O3090" t="s">
        <v>22</v>
      </c>
    </row>
    <row r="3091" spans="1:15">
      <c r="A3091" t="s">
        <v>8902</v>
      </c>
      <c r="B3091" t="s">
        <v>8902</v>
      </c>
      <c r="C3091" t="s">
        <v>8903</v>
      </c>
      <c r="F3091">
        <v>1</v>
      </c>
      <c r="G3091" s="1" t="s">
        <v>3207</v>
      </c>
      <c r="I3091" s="1" t="s">
        <v>11473</v>
      </c>
      <c r="O3091" t="s">
        <v>22</v>
      </c>
    </row>
    <row r="3092" spans="1:15">
      <c r="A3092" t="s">
        <v>8865</v>
      </c>
      <c r="B3092" t="s">
        <v>8865</v>
      </c>
      <c r="C3092" t="s">
        <v>8866</v>
      </c>
      <c r="F3092">
        <v>1</v>
      </c>
      <c r="G3092" s="1" t="s">
        <v>3208</v>
      </c>
      <c r="I3092" s="1" t="s">
        <v>11473</v>
      </c>
      <c r="O3092" t="s">
        <v>22</v>
      </c>
    </row>
    <row r="3093" spans="1:15">
      <c r="A3093" t="s">
        <v>9953</v>
      </c>
      <c r="B3093" t="s">
        <v>9953</v>
      </c>
      <c r="C3093" t="s">
        <v>8866</v>
      </c>
      <c r="F3093">
        <v>1</v>
      </c>
      <c r="G3093" s="1" t="s">
        <v>3209</v>
      </c>
      <c r="I3093" s="1" t="s">
        <v>11473</v>
      </c>
      <c r="O3093" t="s">
        <v>22</v>
      </c>
    </row>
    <row r="3094" spans="1:15">
      <c r="A3094" t="s">
        <v>8645</v>
      </c>
      <c r="B3094" t="s">
        <v>8645</v>
      </c>
      <c r="C3094" t="s">
        <v>5104</v>
      </c>
      <c r="F3094">
        <v>1</v>
      </c>
      <c r="G3094" s="1" t="s">
        <v>3210</v>
      </c>
      <c r="I3094" s="1" t="s">
        <v>11473</v>
      </c>
      <c r="O3094" t="s">
        <v>22</v>
      </c>
    </row>
    <row r="3095" spans="1:15">
      <c r="A3095" t="s">
        <v>8940</v>
      </c>
      <c r="B3095" t="s">
        <v>8940</v>
      </c>
      <c r="C3095" t="s">
        <v>5104</v>
      </c>
      <c r="F3095">
        <v>1</v>
      </c>
      <c r="G3095" s="1" t="s">
        <v>3211</v>
      </c>
      <c r="I3095" s="1" t="s">
        <v>11473</v>
      </c>
      <c r="O3095" t="s">
        <v>22</v>
      </c>
    </row>
    <row r="3096" spans="1:15">
      <c r="A3096" t="s">
        <v>10152</v>
      </c>
      <c r="B3096" t="s">
        <v>10152</v>
      </c>
      <c r="C3096" t="s">
        <v>5104</v>
      </c>
      <c r="F3096">
        <v>1</v>
      </c>
      <c r="G3096" s="1" t="s">
        <v>3212</v>
      </c>
      <c r="I3096" s="1" t="s">
        <v>11473</v>
      </c>
      <c r="O3096" t="s">
        <v>22</v>
      </c>
    </row>
    <row r="3097" spans="1:15">
      <c r="A3097" t="s">
        <v>7790</v>
      </c>
      <c r="B3097" t="s">
        <v>7790</v>
      </c>
      <c r="C3097" t="s">
        <v>7791</v>
      </c>
      <c r="F3097">
        <v>1</v>
      </c>
      <c r="G3097" s="1" t="s">
        <v>3213</v>
      </c>
      <c r="I3097" s="1" t="s">
        <v>11473</v>
      </c>
      <c r="O3097" t="s">
        <v>22</v>
      </c>
    </row>
    <row r="3098" spans="1:15">
      <c r="A3098" t="s">
        <v>8911</v>
      </c>
      <c r="B3098" t="s">
        <v>8911</v>
      </c>
      <c r="C3098" t="s">
        <v>4129</v>
      </c>
      <c r="F3098">
        <v>1</v>
      </c>
      <c r="G3098" s="1" t="s">
        <v>3214</v>
      </c>
      <c r="I3098" s="1" t="s">
        <v>11473</v>
      </c>
      <c r="O3098" t="s">
        <v>22</v>
      </c>
    </row>
    <row r="3099" spans="1:15">
      <c r="A3099" t="s">
        <v>7775</v>
      </c>
      <c r="B3099" t="s">
        <v>7775</v>
      </c>
      <c r="C3099" t="s">
        <v>7776</v>
      </c>
      <c r="F3099">
        <v>1</v>
      </c>
      <c r="G3099" s="1" t="s">
        <v>3215</v>
      </c>
      <c r="I3099" s="1" t="s">
        <v>11473</v>
      </c>
      <c r="O3099" t="s">
        <v>22</v>
      </c>
    </row>
    <row r="3100" spans="1:15">
      <c r="A3100" t="s">
        <v>10087</v>
      </c>
      <c r="B3100" t="s">
        <v>10087</v>
      </c>
      <c r="C3100" t="s">
        <v>10088</v>
      </c>
      <c r="F3100">
        <v>1</v>
      </c>
      <c r="G3100" s="1" t="s">
        <v>3216</v>
      </c>
      <c r="I3100" s="1" t="s">
        <v>11473</v>
      </c>
      <c r="O3100" t="s">
        <v>22</v>
      </c>
    </row>
    <row r="3101" spans="1:15">
      <c r="A3101" t="s">
        <v>7768</v>
      </c>
      <c r="B3101" t="s">
        <v>7768</v>
      </c>
      <c r="C3101" t="s">
        <v>4210</v>
      </c>
      <c r="F3101">
        <v>1</v>
      </c>
      <c r="G3101" s="1" t="s">
        <v>3217</v>
      </c>
      <c r="I3101" s="1" t="s">
        <v>11473</v>
      </c>
      <c r="O3101" t="s">
        <v>22</v>
      </c>
    </row>
    <row r="3102" spans="1:15">
      <c r="A3102" t="s">
        <v>8867</v>
      </c>
      <c r="B3102" t="s">
        <v>8867</v>
      </c>
      <c r="C3102" t="s">
        <v>4045</v>
      </c>
      <c r="F3102">
        <v>1</v>
      </c>
      <c r="G3102" s="1" t="s">
        <v>3218</v>
      </c>
      <c r="I3102" s="1" t="s">
        <v>11473</v>
      </c>
      <c r="O3102" t="s">
        <v>22</v>
      </c>
    </row>
    <row r="3103" spans="1:15">
      <c r="A3103" t="s">
        <v>10903</v>
      </c>
      <c r="B3103" t="s">
        <v>10903</v>
      </c>
      <c r="C3103" t="s">
        <v>5016</v>
      </c>
      <c r="F3103">
        <v>1</v>
      </c>
      <c r="G3103" s="1" t="s">
        <v>3219</v>
      </c>
      <c r="I3103" s="1" t="s">
        <v>11473</v>
      </c>
      <c r="O3103" t="s">
        <v>22</v>
      </c>
    </row>
    <row r="3104" spans="1:15">
      <c r="A3104" t="s">
        <v>11274</v>
      </c>
      <c r="B3104" t="s">
        <v>11274</v>
      </c>
      <c r="C3104" t="s">
        <v>5016</v>
      </c>
      <c r="F3104">
        <v>1</v>
      </c>
      <c r="G3104" s="1" t="s">
        <v>3220</v>
      </c>
      <c r="I3104" s="1" t="s">
        <v>11473</v>
      </c>
      <c r="O3104" t="s">
        <v>22</v>
      </c>
    </row>
    <row r="3105" spans="1:15">
      <c r="A3105" t="s">
        <v>8324</v>
      </c>
      <c r="B3105" t="s">
        <v>8324</v>
      </c>
      <c r="C3105" t="s">
        <v>4228</v>
      </c>
      <c r="F3105">
        <v>1</v>
      </c>
      <c r="G3105" s="1" t="s">
        <v>3221</v>
      </c>
      <c r="I3105" s="1" t="s">
        <v>11473</v>
      </c>
      <c r="O3105" t="s">
        <v>22</v>
      </c>
    </row>
    <row r="3106" spans="1:15">
      <c r="A3106" t="s">
        <v>7108</v>
      </c>
      <c r="B3106" t="s">
        <v>7108</v>
      </c>
      <c r="C3106" t="s">
        <v>5170</v>
      </c>
      <c r="F3106">
        <v>1</v>
      </c>
      <c r="G3106" s="1" t="s">
        <v>3222</v>
      </c>
      <c r="I3106" s="1" t="s">
        <v>11473</v>
      </c>
      <c r="O3106" t="s">
        <v>22</v>
      </c>
    </row>
    <row r="3107" spans="1:15">
      <c r="A3107" t="s">
        <v>7796</v>
      </c>
      <c r="B3107" t="s">
        <v>7796</v>
      </c>
      <c r="C3107" t="s">
        <v>5170</v>
      </c>
      <c r="F3107">
        <v>1</v>
      </c>
      <c r="G3107" s="1" t="s">
        <v>3223</v>
      </c>
      <c r="I3107" s="1" t="s">
        <v>11473</v>
      </c>
      <c r="O3107" t="s">
        <v>22</v>
      </c>
    </row>
    <row r="3108" spans="1:15">
      <c r="A3108" t="s">
        <v>10199</v>
      </c>
      <c r="B3108" t="s">
        <v>10199</v>
      </c>
      <c r="C3108" t="s">
        <v>10200</v>
      </c>
      <c r="F3108">
        <v>1</v>
      </c>
      <c r="G3108" s="1" t="s">
        <v>3224</v>
      </c>
      <c r="I3108" s="1" t="s">
        <v>11473</v>
      </c>
      <c r="O3108" t="s">
        <v>22</v>
      </c>
    </row>
    <row r="3109" spans="1:15">
      <c r="A3109" t="s">
        <v>7763</v>
      </c>
      <c r="B3109" t="s">
        <v>7763</v>
      </c>
      <c r="C3109" t="s">
        <v>7764</v>
      </c>
      <c r="F3109">
        <v>1</v>
      </c>
      <c r="G3109" s="1" t="s">
        <v>3225</v>
      </c>
      <c r="I3109" s="1" t="s">
        <v>11473</v>
      </c>
      <c r="O3109" t="s">
        <v>22</v>
      </c>
    </row>
    <row r="3110" spans="1:15">
      <c r="A3110" t="s">
        <v>7562</v>
      </c>
      <c r="B3110" t="s">
        <v>7562</v>
      </c>
      <c r="C3110" t="s">
        <v>19</v>
      </c>
      <c r="F3110">
        <v>1</v>
      </c>
      <c r="G3110" s="1" t="s">
        <v>3226</v>
      </c>
      <c r="I3110" s="1" t="s">
        <v>11473</v>
      </c>
      <c r="O3110" t="s">
        <v>22</v>
      </c>
    </row>
    <row r="3111" spans="1:15">
      <c r="A3111" t="s">
        <v>9750</v>
      </c>
      <c r="B3111" t="s">
        <v>9750</v>
      </c>
      <c r="C3111" t="s">
        <v>5001</v>
      </c>
      <c r="F3111">
        <v>1</v>
      </c>
      <c r="G3111" s="1" t="s">
        <v>3227</v>
      </c>
      <c r="I3111" s="1" t="s">
        <v>11473</v>
      </c>
      <c r="O3111" t="s">
        <v>22</v>
      </c>
    </row>
    <row r="3112" spans="1:15">
      <c r="A3112" t="s">
        <v>9794</v>
      </c>
      <c r="B3112" t="s">
        <v>9794</v>
      </c>
      <c r="C3112" t="s">
        <v>9795</v>
      </c>
      <c r="F3112">
        <v>1</v>
      </c>
      <c r="G3112" s="1" t="s">
        <v>3228</v>
      </c>
      <c r="I3112" s="1" t="s">
        <v>11473</v>
      </c>
      <c r="O3112" t="s">
        <v>22</v>
      </c>
    </row>
    <row r="3113" spans="1:15">
      <c r="A3113" t="s">
        <v>7553</v>
      </c>
      <c r="B3113" t="s">
        <v>7553</v>
      </c>
      <c r="C3113" t="s">
        <v>7554</v>
      </c>
      <c r="F3113">
        <v>1</v>
      </c>
      <c r="G3113" s="1" t="s">
        <v>3229</v>
      </c>
      <c r="I3113" s="1" t="s">
        <v>11473</v>
      </c>
      <c r="O3113" t="s">
        <v>22</v>
      </c>
    </row>
    <row r="3114" spans="1:15">
      <c r="A3114" t="s">
        <v>6364</v>
      </c>
      <c r="B3114" t="s">
        <v>6364</v>
      </c>
      <c r="C3114" t="s">
        <v>6365</v>
      </c>
      <c r="F3114">
        <v>1</v>
      </c>
      <c r="G3114" s="1" t="s">
        <v>3230</v>
      </c>
      <c r="I3114" s="1" t="s">
        <v>11473</v>
      </c>
      <c r="O3114" t="s">
        <v>22</v>
      </c>
    </row>
    <row r="3115" spans="1:15">
      <c r="A3115" t="s">
        <v>7755</v>
      </c>
      <c r="B3115" t="s">
        <v>7755</v>
      </c>
      <c r="C3115" t="s">
        <v>5175</v>
      </c>
      <c r="F3115">
        <v>1</v>
      </c>
      <c r="G3115" s="1" t="s">
        <v>3231</v>
      </c>
      <c r="I3115" s="1" t="s">
        <v>11473</v>
      </c>
      <c r="O3115" t="s">
        <v>22</v>
      </c>
    </row>
    <row r="3116" spans="1:15">
      <c r="A3116" t="s">
        <v>5992</v>
      </c>
      <c r="B3116" t="s">
        <v>5992</v>
      </c>
      <c r="C3116" t="s">
        <v>5993</v>
      </c>
      <c r="F3116">
        <v>1</v>
      </c>
      <c r="G3116" s="1" t="s">
        <v>3232</v>
      </c>
      <c r="I3116" s="1" t="s">
        <v>11473</v>
      </c>
      <c r="O3116" t="s">
        <v>22</v>
      </c>
    </row>
    <row r="3117" spans="1:15">
      <c r="A3117" t="s">
        <v>7570</v>
      </c>
      <c r="B3117" t="s">
        <v>7570</v>
      </c>
      <c r="C3117" t="s">
        <v>5265</v>
      </c>
      <c r="F3117">
        <v>1</v>
      </c>
      <c r="G3117" s="1" t="s">
        <v>3233</v>
      </c>
      <c r="I3117" s="1" t="s">
        <v>11473</v>
      </c>
      <c r="O3117" t="s">
        <v>22</v>
      </c>
    </row>
    <row r="3118" spans="1:15">
      <c r="A3118" t="s">
        <v>6352</v>
      </c>
      <c r="B3118" t="s">
        <v>6352</v>
      </c>
      <c r="C3118" t="s">
        <v>6353</v>
      </c>
      <c r="F3118">
        <v>1</v>
      </c>
      <c r="G3118" s="1" t="s">
        <v>3234</v>
      </c>
      <c r="I3118" s="1" t="s">
        <v>11473</v>
      </c>
      <c r="O3118" t="s">
        <v>22</v>
      </c>
    </row>
    <row r="3119" spans="1:15">
      <c r="A3119" t="s">
        <v>7571</v>
      </c>
      <c r="B3119" t="s">
        <v>7571</v>
      </c>
      <c r="C3119" t="s">
        <v>6353</v>
      </c>
      <c r="F3119">
        <v>1</v>
      </c>
      <c r="G3119" s="1" t="s">
        <v>3235</v>
      </c>
      <c r="I3119" s="1" t="s">
        <v>11473</v>
      </c>
      <c r="O3119" t="s">
        <v>22</v>
      </c>
    </row>
    <row r="3120" spans="1:15">
      <c r="A3120" t="s">
        <v>5994</v>
      </c>
      <c r="B3120" t="s">
        <v>5994</v>
      </c>
      <c r="C3120" t="s">
        <v>4780</v>
      </c>
      <c r="F3120">
        <v>1</v>
      </c>
      <c r="G3120" s="1" t="s">
        <v>3236</v>
      </c>
      <c r="I3120" s="1" t="s">
        <v>11473</v>
      </c>
      <c r="O3120" t="s">
        <v>22</v>
      </c>
    </row>
    <row r="3121" spans="1:15">
      <c r="A3121" t="s">
        <v>10950</v>
      </c>
      <c r="B3121" t="s">
        <v>10950</v>
      </c>
      <c r="C3121" t="s">
        <v>10951</v>
      </c>
      <c r="F3121">
        <v>1</v>
      </c>
      <c r="G3121" s="1" t="s">
        <v>3237</v>
      </c>
      <c r="I3121" s="1" t="s">
        <v>11473</v>
      </c>
      <c r="O3121" t="s">
        <v>22</v>
      </c>
    </row>
    <row r="3122" spans="1:15">
      <c r="A3122" t="s">
        <v>7579</v>
      </c>
      <c r="B3122" t="s">
        <v>7579</v>
      </c>
      <c r="C3122" t="s">
        <v>7580</v>
      </c>
      <c r="F3122">
        <v>1</v>
      </c>
      <c r="G3122" s="1" t="s">
        <v>3238</v>
      </c>
      <c r="I3122" s="1" t="s">
        <v>11473</v>
      </c>
      <c r="O3122" t="s">
        <v>22</v>
      </c>
    </row>
    <row r="3123" spans="1:15">
      <c r="A3123" t="s">
        <v>8242</v>
      </c>
      <c r="B3123" t="s">
        <v>8242</v>
      </c>
      <c r="C3123" t="s">
        <v>7580</v>
      </c>
      <c r="F3123">
        <v>1</v>
      </c>
      <c r="G3123" s="1" t="s">
        <v>3239</v>
      </c>
      <c r="I3123" s="1" t="s">
        <v>11473</v>
      </c>
      <c r="O3123" t="s">
        <v>22</v>
      </c>
    </row>
    <row r="3124" spans="1:15">
      <c r="A3124" t="s">
        <v>7759</v>
      </c>
      <c r="B3124" t="s">
        <v>7759</v>
      </c>
      <c r="C3124" t="s">
        <v>4932</v>
      </c>
      <c r="F3124">
        <v>1</v>
      </c>
      <c r="G3124" s="1" t="s">
        <v>3240</v>
      </c>
      <c r="I3124" s="1" t="s">
        <v>11473</v>
      </c>
      <c r="O3124" t="s">
        <v>22</v>
      </c>
    </row>
    <row r="3125" spans="1:15">
      <c r="A3125" t="s">
        <v>8404</v>
      </c>
      <c r="B3125" t="s">
        <v>8404</v>
      </c>
      <c r="C3125" t="s">
        <v>8405</v>
      </c>
      <c r="F3125">
        <v>1</v>
      </c>
      <c r="G3125" s="1" t="s">
        <v>3241</v>
      </c>
      <c r="I3125" s="1" t="s">
        <v>11473</v>
      </c>
      <c r="O3125" t="s">
        <v>22</v>
      </c>
    </row>
    <row r="3126" spans="1:15">
      <c r="A3126" t="s">
        <v>8228</v>
      </c>
      <c r="B3126" t="s">
        <v>8228</v>
      </c>
      <c r="C3126" t="s">
        <v>4905</v>
      </c>
      <c r="F3126">
        <v>1</v>
      </c>
      <c r="G3126" s="1" t="s">
        <v>3242</v>
      </c>
      <c r="I3126" s="1" t="s">
        <v>11473</v>
      </c>
      <c r="O3126" t="s">
        <v>22</v>
      </c>
    </row>
    <row r="3127" spans="1:15">
      <c r="A3127" t="s">
        <v>8396</v>
      </c>
      <c r="B3127" t="s">
        <v>8396</v>
      </c>
      <c r="C3127" t="s">
        <v>4905</v>
      </c>
      <c r="F3127">
        <v>1</v>
      </c>
      <c r="G3127" s="1" t="s">
        <v>3243</v>
      </c>
      <c r="I3127" s="1" t="s">
        <v>11473</v>
      </c>
      <c r="O3127" t="s">
        <v>22</v>
      </c>
    </row>
    <row r="3128" spans="1:15">
      <c r="A3128" t="s">
        <v>9991</v>
      </c>
      <c r="B3128" t="s">
        <v>9991</v>
      </c>
      <c r="C3128" t="s">
        <v>5382</v>
      </c>
      <c r="F3128">
        <v>1</v>
      </c>
      <c r="G3128" s="1" t="s">
        <v>3244</v>
      </c>
      <c r="I3128" s="1" t="s">
        <v>11473</v>
      </c>
      <c r="O3128" t="s">
        <v>22</v>
      </c>
    </row>
    <row r="3129" spans="1:15">
      <c r="A3129" t="s">
        <v>10994</v>
      </c>
      <c r="B3129" t="s">
        <v>10994</v>
      </c>
      <c r="C3129" t="s">
        <v>5382</v>
      </c>
      <c r="F3129">
        <v>1</v>
      </c>
      <c r="G3129" s="1" t="s">
        <v>3245</v>
      </c>
      <c r="I3129" s="1" t="s">
        <v>11473</v>
      </c>
      <c r="O3129" t="s">
        <v>22</v>
      </c>
    </row>
    <row r="3130" spans="1:15">
      <c r="A3130" t="s">
        <v>8193</v>
      </c>
      <c r="B3130" t="s">
        <v>8193</v>
      </c>
      <c r="C3130" t="s">
        <v>8194</v>
      </c>
      <c r="F3130">
        <v>1</v>
      </c>
      <c r="G3130" s="1" t="s">
        <v>3246</v>
      </c>
      <c r="I3130" s="1" t="s">
        <v>11473</v>
      </c>
      <c r="O3130" t="s">
        <v>22</v>
      </c>
    </row>
    <row r="3131" spans="1:15">
      <c r="A3131" t="s">
        <v>7558</v>
      </c>
      <c r="B3131" t="s">
        <v>7558</v>
      </c>
      <c r="C3131" t="s">
        <v>7559</v>
      </c>
      <c r="F3131">
        <v>1</v>
      </c>
      <c r="G3131" s="1" t="s">
        <v>3247</v>
      </c>
      <c r="I3131" s="1" t="s">
        <v>11473</v>
      </c>
      <c r="O3131" t="s">
        <v>22</v>
      </c>
    </row>
    <row r="3132" spans="1:15">
      <c r="A3132" t="s">
        <v>7747</v>
      </c>
      <c r="B3132" t="s">
        <v>7747</v>
      </c>
      <c r="C3132" t="s">
        <v>7748</v>
      </c>
      <c r="F3132">
        <v>1</v>
      </c>
      <c r="G3132" s="1" t="s">
        <v>3248</v>
      </c>
      <c r="I3132" s="1" t="s">
        <v>11473</v>
      </c>
      <c r="O3132" t="s">
        <v>22</v>
      </c>
    </row>
    <row r="3133" spans="1:15">
      <c r="A3133" t="s">
        <v>8399</v>
      </c>
      <c r="B3133" t="s">
        <v>8399</v>
      </c>
      <c r="C3133" t="s">
        <v>7748</v>
      </c>
      <c r="F3133">
        <v>1</v>
      </c>
      <c r="G3133" s="1" t="s">
        <v>3249</v>
      </c>
      <c r="I3133" s="1" t="s">
        <v>11473</v>
      </c>
      <c r="O3133" t="s">
        <v>22</v>
      </c>
    </row>
    <row r="3134" spans="1:15">
      <c r="A3134" t="s">
        <v>8644</v>
      </c>
      <c r="B3134" t="s">
        <v>8644</v>
      </c>
      <c r="C3134" t="s">
        <v>7748</v>
      </c>
      <c r="F3134">
        <v>1</v>
      </c>
      <c r="G3134" s="1" t="s">
        <v>3250</v>
      </c>
      <c r="I3134" s="1" t="s">
        <v>11473</v>
      </c>
      <c r="O3134" t="s">
        <v>22</v>
      </c>
    </row>
    <row r="3135" spans="1:15">
      <c r="A3135" t="s">
        <v>6342</v>
      </c>
      <c r="B3135" t="s">
        <v>6342</v>
      </c>
      <c r="C3135" t="s">
        <v>6343</v>
      </c>
      <c r="F3135">
        <v>1</v>
      </c>
      <c r="G3135" s="1" t="s">
        <v>3251</v>
      </c>
      <c r="I3135" s="1" t="s">
        <v>11473</v>
      </c>
      <c r="O3135" t="s">
        <v>22</v>
      </c>
    </row>
    <row r="3136" spans="1:15">
      <c r="A3136" t="s">
        <v>7540</v>
      </c>
      <c r="B3136" t="s">
        <v>7540</v>
      </c>
      <c r="C3136" t="s">
        <v>6343</v>
      </c>
      <c r="F3136">
        <v>1</v>
      </c>
      <c r="G3136" s="1" t="s">
        <v>3252</v>
      </c>
      <c r="I3136" s="1" t="s">
        <v>11473</v>
      </c>
      <c r="O3136" t="s">
        <v>22</v>
      </c>
    </row>
    <row r="3137" spans="1:15">
      <c r="A3137" t="s">
        <v>8222</v>
      </c>
      <c r="B3137" t="s">
        <v>8222</v>
      </c>
      <c r="C3137" t="s">
        <v>8223</v>
      </c>
      <c r="F3137">
        <v>1</v>
      </c>
      <c r="G3137" s="1" t="s">
        <v>3253</v>
      </c>
      <c r="I3137" s="1" t="s">
        <v>11473</v>
      </c>
      <c r="O3137" t="s">
        <v>22</v>
      </c>
    </row>
    <row r="3138" spans="1:15">
      <c r="A3138" t="s">
        <v>10875</v>
      </c>
      <c r="B3138" t="s">
        <v>10875</v>
      </c>
      <c r="C3138" t="s">
        <v>10876</v>
      </c>
      <c r="F3138">
        <v>1</v>
      </c>
      <c r="G3138" s="1" t="s">
        <v>3254</v>
      </c>
      <c r="I3138" s="1" t="s">
        <v>11473</v>
      </c>
      <c r="O3138" t="s">
        <v>22</v>
      </c>
    </row>
    <row r="3139" spans="1:15">
      <c r="A3139" t="s">
        <v>7808</v>
      </c>
      <c r="B3139" t="s">
        <v>7808</v>
      </c>
      <c r="C3139" t="s">
        <v>7809</v>
      </c>
      <c r="F3139">
        <v>1</v>
      </c>
      <c r="G3139" s="1" t="s">
        <v>3255</v>
      </c>
      <c r="I3139" s="1" t="s">
        <v>11473</v>
      </c>
      <c r="O3139" t="s">
        <v>22</v>
      </c>
    </row>
    <row r="3140" spans="1:15">
      <c r="A3140" t="s">
        <v>8210</v>
      </c>
      <c r="B3140" t="s">
        <v>8210</v>
      </c>
      <c r="C3140" t="s">
        <v>7809</v>
      </c>
      <c r="F3140">
        <v>1</v>
      </c>
      <c r="G3140" s="1" t="s">
        <v>3256</v>
      </c>
      <c r="I3140" s="1" t="s">
        <v>11473</v>
      </c>
      <c r="O3140" t="s">
        <v>22</v>
      </c>
    </row>
    <row r="3141" spans="1:15">
      <c r="A3141" t="s">
        <v>5969</v>
      </c>
      <c r="B3141" t="s">
        <v>5969</v>
      </c>
      <c r="C3141" t="s">
        <v>4325</v>
      </c>
      <c r="F3141">
        <v>1</v>
      </c>
      <c r="G3141" s="1" t="s">
        <v>3257</v>
      </c>
      <c r="I3141" s="1" t="s">
        <v>11473</v>
      </c>
      <c r="O3141" t="s">
        <v>22</v>
      </c>
    </row>
    <row r="3142" spans="1:15">
      <c r="A3142" t="s">
        <v>6368</v>
      </c>
      <c r="B3142" t="s">
        <v>6368</v>
      </c>
      <c r="C3142" t="s">
        <v>4325</v>
      </c>
      <c r="F3142">
        <v>1</v>
      </c>
      <c r="G3142" s="1" t="s">
        <v>3258</v>
      </c>
      <c r="I3142" s="1" t="s">
        <v>11473</v>
      </c>
      <c r="O3142" t="s">
        <v>22</v>
      </c>
    </row>
    <row r="3143" spans="1:15">
      <c r="A3143" t="s">
        <v>6793</v>
      </c>
      <c r="B3143" t="s">
        <v>6793</v>
      </c>
      <c r="C3143" t="s">
        <v>6794</v>
      </c>
      <c r="F3143">
        <v>1</v>
      </c>
      <c r="G3143" s="1" t="s">
        <v>3259</v>
      </c>
      <c r="I3143" s="1" t="s">
        <v>11473</v>
      </c>
      <c r="O3143" t="s">
        <v>22</v>
      </c>
    </row>
    <row r="3144" spans="1:15">
      <c r="A3144" t="s">
        <v>7745</v>
      </c>
      <c r="B3144" t="s">
        <v>7745</v>
      </c>
      <c r="C3144" t="s">
        <v>6794</v>
      </c>
      <c r="F3144">
        <v>1</v>
      </c>
      <c r="G3144" s="1" t="s">
        <v>3260</v>
      </c>
      <c r="I3144" s="1" t="s">
        <v>11473</v>
      </c>
      <c r="O3144" t="s">
        <v>22</v>
      </c>
    </row>
    <row r="3145" spans="1:15">
      <c r="A3145" t="s">
        <v>7756</v>
      </c>
      <c r="B3145" t="s">
        <v>7756</v>
      </c>
      <c r="C3145" t="s">
        <v>6794</v>
      </c>
      <c r="F3145">
        <v>1</v>
      </c>
      <c r="G3145" s="1" t="s">
        <v>3261</v>
      </c>
      <c r="I3145" s="1" t="s">
        <v>11473</v>
      </c>
      <c r="O3145" t="s">
        <v>22</v>
      </c>
    </row>
    <row r="3146" spans="1:15">
      <c r="A3146" t="s">
        <v>10002</v>
      </c>
      <c r="B3146" t="s">
        <v>10002</v>
      </c>
      <c r="C3146" t="s">
        <v>6794</v>
      </c>
      <c r="F3146">
        <v>1</v>
      </c>
      <c r="G3146" s="1" t="s">
        <v>3262</v>
      </c>
      <c r="I3146" s="1" t="s">
        <v>11473</v>
      </c>
      <c r="O3146" t="s">
        <v>22</v>
      </c>
    </row>
    <row r="3147" spans="1:15">
      <c r="A3147" t="s">
        <v>5989</v>
      </c>
      <c r="B3147" t="s">
        <v>5989</v>
      </c>
      <c r="C3147" t="s">
        <v>4156</v>
      </c>
      <c r="F3147">
        <v>1</v>
      </c>
      <c r="G3147" s="1" t="s">
        <v>3263</v>
      </c>
      <c r="I3147" s="1" t="s">
        <v>11473</v>
      </c>
      <c r="O3147" t="s">
        <v>22</v>
      </c>
    </row>
    <row r="3148" spans="1:15">
      <c r="A3148" t="s">
        <v>6366</v>
      </c>
      <c r="B3148" t="s">
        <v>6366</v>
      </c>
      <c r="C3148" t="s">
        <v>6367</v>
      </c>
      <c r="F3148">
        <v>1</v>
      </c>
      <c r="G3148" s="1" t="s">
        <v>3264</v>
      </c>
      <c r="I3148" s="1" t="s">
        <v>11473</v>
      </c>
      <c r="O3148" t="s">
        <v>22</v>
      </c>
    </row>
    <row r="3149" spans="1:15">
      <c r="A3149" t="s">
        <v>7820</v>
      </c>
      <c r="B3149" t="s">
        <v>7820</v>
      </c>
      <c r="C3149" t="s">
        <v>5152</v>
      </c>
      <c r="F3149">
        <v>1</v>
      </c>
      <c r="G3149" s="1" t="s">
        <v>3265</v>
      </c>
      <c r="I3149" s="1" t="s">
        <v>11473</v>
      </c>
      <c r="O3149" t="s">
        <v>22</v>
      </c>
    </row>
    <row r="3150" spans="1:15">
      <c r="A3150" t="s">
        <v>6176</v>
      </c>
      <c r="B3150" t="s">
        <v>6176</v>
      </c>
      <c r="C3150" t="s">
        <v>4175</v>
      </c>
      <c r="F3150">
        <v>1</v>
      </c>
      <c r="G3150" s="1" t="s">
        <v>3266</v>
      </c>
      <c r="I3150" s="1" t="s">
        <v>11473</v>
      </c>
      <c r="O3150" t="s">
        <v>22</v>
      </c>
    </row>
    <row r="3151" spans="1:15">
      <c r="A3151" t="s">
        <v>7567</v>
      </c>
      <c r="B3151" t="s">
        <v>7567</v>
      </c>
      <c r="C3151" t="s">
        <v>4309</v>
      </c>
      <c r="F3151">
        <v>1</v>
      </c>
      <c r="G3151" s="1" t="s">
        <v>3267</v>
      </c>
      <c r="I3151" s="1" t="s">
        <v>11473</v>
      </c>
      <c r="O3151" t="s">
        <v>22</v>
      </c>
    </row>
    <row r="3152" spans="1:15">
      <c r="A3152" t="s">
        <v>9590</v>
      </c>
      <c r="B3152" t="s">
        <v>9590</v>
      </c>
      <c r="C3152" t="s">
        <v>4309</v>
      </c>
      <c r="F3152">
        <v>1</v>
      </c>
      <c r="G3152" s="1" t="s">
        <v>3268</v>
      </c>
      <c r="I3152" s="1" t="s">
        <v>11473</v>
      </c>
      <c r="O3152" t="s">
        <v>22</v>
      </c>
    </row>
    <row r="3153" spans="1:15">
      <c r="A3153" t="s">
        <v>7587</v>
      </c>
      <c r="B3153" t="s">
        <v>7587</v>
      </c>
      <c r="C3153" t="s">
        <v>7588</v>
      </c>
      <c r="F3153">
        <v>1</v>
      </c>
      <c r="G3153" s="1" t="s">
        <v>3269</v>
      </c>
      <c r="I3153" s="1" t="s">
        <v>11473</v>
      </c>
      <c r="O3153" t="s">
        <v>22</v>
      </c>
    </row>
    <row r="3154" spans="1:15">
      <c r="A3154" t="s">
        <v>7744</v>
      </c>
      <c r="B3154" t="s">
        <v>7744</v>
      </c>
      <c r="C3154" t="s">
        <v>5172</v>
      </c>
      <c r="F3154">
        <v>1</v>
      </c>
      <c r="G3154" s="1" t="s">
        <v>3270</v>
      </c>
      <c r="I3154" s="1" t="s">
        <v>11473</v>
      </c>
      <c r="O3154" t="s">
        <v>22</v>
      </c>
    </row>
    <row r="3155" spans="1:15">
      <c r="A3155" t="s">
        <v>9977</v>
      </c>
      <c r="B3155" t="s">
        <v>9977</v>
      </c>
      <c r="C3155" t="s">
        <v>9978</v>
      </c>
      <c r="F3155">
        <v>1</v>
      </c>
      <c r="G3155" s="1" t="s">
        <v>3271</v>
      </c>
      <c r="I3155" s="1" t="s">
        <v>11473</v>
      </c>
      <c r="O3155" t="s">
        <v>22</v>
      </c>
    </row>
    <row r="3156" spans="1:15">
      <c r="A3156" t="s">
        <v>5967</v>
      </c>
      <c r="B3156" t="s">
        <v>5967</v>
      </c>
      <c r="C3156" t="s">
        <v>5968</v>
      </c>
      <c r="F3156">
        <v>1</v>
      </c>
      <c r="G3156" s="1" t="s">
        <v>3272</v>
      </c>
      <c r="I3156" s="1" t="s">
        <v>11473</v>
      </c>
      <c r="O3156" t="s">
        <v>22</v>
      </c>
    </row>
    <row r="3157" spans="1:15">
      <c r="A3157" t="s">
        <v>10685</v>
      </c>
      <c r="B3157" t="s">
        <v>10685</v>
      </c>
      <c r="C3157" t="s">
        <v>4329</v>
      </c>
      <c r="F3157">
        <v>1</v>
      </c>
      <c r="G3157" s="1" t="s">
        <v>3273</v>
      </c>
      <c r="I3157" s="1" t="s">
        <v>11473</v>
      </c>
      <c r="O3157" t="s">
        <v>22</v>
      </c>
    </row>
    <row r="3158" spans="1:15">
      <c r="A3158" t="s">
        <v>5482</v>
      </c>
      <c r="B3158" t="s">
        <v>5482</v>
      </c>
      <c r="C3158" t="s">
        <v>5037</v>
      </c>
      <c r="F3158">
        <v>1</v>
      </c>
      <c r="G3158" s="1" t="s">
        <v>3274</v>
      </c>
      <c r="I3158" s="1" t="s">
        <v>11473</v>
      </c>
      <c r="O3158" t="s">
        <v>22</v>
      </c>
    </row>
    <row r="3159" spans="1:15">
      <c r="A3159" t="s">
        <v>6322</v>
      </c>
      <c r="B3159" t="s">
        <v>6322</v>
      </c>
      <c r="C3159" t="s">
        <v>5037</v>
      </c>
      <c r="F3159">
        <v>1</v>
      </c>
      <c r="G3159" s="1" t="s">
        <v>3275</v>
      </c>
      <c r="I3159" s="1" t="s">
        <v>11473</v>
      </c>
      <c r="O3159" t="s">
        <v>22</v>
      </c>
    </row>
    <row r="3160" spans="1:15">
      <c r="A3160" t="s">
        <v>6323</v>
      </c>
      <c r="B3160" t="s">
        <v>6323</v>
      </c>
      <c r="C3160" t="s">
        <v>5037</v>
      </c>
      <c r="F3160">
        <v>1</v>
      </c>
      <c r="G3160" s="1" t="s">
        <v>3276</v>
      </c>
      <c r="I3160" s="1" t="s">
        <v>11473</v>
      </c>
      <c r="O3160" t="s">
        <v>22</v>
      </c>
    </row>
    <row r="3161" spans="1:15">
      <c r="A3161" t="s">
        <v>8392</v>
      </c>
      <c r="B3161" t="s">
        <v>8392</v>
      </c>
      <c r="C3161" t="s">
        <v>4832</v>
      </c>
      <c r="F3161">
        <v>1</v>
      </c>
      <c r="G3161" s="1" t="s">
        <v>3277</v>
      </c>
      <c r="I3161" s="1" t="s">
        <v>11473</v>
      </c>
      <c r="O3161" t="s">
        <v>22</v>
      </c>
    </row>
    <row r="3162" spans="1:15">
      <c r="A3162" t="s">
        <v>7576</v>
      </c>
      <c r="B3162" t="s">
        <v>7576</v>
      </c>
      <c r="C3162" t="s">
        <v>7577</v>
      </c>
      <c r="F3162">
        <v>1</v>
      </c>
      <c r="G3162" s="1" t="s">
        <v>3278</v>
      </c>
      <c r="I3162" s="1" t="s">
        <v>11473</v>
      </c>
      <c r="O3162" t="s">
        <v>22</v>
      </c>
    </row>
    <row r="3163" spans="1:15">
      <c r="A3163" t="s">
        <v>8249</v>
      </c>
      <c r="B3163" t="s">
        <v>8249</v>
      </c>
      <c r="C3163" t="s">
        <v>7577</v>
      </c>
      <c r="F3163">
        <v>1</v>
      </c>
      <c r="G3163" s="1" t="s">
        <v>3279</v>
      </c>
      <c r="I3163" s="1" t="s">
        <v>11473</v>
      </c>
      <c r="O3163" t="s">
        <v>22</v>
      </c>
    </row>
    <row r="3164" spans="1:15">
      <c r="A3164" t="s">
        <v>8354</v>
      </c>
      <c r="B3164" t="s">
        <v>8354</v>
      </c>
      <c r="C3164" t="s">
        <v>8355</v>
      </c>
      <c r="F3164">
        <v>1</v>
      </c>
      <c r="G3164" s="1" t="s">
        <v>3280</v>
      </c>
      <c r="I3164" s="1" t="s">
        <v>11473</v>
      </c>
      <c r="O3164" t="s">
        <v>22</v>
      </c>
    </row>
    <row r="3165" spans="1:15">
      <c r="A3165" t="s">
        <v>6525</v>
      </c>
      <c r="B3165" t="s">
        <v>6525</v>
      </c>
      <c r="C3165" t="s">
        <v>4995</v>
      </c>
      <c r="F3165">
        <v>1</v>
      </c>
      <c r="G3165" s="1" t="s">
        <v>3281</v>
      </c>
      <c r="I3165" s="1" t="s">
        <v>11473</v>
      </c>
      <c r="O3165" t="s">
        <v>22</v>
      </c>
    </row>
    <row r="3166" spans="1:15">
      <c r="A3166" t="s">
        <v>8385</v>
      </c>
      <c r="B3166" t="s">
        <v>8385</v>
      </c>
      <c r="C3166" t="s">
        <v>5392</v>
      </c>
      <c r="F3166">
        <v>1</v>
      </c>
      <c r="G3166" s="1" t="s">
        <v>3282</v>
      </c>
      <c r="I3166" s="1" t="s">
        <v>11473</v>
      </c>
      <c r="O3166" t="s">
        <v>22</v>
      </c>
    </row>
    <row r="3167" spans="1:15">
      <c r="A3167" t="s">
        <v>8243</v>
      </c>
      <c r="B3167" t="s">
        <v>8243</v>
      </c>
      <c r="C3167" t="s">
        <v>4319</v>
      </c>
      <c r="F3167">
        <v>1</v>
      </c>
      <c r="G3167" s="1" t="s">
        <v>3283</v>
      </c>
      <c r="I3167" s="1" t="s">
        <v>11473</v>
      </c>
      <c r="O3167" t="s">
        <v>22</v>
      </c>
    </row>
    <row r="3168" spans="1:15">
      <c r="A3168" t="s">
        <v>7746</v>
      </c>
      <c r="B3168" t="s">
        <v>7746</v>
      </c>
      <c r="C3168" t="s">
        <v>4787</v>
      </c>
      <c r="F3168">
        <v>1</v>
      </c>
      <c r="G3168" s="1" t="s">
        <v>3284</v>
      </c>
      <c r="I3168" s="1" t="s">
        <v>11473</v>
      </c>
      <c r="O3168" t="s">
        <v>22</v>
      </c>
    </row>
    <row r="3169" spans="1:15">
      <c r="A3169" t="s">
        <v>8390</v>
      </c>
      <c r="B3169" t="s">
        <v>8390</v>
      </c>
      <c r="C3169" t="s">
        <v>8391</v>
      </c>
      <c r="F3169">
        <v>1</v>
      </c>
      <c r="G3169" s="1" t="s">
        <v>3285</v>
      </c>
      <c r="I3169" s="1" t="s">
        <v>11473</v>
      </c>
      <c r="O3169" t="s">
        <v>22</v>
      </c>
    </row>
    <row r="3170" spans="1:15">
      <c r="A3170" t="s">
        <v>10154</v>
      </c>
      <c r="B3170" t="s">
        <v>10154</v>
      </c>
      <c r="C3170" t="s">
        <v>4851</v>
      </c>
      <c r="F3170">
        <v>1</v>
      </c>
      <c r="G3170" s="1" t="s">
        <v>3286</v>
      </c>
      <c r="I3170" s="1" t="s">
        <v>11473</v>
      </c>
      <c r="O3170" t="s">
        <v>22</v>
      </c>
    </row>
    <row r="3171" spans="1:15">
      <c r="A3171" t="s">
        <v>5715</v>
      </c>
      <c r="B3171" t="s">
        <v>5715</v>
      </c>
      <c r="C3171" t="s">
        <v>5716</v>
      </c>
      <c r="F3171">
        <v>1</v>
      </c>
      <c r="G3171" s="1" t="s">
        <v>3287</v>
      </c>
      <c r="I3171" s="1" t="s">
        <v>11473</v>
      </c>
      <c r="O3171" t="s">
        <v>22</v>
      </c>
    </row>
    <row r="3172" spans="1:15">
      <c r="A3172" t="s">
        <v>8394</v>
      </c>
      <c r="B3172" t="s">
        <v>8394</v>
      </c>
      <c r="C3172" t="s">
        <v>5716</v>
      </c>
      <c r="F3172">
        <v>1</v>
      </c>
      <c r="G3172" s="1" t="s">
        <v>3288</v>
      </c>
      <c r="I3172" s="1" t="s">
        <v>11473</v>
      </c>
      <c r="O3172" t="s">
        <v>22</v>
      </c>
    </row>
    <row r="3173" spans="1:15">
      <c r="A3173" t="s">
        <v>9175</v>
      </c>
      <c r="B3173" t="s">
        <v>9175</v>
      </c>
      <c r="C3173" t="s">
        <v>9176</v>
      </c>
      <c r="F3173">
        <v>1</v>
      </c>
      <c r="G3173" s="1" t="s">
        <v>3289</v>
      </c>
      <c r="I3173" s="1" t="s">
        <v>11473</v>
      </c>
      <c r="O3173" t="s">
        <v>22</v>
      </c>
    </row>
    <row r="3174" spans="1:15">
      <c r="A3174" t="s">
        <v>6338</v>
      </c>
      <c r="B3174" t="s">
        <v>6338</v>
      </c>
      <c r="C3174" t="s">
        <v>6339</v>
      </c>
      <c r="F3174">
        <v>1</v>
      </c>
      <c r="G3174" s="1" t="s">
        <v>3290</v>
      </c>
      <c r="I3174" s="1" t="s">
        <v>11473</v>
      </c>
      <c r="O3174" t="s">
        <v>22</v>
      </c>
    </row>
    <row r="3175" spans="1:15">
      <c r="A3175" t="s">
        <v>7001</v>
      </c>
      <c r="B3175" t="s">
        <v>7001</v>
      </c>
      <c r="C3175" t="s">
        <v>7002</v>
      </c>
      <c r="F3175">
        <v>1</v>
      </c>
      <c r="G3175" s="1" t="s">
        <v>3291</v>
      </c>
      <c r="I3175" s="1" t="s">
        <v>11473</v>
      </c>
      <c r="O3175" t="s">
        <v>22</v>
      </c>
    </row>
    <row r="3176" spans="1:15">
      <c r="A3176" t="s">
        <v>5533</v>
      </c>
      <c r="B3176" t="s">
        <v>5533</v>
      </c>
      <c r="C3176" t="s">
        <v>4322</v>
      </c>
      <c r="F3176">
        <v>1</v>
      </c>
      <c r="G3176" s="1" t="s">
        <v>3292</v>
      </c>
      <c r="I3176" s="1" t="s">
        <v>11473</v>
      </c>
      <c r="O3176" t="s">
        <v>22</v>
      </c>
    </row>
    <row r="3177" spans="1:15">
      <c r="A3177" t="s">
        <v>9831</v>
      </c>
      <c r="B3177" t="s">
        <v>9831</v>
      </c>
      <c r="C3177" t="s">
        <v>4737</v>
      </c>
      <c r="F3177">
        <v>1</v>
      </c>
      <c r="G3177" s="1" t="s">
        <v>3293</v>
      </c>
      <c r="I3177" s="1" t="s">
        <v>11473</v>
      </c>
      <c r="O3177" t="s">
        <v>22</v>
      </c>
    </row>
    <row r="3178" spans="1:15">
      <c r="A3178" t="s">
        <v>9091</v>
      </c>
      <c r="B3178" t="s">
        <v>9091</v>
      </c>
      <c r="C3178" t="s">
        <v>5314</v>
      </c>
      <c r="F3178">
        <v>1</v>
      </c>
      <c r="G3178" s="1" t="s">
        <v>3294</v>
      </c>
      <c r="I3178" s="1" t="s">
        <v>11473</v>
      </c>
      <c r="O3178" t="s">
        <v>22</v>
      </c>
    </row>
    <row r="3179" spans="1:15">
      <c r="A3179" t="s">
        <v>6329</v>
      </c>
      <c r="B3179" t="s">
        <v>6329</v>
      </c>
      <c r="C3179" t="s">
        <v>5179</v>
      </c>
      <c r="F3179">
        <v>1</v>
      </c>
      <c r="G3179" s="1" t="s">
        <v>3295</v>
      </c>
      <c r="I3179" s="1" t="s">
        <v>11473</v>
      </c>
      <c r="O3179" t="s">
        <v>22</v>
      </c>
    </row>
    <row r="3180" spans="1:15">
      <c r="A3180" t="s">
        <v>7362</v>
      </c>
      <c r="B3180" t="s">
        <v>7362</v>
      </c>
      <c r="C3180" t="s">
        <v>5179</v>
      </c>
      <c r="F3180">
        <v>1</v>
      </c>
      <c r="G3180" s="1" t="s">
        <v>3296</v>
      </c>
      <c r="I3180" s="1" t="s">
        <v>11473</v>
      </c>
      <c r="O3180" t="s">
        <v>22</v>
      </c>
    </row>
    <row r="3181" spans="1:15">
      <c r="A3181" t="s">
        <v>9577</v>
      </c>
      <c r="B3181" t="s">
        <v>9577</v>
      </c>
      <c r="C3181" t="s">
        <v>5227</v>
      </c>
      <c r="F3181">
        <v>1</v>
      </c>
      <c r="G3181" s="1" t="s">
        <v>3297</v>
      </c>
      <c r="I3181" s="1" t="s">
        <v>11473</v>
      </c>
      <c r="O3181" t="s">
        <v>22</v>
      </c>
    </row>
    <row r="3182" spans="1:15">
      <c r="A3182" t="s">
        <v>7751</v>
      </c>
      <c r="B3182" t="s">
        <v>7751</v>
      </c>
      <c r="C3182" t="s">
        <v>7752</v>
      </c>
      <c r="F3182">
        <v>1</v>
      </c>
      <c r="G3182" s="1" t="s">
        <v>3298</v>
      </c>
      <c r="I3182" s="1" t="s">
        <v>11473</v>
      </c>
      <c r="O3182" t="s">
        <v>22</v>
      </c>
    </row>
    <row r="3183" spans="1:15">
      <c r="A3183" t="s">
        <v>10395</v>
      </c>
      <c r="B3183" t="s">
        <v>10395</v>
      </c>
      <c r="C3183" t="s">
        <v>7752</v>
      </c>
      <c r="F3183">
        <v>1</v>
      </c>
      <c r="G3183" s="1" t="s">
        <v>3299</v>
      </c>
      <c r="I3183" s="1" t="s">
        <v>11473</v>
      </c>
      <c r="O3183" t="s">
        <v>22</v>
      </c>
    </row>
    <row r="3184" spans="1:15">
      <c r="A3184" t="s">
        <v>8217</v>
      </c>
      <c r="B3184" t="s">
        <v>8217</v>
      </c>
      <c r="C3184" t="s">
        <v>8218</v>
      </c>
      <c r="F3184">
        <v>1</v>
      </c>
      <c r="G3184" s="1" t="s">
        <v>3300</v>
      </c>
      <c r="I3184" s="1" t="s">
        <v>11473</v>
      </c>
      <c r="O3184" t="s">
        <v>22</v>
      </c>
    </row>
    <row r="3185" spans="1:15">
      <c r="A3185" t="s">
        <v>10943</v>
      </c>
      <c r="B3185" t="s">
        <v>10943</v>
      </c>
      <c r="C3185" t="s">
        <v>8218</v>
      </c>
      <c r="F3185">
        <v>1</v>
      </c>
      <c r="G3185" s="1" t="s">
        <v>3301</v>
      </c>
      <c r="I3185" s="1" t="s">
        <v>11473</v>
      </c>
      <c r="O3185" t="s">
        <v>22</v>
      </c>
    </row>
    <row r="3186" spans="1:15">
      <c r="A3186" t="s">
        <v>10672</v>
      </c>
      <c r="B3186" t="s">
        <v>10672</v>
      </c>
      <c r="C3186" t="s">
        <v>4314</v>
      </c>
      <c r="F3186">
        <v>1</v>
      </c>
      <c r="G3186" s="1" t="s">
        <v>3302</v>
      </c>
      <c r="I3186" s="1" t="s">
        <v>11473</v>
      </c>
      <c r="O3186" t="s">
        <v>22</v>
      </c>
    </row>
    <row r="3187" spans="1:15">
      <c r="A3187" t="s">
        <v>10713</v>
      </c>
      <c r="B3187" t="s">
        <v>10713</v>
      </c>
      <c r="C3187" t="s">
        <v>4314</v>
      </c>
      <c r="F3187">
        <v>1</v>
      </c>
      <c r="G3187" s="1" t="s">
        <v>3303</v>
      </c>
      <c r="I3187" s="1" t="s">
        <v>11473</v>
      </c>
      <c r="O3187" t="s">
        <v>22</v>
      </c>
    </row>
    <row r="3188" spans="1:15">
      <c r="A3188" t="s">
        <v>10782</v>
      </c>
      <c r="B3188" t="s">
        <v>10782</v>
      </c>
      <c r="C3188" t="s">
        <v>4314</v>
      </c>
      <c r="F3188">
        <v>1</v>
      </c>
      <c r="G3188" s="1" t="s">
        <v>3304</v>
      </c>
      <c r="I3188" s="1" t="s">
        <v>11473</v>
      </c>
      <c r="O3188" t="s">
        <v>22</v>
      </c>
    </row>
    <row r="3189" spans="1:15">
      <c r="A3189" t="s">
        <v>7565</v>
      </c>
      <c r="B3189" t="s">
        <v>7565</v>
      </c>
      <c r="C3189" t="s">
        <v>7566</v>
      </c>
      <c r="F3189">
        <v>1</v>
      </c>
      <c r="G3189" s="1" t="s">
        <v>3305</v>
      </c>
      <c r="I3189" s="1" t="s">
        <v>11473</v>
      </c>
      <c r="O3189" t="s">
        <v>22</v>
      </c>
    </row>
    <row r="3190" spans="1:15">
      <c r="A3190" t="s">
        <v>7575</v>
      </c>
      <c r="B3190" t="s">
        <v>7575</v>
      </c>
      <c r="C3190" t="s">
        <v>7566</v>
      </c>
      <c r="F3190">
        <v>1</v>
      </c>
      <c r="G3190" s="1" t="s">
        <v>3306</v>
      </c>
      <c r="I3190" s="1" t="s">
        <v>11473</v>
      </c>
      <c r="O3190" t="s">
        <v>22</v>
      </c>
    </row>
    <row r="3191" spans="1:15">
      <c r="A3191" t="s">
        <v>8225</v>
      </c>
      <c r="B3191" t="s">
        <v>8225</v>
      </c>
      <c r="C3191" t="s">
        <v>8226</v>
      </c>
      <c r="F3191">
        <v>1</v>
      </c>
      <c r="G3191" s="1" t="s">
        <v>3307</v>
      </c>
      <c r="I3191" s="1" t="s">
        <v>11473</v>
      </c>
      <c r="O3191" t="s">
        <v>22</v>
      </c>
    </row>
    <row r="3192" spans="1:15">
      <c r="A3192" t="s">
        <v>10942</v>
      </c>
      <c r="B3192" t="s">
        <v>10942</v>
      </c>
      <c r="C3192" t="s">
        <v>8226</v>
      </c>
      <c r="F3192">
        <v>1</v>
      </c>
      <c r="G3192" s="1" t="s">
        <v>3308</v>
      </c>
      <c r="I3192" s="1" t="s">
        <v>11473</v>
      </c>
      <c r="O3192" t="s">
        <v>22</v>
      </c>
    </row>
    <row r="3193" spans="1:15">
      <c r="A3193" t="s">
        <v>10000</v>
      </c>
      <c r="B3193" t="s">
        <v>10000</v>
      </c>
      <c r="C3193" t="s">
        <v>10001</v>
      </c>
      <c r="F3193">
        <v>1</v>
      </c>
      <c r="G3193" s="1" t="s">
        <v>3309</v>
      </c>
      <c r="I3193" s="1" t="s">
        <v>11473</v>
      </c>
      <c r="O3193" t="s">
        <v>22</v>
      </c>
    </row>
    <row r="3194" spans="1:15">
      <c r="A3194" t="s">
        <v>10712</v>
      </c>
      <c r="B3194" t="s">
        <v>10712</v>
      </c>
      <c r="C3194" t="s">
        <v>10001</v>
      </c>
      <c r="F3194">
        <v>1</v>
      </c>
      <c r="G3194" s="1" t="s">
        <v>3310</v>
      </c>
      <c r="I3194" s="1" t="s">
        <v>11473</v>
      </c>
      <c r="O3194" t="s">
        <v>22</v>
      </c>
    </row>
    <row r="3195" spans="1:15">
      <c r="A3195" t="s">
        <v>6359</v>
      </c>
      <c r="B3195" t="s">
        <v>6359</v>
      </c>
      <c r="C3195" t="s">
        <v>4178</v>
      </c>
      <c r="F3195">
        <v>1</v>
      </c>
      <c r="G3195" s="1" t="s">
        <v>3311</v>
      </c>
      <c r="I3195" s="1" t="s">
        <v>11473</v>
      </c>
      <c r="O3195" t="s">
        <v>22</v>
      </c>
    </row>
    <row r="3196" spans="1:15">
      <c r="A3196" t="s">
        <v>8246</v>
      </c>
      <c r="B3196" t="s">
        <v>8246</v>
      </c>
      <c r="C3196" t="s">
        <v>4178</v>
      </c>
      <c r="F3196">
        <v>1</v>
      </c>
      <c r="G3196" s="1" t="s">
        <v>3312</v>
      </c>
      <c r="I3196" s="1" t="s">
        <v>11473</v>
      </c>
      <c r="O3196" t="s">
        <v>22</v>
      </c>
    </row>
    <row r="3197" spans="1:15">
      <c r="A3197" t="s">
        <v>9656</v>
      </c>
      <c r="B3197" t="s">
        <v>9656</v>
      </c>
      <c r="C3197" t="s">
        <v>4178</v>
      </c>
      <c r="F3197">
        <v>1</v>
      </c>
      <c r="G3197" s="1" t="s">
        <v>3313</v>
      </c>
      <c r="I3197" s="1" t="s">
        <v>11473</v>
      </c>
      <c r="O3197" t="s">
        <v>22</v>
      </c>
    </row>
    <row r="3198" spans="1:15">
      <c r="A3198" t="s">
        <v>9821</v>
      </c>
      <c r="B3198" t="s">
        <v>9821</v>
      </c>
      <c r="C3198" t="s">
        <v>5270</v>
      </c>
      <c r="F3198">
        <v>1</v>
      </c>
      <c r="G3198" s="1" t="s">
        <v>3314</v>
      </c>
      <c r="I3198" s="1" t="s">
        <v>11473</v>
      </c>
      <c r="O3198" t="s">
        <v>22</v>
      </c>
    </row>
    <row r="3199" spans="1:15">
      <c r="A3199" t="s">
        <v>10881</v>
      </c>
      <c r="B3199" t="s">
        <v>10881</v>
      </c>
      <c r="C3199" t="s">
        <v>10882</v>
      </c>
      <c r="F3199">
        <v>1</v>
      </c>
      <c r="G3199" s="1" t="s">
        <v>3315</v>
      </c>
      <c r="I3199" s="1" t="s">
        <v>11473</v>
      </c>
      <c r="O3199" t="s">
        <v>22</v>
      </c>
    </row>
    <row r="3200" spans="1:15">
      <c r="A3200" t="s">
        <v>5539</v>
      </c>
      <c r="B3200" t="s">
        <v>5539</v>
      </c>
      <c r="C3200" t="s">
        <v>4183</v>
      </c>
      <c r="F3200">
        <v>1</v>
      </c>
      <c r="G3200" s="1" t="s">
        <v>3316</v>
      </c>
      <c r="I3200" s="1" t="s">
        <v>11473</v>
      </c>
      <c r="O3200" t="s">
        <v>22</v>
      </c>
    </row>
    <row r="3201" spans="1:15">
      <c r="A3201" t="s">
        <v>5960</v>
      </c>
      <c r="B3201" t="s">
        <v>5960</v>
      </c>
      <c r="C3201" t="s">
        <v>5961</v>
      </c>
      <c r="F3201">
        <v>1</v>
      </c>
      <c r="G3201" s="1" t="s">
        <v>3317</v>
      </c>
      <c r="I3201" s="1" t="s">
        <v>11473</v>
      </c>
      <c r="O3201" t="s">
        <v>22</v>
      </c>
    </row>
    <row r="3202" spans="1:15">
      <c r="A3202" t="s">
        <v>10701</v>
      </c>
      <c r="B3202" t="s">
        <v>10701</v>
      </c>
      <c r="C3202" t="s">
        <v>10702</v>
      </c>
      <c r="F3202">
        <v>1</v>
      </c>
      <c r="G3202" s="1" t="s">
        <v>3318</v>
      </c>
      <c r="I3202" s="1" t="s">
        <v>11473</v>
      </c>
      <c r="O3202" t="s">
        <v>22</v>
      </c>
    </row>
    <row r="3203" spans="1:15">
      <c r="A3203" t="s">
        <v>10436</v>
      </c>
      <c r="B3203" t="s">
        <v>10436</v>
      </c>
      <c r="C3203" t="s">
        <v>10437</v>
      </c>
      <c r="F3203">
        <v>1</v>
      </c>
      <c r="G3203" s="1" t="s">
        <v>3319</v>
      </c>
      <c r="I3203" s="1" t="s">
        <v>11473</v>
      </c>
      <c r="O3203" t="s">
        <v>22</v>
      </c>
    </row>
    <row r="3204" spans="1:15">
      <c r="A3204" t="s">
        <v>10687</v>
      </c>
      <c r="B3204" t="s">
        <v>10687</v>
      </c>
      <c r="C3204" t="s">
        <v>4079</v>
      </c>
      <c r="F3204">
        <v>1</v>
      </c>
      <c r="G3204" s="1" t="s">
        <v>3320</v>
      </c>
      <c r="I3204" s="1" t="s">
        <v>11473</v>
      </c>
      <c r="O3204" t="s">
        <v>22</v>
      </c>
    </row>
    <row r="3205" spans="1:15">
      <c r="A3205" t="s">
        <v>9113</v>
      </c>
      <c r="B3205" t="s">
        <v>9113</v>
      </c>
      <c r="C3205" t="s">
        <v>5039</v>
      </c>
      <c r="F3205">
        <v>1</v>
      </c>
      <c r="G3205" s="1" t="s">
        <v>3321</v>
      </c>
      <c r="I3205" s="1" t="s">
        <v>11473</v>
      </c>
      <c r="O3205" t="s">
        <v>22</v>
      </c>
    </row>
    <row r="3206" spans="1:15">
      <c r="A3206" t="s">
        <v>8253</v>
      </c>
      <c r="B3206" t="s">
        <v>8253</v>
      </c>
      <c r="C3206" t="s">
        <v>8254</v>
      </c>
      <c r="F3206">
        <v>1</v>
      </c>
      <c r="G3206" s="1" t="s">
        <v>3322</v>
      </c>
      <c r="I3206" s="1" t="s">
        <v>11473</v>
      </c>
      <c r="O3206" t="s">
        <v>22</v>
      </c>
    </row>
    <row r="3207" spans="1:15">
      <c r="A3207" t="s">
        <v>5493</v>
      </c>
      <c r="B3207" t="s">
        <v>5493</v>
      </c>
      <c r="C3207" t="s">
        <v>5494</v>
      </c>
      <c r="F3207">
        <v>1</v>
      </c>
      <c r="G3207" s="1" t="s">
        <v>3323</v>
      </c>
      <c r="I3207" s="1" t="s">
        <v>11473</v>
      </c>
      <c r="O3207" t="s">
        <v>22</v>
      </c>
    </row>
    <row r="3208" spans="1:15">
      <c r="A3208" t="s">
        <v>7381</v>
      </c>
      <c r="B3208" t="s">
        <v>7381</v>
      </c>
      <c r="C3208" t="s">
        <v>7382</v>
      </c>
      <c r="F3208">
        <v>1</v>
      </c>
      <c r="G3208" s="1" t="s">
        <v>3324</v>
      </c>
      <c r="I3208" s="1" t="s">
        <v>11473</v>
      </c>
      <c r="O3208" t="s">
        <v>22</v>
      </c>
    </row>
    <row r="3209" spans="1:15">
      <c r="A3209" t="s">
        <v>9813</v>
      </c>
      <c r="B3209" t="s">
        <v>9813</v>
      </c>
      <c r="C3209" t="s">
        <v>5340</v>
      </c>
      <c r="F3209">
        <v>1</v>
      </c>
      <c r="G3209" s="1" t="s">
        <v>3325</v>
      </c>
      <c r="I3209" s="1" t="s">
        <v>11473</v>
      </c>
      <c r="O3209" t="s">
        <v>22</v>
      </c>
    </row>
    <row r="3210" spans="1:15">
      <c r="A3210" t="s">
        <v>6346</v>
      </c>
      <c r="B3210" t="s">
        <v>6346</v>
      </c>
      <c r="C3210" t="s">
        <v>4385</v>
      </c>
      <c r="F3210">
        <v>1</v>
      </c>
      <c r="G3210" s="1" t="s">
        <v>3326</v>
      </c>
      <c r="I3210" s="1" t="s">
        <v>11473</v>
      </c>
      <c r="O3210" t="s">
        <v>22</v>
      </c>
    </row>
    <row r="3211" spans="1:15">
      <c r="A3211" t="s">
        <v>7578</v>
      </c>
      <c r="B3211" t="s">
        <v>7578</v>
      </c>
      <c r="C3211" t="s">
        <v>5230</v>
      </c>
      <c r="F3211">
        <v>1</v>
      </c>
      <c r="G3211" s="1" t="s">
        <v>3327</v>
      </c>
      <c r="I3211" s="1" t="s">
        <v>11473</v>
      </c>
      <c r="O3211" t="s">
        <v>22</v>
      </c>
    </row>
    <row r="3212" spans="1:15">
      <c r="A3212" t="s">
        <v>5518</v>
      </c>
      <c r="B3212" t="s">
        <v>5518</v>
      </c>
      <c r="C3212" t="s">
        <v>4779</v>
      </c>
      <c r="F3212">
        <v>1</v>
      </c>
      <c r="G3212" s="1" t="s">
        <v>3328</v>
      </c>
      <c r="I3212" s="1" t="s">
        <v>11473</v>
      </c>
      <c r="O3212" t="s">
        <v>22</v>
      </c>
    </row>
    <row r="3213" spans="1:15">
      <c r="A3213" t="s">
        <v>7572</v>
      </c>
      <c r="B3213" t="s">
        <v>7572</v>
      </c>
      <c r="C3213" t="s">
        <v>4779</v>
      </c>
      <c r="F3213">
        <v>1</v>
      </c>
      <c r="G3213" s="1" t="s">
        <v>3329</v>
      </c>
      <c r="I3213" s="1" t="s">
        <v>11473</v>
      </c>
      <c r="O3213" t="s">
        <v>22</v>
      </c>
    </row>
    <row r="3214" spans="1:15">
      <c r="A3214" t="s">
        <v>6348</v>
      </c>
      <c r="B3214" t="s">
        <v>6348</v>
      </c>
      <c r="C3214" t="s">
        <v>4974</v>
      </c>
      <c r="F3214">
        <v>1</v>
      </c>
      <c r="G3214" s="1" t="s">
        <v>3330</v>
      </c>
      <c r="I3214" s="1" t="s">
        <v>11473</v>
      </c>
      <c r="O3214" t="s">
        <v>22</v>
      </c>
    </row>
    <row r="3215" spans="1:15">
      <c r="A3215" t="s">
        <v>8378</v>
      </c>
      <c r="B3215" t="s">
        <v>8378</v>
      </c>
      <c r="C3215" t="s">
        <v>4974</v>
      </c>
      <c r="F3215">
        <v>1</v>
      </c>
      <c r="G3215" s="1" t="s">
        <v>3331</v>
      </c>
      <c r="I3215" s="1" t="s">
        <v>11473</v>
      </c>
      <c r="O3215" t="s">
        <v>22</v>
      </c>
    </row>
    <row r="3216" spans="1:15">
      <c r="A3216" t="s">
        <v>8442</v>
      </c>
      <c r="B3216" t="s">
        <v>8442</v>
      </c>
      <c r="C3216" t="s">
        <v>4974</v>
      </c>
      <c r="F3216">
        <v>1</v>
      </c>
      <c r="G3216" s="1" t="s">
        <v>3332</v>
      </c>
      <c r="I3216" s="1" t="s">
        <v>11473</v>
      </c>
      <c r="O3216" t="s">
        <v>22</v>
      </c>
    </row>
    <row r="3217" spans="1:15">
      <c r="A3217" t="s">
        <v>7591</v>
      </c>
      <c r="B3217" t="s">
        <v>7591</v>
      </c>
      <c r="C3217" t="s">
        <v>7592</v>
      </c>
      <c r="F3217">
        <v>1</v>
      </c>
      <c r="G3217" s="1" t="s">
        <v>3333</v>
      </c>
      <c r="I3217" s="1" t="s">
        <v>11473</v>
      </c>
      <c r="O3217" t="s">
        <v>22</v>
      </c>
    </row>
    <row r="3218" spans="1:15">
      <c r="A3218" t="s">
        <v>8027</v>
      </c>
      <c r="B3218" t="s">
        <v>8027</v>
      </c>
      <c r="C3218" t="s">
        <v>8028</v>
      </c>
      <c r="F3218">
        <v>1</v>
      </c>
      <c r="G3218" s="1" t="s">
        <v>3334</v>
      </c>
      <c r="I3218" s="1" t="s">
        <v>11473</v>
      </c>
      <c r="O3218" t="s">
        <v>22</v>
      </c>
    </row>
    <row r="3219" spans="1:15">
      <c r="A3219" t="s">
        <v>6362</v>
      </c>
      <c r="B3219" t="s">
        <v>6362</v>
      </c>
      <c r="C3219" t="s">
        <v>6363</v>
      </c>
      <c r="F3219">
        <v>1</v>
      </c>
      <c r="G3219" s="1" t="s">
        <v>3335</v>
      </c>
      <c r="I3219" s="1" t="s">
        <v>11473</v>
      </c>
      <c r="O3219" t="s">
        <v>22</v>
      </c>
    </row>
    <row r="3220" spans="1:15">
      <c r="A3220" t="s">
        <v>5706</v>
      </c>
      <c r="B3220" t="s">
        <v>5706</v>
      </c>
      <c r="C3220" t="s">
        <v>5707</v>
      </c>
      <c r="F3220">
        <v>1</v>
      </c>
      <c r="G3220" s="1" t="s">
        <v>3336</v>
      </c>
      <c r="I3220" s="1" t="s">
        <v>11473</v>
      </c>
      <c r="O3220" t="s">
        <v>22</v>
      </c>
    </row>
    <row r="3221" spans="1:15">
      <c r="A3221" t="s">
        <v>6360</v>
      </c>
      <c r="B3221" t="s">
        <v>6360</v>
      </c>
      <c r="C3221" t="s">
        <v>5707</v>
      </c>
      <c r="F3221">
        <v>1</v>
      </c>
      <c r="G3221" s="1" t="s">
        <v>3337</v>
      </c>
      <c r="I3221" s="1" t="s">
        <v>11473</v>
      </c>
      <c r="O3221" t="s">
        <v>22</v>
      </c>
    </row>
    <row r="3222" spans="1:15">
      <c r="A3222" t="s">
        <v>10100</v>
      </c>
      <c r="B3222" t="s">
        <v>10100</v>
      </c>
      <c r="C3222" t="s">
        <v>5707</v>
      </c>
      <c r="F3222">
        <v>1</v>
      </c>
      <c r="G3222" s="1" t="s">
        <v>3338</v>
      </c>
      <c r="I3222" s="1" t="s">
        <v>11473</v>
      </c>
      <c r="O3222" t="s">
        <v>22</v>
      </c>
    </row>
    <row r="3223" spans="1:15">
      <c r="A3223" t="s">
        <v>7552</v>
      </c>
      <c r="B3223" t="s">
        <v>7552</v>
      </c>
      <c r="C3223" t="s">
        <v>5398</v>
      </c>
      <c r="F3223">
        <v>1</v>
      </c>
      <c r="G3223" s="1" t="s">
        <v>3339</v>
      </c>
      <c r="I3223" s="1" t="s">
        <v>11473</v>
      </c>
      <c r="O3223" t="s">
        <v>22</v>
      </c>
    </row>
    <row r="3224" spans="1:15">
      <c r="A3224" t="s">
        <v>7749</v>
      </c>
      <c r="B3224" t="s">
        <v>7749</v>
      </c>
      <c r="C3224" t="s">
        <v>5341</v>
      </c>
      <c r="F3224">
        <v>1</v>
      </c>
      <c r="G3224" s="1" t="s">
        <v>3340</v>
      </c>
      <c r="I3224" s="1" t="s">
        <v>11473</v>
      </c>
      <c r="O3224" t="s">
        <v>22</v>
      </c>
    </row>
    <row r="3225" spans="1:15">
      <c r="A3225" t="s">
        <v>4200</v>
      </c>
      <c r="B3225" t="s">
        <v>4200</v>
      </c>
      <c r="C3225" t="s">
        <v>10899</v>
      </c>
      <c r="F3225">
        <v>1</v>
      </c>
      <c r="G3225" s="1" t="s">
        <v>3341</v>
      </c>
      <c r="I3225" s="1" t="s">
        <v>11473</v>
      </c>
      <c r="O3225" t="s">
        <v>22</v>
      </c>
    </row>
    <row r="3226" spans="1:15">
      <c r="A3226" t="s">
        <v>6330</v>
      </c>
      <c r="B3226" t="s">
        <v>6330</v>
      </c>
      <c r="C3226" t="s">
        <v>5339</v>
      </c>
      <c r="F3226">
        <v>1</v>
      </c>
      <c r="G3226" s="1" t="s">
        <v>3342</v>
      </c>
      <c r="I3226" s="1" t="s">
        <v>11473</v>
      </c>
      <c r="O3226" t="s">
        <v>22</v>
      </c>
    </row>
    <row r="3227" spans="1:15">
      <c r="A3227" t="s">
        <v>7563</v>
      </c>
      <c r="B3227" t="s">
        <v>7563</v>
      </c>
      <c r="C3227" t="s">
        <v>7564</v>
      </c>
      <c r="F3227">
        <v>1</v>
      </c>
      <c r="G3227" s="1" t="s">
        <v>3343</v>
      </c>
      <c r="I3227" s="1" t="s">
        <v>11473</v>
      </c>
      <c r="O3227" t="s">
        <v>22</v>
      </c>
    </row>
    <row r="3228" spans="1:15">
      <c r="A3228" t="s">
        <v>9334</v>
      </c>
      <c r="B3228" t="s">
        <v>9334</v>
      </c>
      <c r="C3228" t="s">
        <v>9335</v>
      </c>
      <c r="F3228">
        <v>1</v>
      </c>
      <c r="G3228" s="1" t="s">
        <v>3344</v>
      </c>
      <c r="I3228" s="1" t="s">
        <v>11473</v>
      </c>
      <c r="O3228" t="s">
        <v>22</v>
      </c>
    </row>
    <row r="3229" spans="1:15">
      <c r="A3229" t="s">
        <v>10718</v>
      </c>
      <c r="B3229" t="s">
        <v>10718</v>
      </c>
      <c r="C3229" t="s">
        <v>10719</v>
      </c>
      <c r="F3229">
        <v>1</v>
      </c>
      <c r="G3229" s="1" t="s">
        <v>3345</v>
      </c>
      <c r="I3229" s="1" t="s">
        <v>11473</v>
      </c>
      <c r="O3229" t="s">
        <v>22</v>
      </c>
    </row>
    <row r="3230" spans="1:15">
      <c r="A3230" t="s">
        <v>11019</v>
      </c>
      <c r="B3230" t="s">
        <v>11019</v>
      </c>
      <c r="C3230" t="s">
        <v>4321</v>
      </c>
      <c r="F3230">
        <v>1</v>
      </c>
      <c r="G3230" s="1" t="s">
        <v>3346</v>
      </c>
      <c r="I3230" s="1" t="s">
        <v>11473</v>
      </c>
      <c r="O3230" t="s">
        <v>22</v>
      </c>
    </row>
    <row r="3231" spans="1:15">
      <c r="A3231" t="s">
        <v>11142</v>
      </c>
      <c r="B3231" t="s">
        <v>11142</v>
      </c>
      <c r="C3231" t="s">
        <v>4326</v>
      </c>
      <c r="F3231">
        <v>1</v>
      </c>
      <c r="G3231" s="1" t="s">
        <v>3347</v>
      </c>
      <c r="I3231" s="1" t="s">
        <v>11473</v>
      </c>
      <c r="O3231" t="s">
        <v>22</v>
      </c>
    </row>
    <row r="3232" spans="1:15">
      <c r="A3232" t="s">
        <v>6540</v>
      </c>
      <c r="B3232" t="s">
        <v>6540</v>
      </c>
      <c r="C3232" t="s">
        <v>4941</v>
      </c>
      <c r="F3232">
        <v>1</v>
      </c>
      <c r="G3232" s="1" t="s">
        <v>3348</v>
      </c>
      <c r="I3232" s="1" t="s">
        <v>11473</v>
      </c>
      <c r="O3232" t="s">
        <v>22</v>
      </c>
    </row>
    <row r="3233" spans="1:15">
      <c r="A3233" t="s">
        <v>6931</v>
      </c>
      <c r="B3233" t="s">
        <v>6931</v>
      </c>
      <c r="C3233" t="s">
        <v>4941</v>
      </c>
      <c r="F3233">
        <v>1</v>
      </c>
      <c r="G3233" s="1" t="s">
        <v>3349</v>
      </c>
      <c r="I3233" s="1" t="s">
        <v>11473</v>
      </c>
      <c r="O3233" t="s">
        <v>22</v>
      </c>
    </row>
    <row r="3234" spans="1:15">
      <c r="A3234" t="s">
        <v>7356</v>
      </c>
      <c r="B3234" t="s">
        <v>7356</v>
      </c>
      <c r="C3234" t="s">
        <v>4756</v>
      </c>
      <c r="F3234">
        <v>1</v>
      </c>
      <c r="G3234" s="1" t="s">
        <v>3350</v>
      </c>
      <c r="I3234" s="1" t="s">
        <v>11473</v>
      </c>
      <c r="O3234" t="s">
        <v>22</v>
      </c>
    </row>
    <row r="3235" spans="1:15">
      <c r="A3235" t="s">
        <v>5712</v>
      </c>
      <c r="B3235" t="s">
        <v>5712</v>
      </c>
      <c r="C3235" t="s">
        <v>5713</v>
      </c>
      <c r="F3235">
        <v>1</v>
      </c>
      <c r="G3235" s="1" t="s">
        <v>3351</v>
      </c>
      <c r="I3235" s="1" t="s">
        <v>11473</v>
      </c>
      <c r="O3235" t="s">
        <v>22</v>
      </c>
    </row>
    <row r="3236" spans="1:15">
      <c r="A3236" t="s">
        <v>8397</v>
      </c>
      <c r="B3236" t="s">
        <v>8397</v>
      </c>
      <c r="C3236" t="s">
        <v>8398</v>
      </c>
      <c r="F3236">
        <v>1</v>
      </c>
      <c r="G3236" s="1" t="s">
        <v>3352</v>
      </c>
      <c r="I3236" s="1" t="s">
        <v>11473</v>
      </c>
      <c r="O3236" t="s">
        <v>22</v>
      </c>
    </row>
    <row r="3237" spans="1:15">
      <c r="A3237" t="s">
        <v>9839</v>
      </c>
      <c r="B3237" t="s">
        <v>9839</v>
      </c>
      <c r="C3237" t="s">
        <v>8398</v>
      </c>
      <c r="F3237">
        <v>1</v>
      </c>
      <c r="G3237" s="1" t="s">
        <v>3353</v>
      </c>
      <c r="I3237" s="1" t="s">
        <v>11473</v>
      </c>
      <c r="O3237" t="s">
        <v>22</v>
      </c>
    </row>
    <row r="3238" spans="1:15">
      <c r="A3238" t="s">
        <v>8407</v>
      </c>
      <c r="B3238" t="s">
        <v>8407</v>
      </c>
      <c r="C3238" t="s">
        <v>8408</v>
      </c>
      <c r="F3238">
        <v>1</v>
      </c>
      <c r="G3238" s="1" t="s">
        <v>3354</v>
      </c>
      <c r="I3238" s="1" t="s">
        <v>11473</v>
      </c>
      <c r="O3238" t="s">
        <v>22</v>
      </c>
    </row>
    <row r="3239" spans="1:15">
      <c r="A3239" t="s">
        <v>10707</v>
      </c>
      <c r="B3239" t="s">
        <v>10707</v>
      </c>
      <c r="C3239" t="s">
        <v>8408</v>
      </c>
      <c r="F3239">
        <v>1</v>
      </c>
      <c r="G3239" s="1" t="s">
        <v>3355</v>
      </c>
      <c r="I3239" s="1" t="s">
        <v>11473</v>
      </c>
      <c r="O3239" t="s">
        <v>22</v>
      </c>
    </row>
    <row r="3240" spans="1:15">
      <c r="A3240" t="s">
        <v>6333</v>
      </c>
      <c r="B3240" t="s">
        <v>6333</v>
      </c>
      <c r="C3240" t="s">
        <v>6334</v>
      </c>
      <c r="F3240">
        <v>1</v>
      </c>
      <c r="G3240" s="1" t="s">
        <v>3356</v>
      </c>
      <c r="I3240" s="1" t="s">
        <v>11473</v>
      </c>
      <c r="O3240" t="s">
        <v>22</v>
      </c>
    </row>
    <row r="3241" spans="1:15">
      <c r="A3241" t="s">
        <v>5668</v>
      </c>
      <c r="B3241" t="s">
        <v>5668</v>
      </c>
      <c r="C3241" t="s">
        <v>5669</v>
      </c>
      <c r="F3241">
        <v>1</v>
      </c>
      <c r="G3241" s="1" t="s">
        <v>3357</v>
      </c>
      <c r="I3241" s="1" t="s">
        <v>11473</v>
      </c>
      <c r="O3241" t="s">
        <v>22</v>
      </c>
    </row>
    <row r="3242" spans="1:15">
      <c r="A3242" t="s">
        <v>9998</v>
      </c>
      <c r="B3242" t="s">
        <v>9998</v>
      </c>
      <c r="C3242" t="s">
        <v>5011</v>
      </c>
      <c r="F3242">
        <v>1</v>
      </c>
      <c r="G3242" s="1" t="s">
        <v>3358</v>
      </c>
      <c r="I3242" s="1" t="s">
        <v>11473</v>
      </c>
      <c r="O3242" t="s">
        <v>22</v>
      </c>
    </row>
    <row r="3243" spans="1:15">
      <c r="A3243" t="s">
        <v>10698</v>
      </c>
      <c r="B3243" t="s">
        <v>10698</v>
      </c>
      <c r="C3243" t="s">
        <v>4318</v>
      </c>
      <c r="F3243">
        <v>1</v>
      </c>
      <c r="G3243" s="1" t="s">
        <v>3359</v>
      </c>
      <c r="I3243" s="1" t="s">
        <v>11473</v>
      </c>
      <c r="O3243" t="s">
        <v>22</v>
      </c>
    </row>
    <row r="3244" spans="1:15">
      <c r="A3244" t="s">
        <v>5541</v>
      </c>
      <c r="B3244" t="s">
        <v>5541</v>
      </c>
      <c r="C3244" t="s">
        <v>4825</v>
      </c>
      <c r="F3244">
        <v>1</v>
      </c>
      <c r="G3244" s="1" t="s">
        <v>3360</v>
      </c>
      <c r="I3244" s="1" t="s">
        <v>11473</v>
      </c>
      <c r="O3244" t="s">
        <v>22</v>
      </c>
    </row>
    <row r="3245" spans="1:15">
      <c r="A3245" t="s">
        <v>9583</v>
      </c>
      <c r="B3245" t="s">
        <v>9583</v>
      </c>
      <c r="C3245" t="s">
        <v>4825</v>
      </c>
      <c r="F3245">
        <v>1</v>
      </c>
      <c r="G3245" s="1" t="s">
        <v>3361</v>
      </c>
      <c r="I3245" s="1" t="s">
        <v>11473</v>
      </c>
      <c r="O3245" t="s">
        <v>22</v>
      </c>
    </row>
    <row r="3246" spans="1:15">
      <c r="A3246" t="s">
        <v>7568</v>
      </c>
      <c r="B3246" t="s">
        <v>7568</v>
      </c>
      <c r="C3246" t="s">
        <v>7569</v>
      </c>
      <c r="F3246">
        <v>1</v>
      </c>
      <c r="G3246" s="1" t="s">
        <v>3362</v>
      </c>
      <c r="I3246" s="1" t="s">
        <v>11473</v>
      </c>
      <c r="O3246" t="s">
        <v>22</v>
      </c>
    </row>
    <row r="3247" spans="1:15">
      <c r="A3247" t="s">
        <v>8381</v>
      </c>
      <c r="B3247" t="s">
        <v>8381</v>
      </c>
      <c r="C3247" t="s">
        <v>8382</v>
      </c>
      <c r="F3247">
        <v>1</v>
      </c>
      <c r="G3247" s="1" t="s">
        <v>3363</v>
      </c>
      <c r="I3247" s="1" t="s">
        <v>11473</v>
      </c>
      <c r="O3247" t="s">
        <v>22</v>
      </c>
    </row>
    <row r="3248" spans="1:15">
      <c r="A3248" t="s">
        <v>7573</v>
      </c>
      <c r="B3248" t="s">
        <v>7573</v>
      </c>
      <c r="C3248" t="s">
        <v>7574</v>
      </c>
      <c r="F3248">
        <v>1</v>
      </c>
      <c r="G3248" s="1" t="s">
        <v>3364</v>
      </c>
      <c r="I3248" s="1" t="s">
        <v>11473</v>
      </c>
      <c r="O3248" t="s">
        <v>22</v>
      </c>
    </row>
    <row r="3249" spans="1:15">
      <c r="A3249" t="s">
        <v>8215</v>
      </c>
      <c r="B3249" t="s">
        <v>8215</v>
      </c>
      <c r="C3249" t="s">
        <v>7574</v>
      </c>
      <c r="F3249">
        <v>1</v>
      </c>
      <c r="G3249" s="1" t="s">
        <v>3365</v>
      </c>
      <c r="I3249" s="1" t="s">
        <v>11473</v>
      </c>
      <c r="O3249" t="s">
        <v>22</v>
      </c>
    </row>
    <row r="3250" spans="1:15">
      <c r="A3250" t="s">
        <v>7753</v>
      </c>
      <c r="B3250" t="s">
        <v>7753</v>
      </c>
      <c r="C3250" t="s">
        <v>7754</v>
      </c>
      <c r="F3250">
        <v>1</v>
      </c>
      <c r="G3250" s="1" t="s">
        <v>3366</v>
      </c>
      <c r="I3250" s="1" t="s">
        <v>11473</v>
      </c>
      <c r="O3250" t="s">
        <v>22</v>
      </c>
    </row>
    <row r="3251" spans="1:15">
      <c r="A3251" t="s">
        <v>9803</v>
      </c>
      <c r="B3251" t="s">
        <v>9803</v>
      </c>
      <c r="C3251" t="s">
        <v>7754</v>
      </c>
      <c r="F3251">
        <v>1</v>
      </c>
      <c r="G3251" s="1" t="s">
        <v>3367</v>
      </c>
      <c r="I3251" s="1" t="s">
        <v>11473</v>
      </c>
      <c r="O3251" t="s">
        <v>22</v>
      </c>
    </row>
    <row r="3252" spans="1:15">
      <c r="A3252" t="s">
        <v>7581</v>
      </c>
      <c r="B3252" t="s">
        <v>7581</v>
      </c>
      <c r="C3252" t="s">
        <v>7582</v>
      </c>
      <c r="F3252">
        <v>1</v>
      </c>
      <c r="G3252" s="1" t="s">
        <v>3368</v>
      </c>
      <c r="I3252" s="1" t="s">
        <v>11473</v>
      </c>
      <c r="O3252" t="s">
        <v>22</v>
      </c>
    </row>
    <row r="3253" spans="1:15">
      <c r="A3253" t="s">
        <v>9186</v>
      </c>
      <c r="B3253" t="s">
        <v>9186</v>
      </c>
      <c r="C3253" t="s">
        <v>4188</v>
      </c>
      <c r="F3253">
        <v>1</v>
      </c>
      <c r="G3253" s="1" t="s">
        <v>3369</v>
      </c>
      <c r="I3253" s="1" t="s">
        <v>11473</v>
      </c>
      <c r="O3253" t="s">
        <v>22</v>
      </c>
    </row>
    <row r="3254" spans="1:15">
      <c r="A3254" t="s">
        <v>9814</v>
      </c>
      <c r="B3254" t="s">
        <v>9814</v>
      </c>
      <c r="C3254" t="s">
        <v>4833</v>
      </c>
      <c r="F3254">
        <v>1</v>
      </c>
      <c r="G3254" s="1" t="s">
        <v>3370</v>
      </c>
      <c r="I3254" s="1" t="s">
        <v>11473</v>
      </c>
      <c r="O3254" t="s">
        <v>22</v>
      </c>
    </row>
    <row r="3255" spans="1:15">
      <c r="A3255" t="s">
        <v>7740</v>
      </c>
      <c r="B3255" t="s">
        <v>7740</v>
      </c>
      <c r="C3255" t="s">
        <v>7741</v>
      </c>
      <c r="F3255">
        <v>1</v>
      </c>
      <c r="G3255" s="1" t="s">
        <v>3371</v>
      </c>
      <c r="I3255" s="1" t="s">
        <v>11473</v>
      </c>
      <c r="O3255" t="s">
        <v>22</v>
      </c>
    </row>
    <row r="3256" spans="1:15">
      <c r="A3256" t="s">
        <v>5478</v>
      </c>
      <c r="B3256" t="s">
        <v>5478</v>
      </c>
      <c r="C3256" t="s">
        <v>5072</v>
      </c>
      <c r="F3256">
        <v>1</v>
      </c>
      <c r="G3256" s="1" t="s">
        <v>3372</v>
      </c>
      <c r="I3256" s="1" t="s">
        <v>11473</v>
      </c>
      <c r="O3256" t="s">
        <v>22</v>
      </c>
    </row>
    <row r="3257" spans="1:15">
      <c r="A3257" t="s">
        <v>5499</v>
      </c>
      <c r="B3257" t="s">
        <v>5499</v>
      </c>
      <c r="C3257" t="s">
        <v>4312</v>
      </c>
      <c r="F3257">
        <v>1</v>
      </c>
      <c r="G3257" s="1" t="s">
        <v>3373</v>
      </c>
      <c r="I3257" s="1" t="s">
        <v>11473</v>
      </c>
      <c r="O3257" t="s">
        <v>22</v>
      </c>
    </row>
    <row r="3258" spans="1:15">
      <c r="A3258" t="s">
        <v>6659</v>
      </c>
      <c r="B3258" t="s">
        <v>6659</v>
      </c>
      <c r="C3258" t="s">
        <v>4312</v>
      </c>
      <c r="F3258">
        <v>1</v>
      </c>
      <c r="G3258" s="1" t="s">
        <v>3374</v>
      </c>
      <c r="I3258" s="1" t="s">
        <v>11473</v>
      </c>
      <c r="O3258" t="s">
        <v>22</v>
      </c>
    </row>
    <row r="3259" spans="1:15">
      <c r="A3259" t="s">
        <v>7742</v>
      </c>
      <c r="B3259" t="s">
        <v>7742</v>
      </c>
      <c r="C3259" t="s">
        <v>4312</v>
      </c>
      <c r="F3259">
        <v>1</v>
      </c>
      <c r="G3259" s="1" t="s">
        <v>3375</v>
      </c>
      <c r="I3259" s="1" t="s">
        <v>11473</v>
      </c>
      <c r="O3259" t="s">
        <v>22</v>
      </c>
    </row>
    <row r="3260" spans="1:15">
      <c r="A3260" t="s">
        <v>8411</v>
      </c>
      <c r="B3260" t="s">
        <v>8411</v>
      </c>
      <c r="C3260" t="s">
        <v>4312</v>
      </c>
      <c r="F3260">
        <v>1</v>
      </c>
      <c r="G3260" s="1" t="s">
        <v>3376</v>
      </c>
      <c r="I3260" s="1" t="s">
        <v>11473</v>
      </c>
      <c r="O3260" t="s">
        <v>22</v>
      </c>
    </row>
    <row r="3261" spans="1:15">
      <c r="A3261" t="s">
        <v>6349</v>
      </c>
      <c r="B3261" t="s">
        <v>6349</v>
      </c>
      <c r="C3261" t="s">
        <v>4866</v>
      </c>
      <c r="F3261">
        <v>1</v>
      </c>
      <c r="G3261" s="1" t="s">
        <v>3377</v>
      </c>
      <c r="I3261" s="1" t="s">
        <v>11473</v>
      </c>
      <c r="O3261" t="s">
        <v>22</v>
      </c>
    </row>
    <row r="3262" spans="1:15">
      <c r="A3262" t="s">
        <v>7557</v>
      </c>
      <c r="B3262" t="s">
        <v>7557</v>
      </c>
      <c r="C3262" t="s">
        <v>4866</v>
      </c>
      <c r="F3262">
        <v>1</v>
      </c>
      <c r="G3262" s="1" t="s">
        <v>3378</v>
      </c>
      <c r="I3262" s="1" t="s">
        <v>11473</v>
      </c>
      <c r="O3262" t="s">
        <v>22</v>
      </c>
    </row>
    <row r="3263" spans="1:15">
      <c r="A3263" t="s">
        <v>8400</v>
      </c>
      <c r="B3263" t="s">
        <v>8400</v>
      </c>
      <c r="C3263" t="s">
        <v>8401</v>
      </c>
      <c r="F3263">
        <v>1</v>
      </c>
      <c r="G3263" s="1" t="s">
        <v>3379</v>
      </c>
      <c r="I3263" s="1" t="s">
        <v>11473</v>
      </c>
      <c r="O3263" t="s">
        <v>22</v>
      </c>
    </row>
    <row r="3264" spans="1:15">
      <c r="A3264" t="s">
        <v>10724</v>
      </c>
      <c r="B3264" t="s">
        <v>10724</v>
      </c>
      <c r="C3264" t="s">
        <v>8401</v>
      </c>
      <c r="F3264">
        <v>1</v>
      </c>
      <c r="G3264" s="1" t="s">
        <v>3380</v>
      </c>
      <c r="I3264" s="1" t="s">
        <v>11473</v>
      </c>
      <c r="O3264" t="s">
        <v>22</v>
      </c>
    </row>
    <row r="3265" spans="1:15">
      <c r="A3265" t="s">
        <v>8373</v>
      </c>
      <c r="B3265" t="s">
        <v>8373</v>
      </c>
      <c r="C3265" t="s">
        <v>4316</v>
      </c>
      <c r="F3265">
        <v>1</v>
      </c>
      <c r="G3265" s="1" t="s">
        <v>3381</v>
      </c>
      <c r="I3265" s="1" t="s">
        <v>11473</v>
      </c>
      <c r="O3265" t="s">
        <v>22</v>
      </c>
    </row>
    <row r="3266" spans="1:15">
      <c r="A3266" t="s">
        <v>7555</v>
      </c>
      <c r="B3266" t="s">
        <v>7555</v>
      </c>
      <c r="C3266" t="s">
        <v>7556</v>
      </c>
      <c r="F3266">
        <v>1</v>
      </c>
      <c r="G3266" s="1" t="s">
        <v>3382</v>
      </c>
      <c r="I3266" s="1" t="s">
        <v>11473</v>
      </c>
      <c r="O3266" t="s">
        <v>22</v>
      </c>
    </row>
    <row r="3267" spans="1:15">
      <c r="A3267" t="s">
        <v>7961</v>
      </c>
      <c r="B3267" t="s">
        <v>7961</v>
      </c>
      <c r="C3267" t="s">
        <v>5188</v>
      </c>
      <c r="F3267">
        <v>1</v>
      </c>
      <c r="G3267" s="1" t="s">
        <v>3383</v>
      </c>
      <c r="I3267" s="1" t="s">
        <v>11473</v>
      </c>
      <c r="O3267" t="s">
        <v>22</v>
      </c>
    </row>
    <row r="3268" spans="1:15">
      <c r="A3268" t="s">
        <v>8130</v>
      </c>
      <c r="B3268" t="s">
        <v>8130</v>
      </c>
      <c r="C3268" t="s">
        <v>8131</v>
      </c>
      <c r="F3268">
        <v>1</v>
      </c>
      <c r="G3268" s="1" t="s">
        <v>3384</v>
      </c>
      <c r="I3268" s="1" t="s">
        <v>11473</v>
      </c>
      <c r="O3268" t="s">
        <v>22</v>
      </c>
    </row>
    <row r="3269" spans="1:15">
      <c r="A3269" t="s">
        <v>6357</v>
      </c>
      <c r="B3269" t="s">
        <v>6357</v>
      </c>
      <c r="C3269" t="s">
        <v>6358</v>
      </c>
      <c r="F3269">
        <v>1</v>
      </c>
      <c r="G3269" s="1" t="s">
        <v>3385</v>
      </c>
      <c r="I3269" s="1" t="s">
        <v>11473</v>
      </c>
      <c r="O3269" t="s">
        <v>22</v>
      </c>
    </row>
    <row r="3270" spans="1:15">
      <c r="A3270" t="s">
        <v>9567</v>
      </c>
      <c r="B3270" t="s">
        <v>9567</v>
      </c>
      <c r="C3270" t="s">
        <v>6358</v>
      </c>
      <c r="F3270">
        <v>1</v>
      </c>
      <c r="G3270" s="1" t="s">
        <v>3386</v>
      </c>
      <c r="I3270" s="1" t="s">
        <v>11473</v>
      </c>
      <c r="O3270" t="s">
        <v>22</v>
      </c>
    </row>
    <row r="3271" spans="1:15">
      <c r="A3271" t="s">
        <v>10699</v>
      </c>
      <c r="B3271" t="s">
        <v>10699</v>
      </c>
      <c r="C3271" t="s">
        <v>10700</v>
      </c>
      <c r="F3271">
        <v>1</v>
      </c>
      <c r="G3271" s="1" t="s">
        <v>3387</v>
      </c>
      <c r="I3271" s="1" t="s">
        <v>11473</v>
      </c>
      <c r="O3271" t="s">
        <v>22</v>
      </c>
    </row>
    <row r="3272" spans="1:15">
      <c r="A3272" t="s">
        <v>5481</v>
      </c>
      <c r="B3272" t="s">
        <v>5481</v>
      </c>
      <c r="C3272" t="s">
        <v>4068</v>
      </c>
      <c r="F3272">
        <v>1</v>
      </c>
      <c r="G3272" s="1" t="s">
        <v>3388</v>
      </c>
      <c r="I3272" s="1" t="s">
        <v>11473</v>
      </c>
      <c r="O3272" t="s">
        <v>22</v>
      </c>
    </row>
    <row r="3273" spans="1:15">
      <c r="A3273" t="s">
        <v>5987</v>
      </c>
      <c r="B3273" t="s">
        <v>5987</v>
      </c>
      <c r="C3273" t="s">
        <v>4068</v>
      </c>
      <c r="F3273">
        <v>1</v>
      </c>
      <c r="G3273" s="1" t="s">
        <v>3389</v>
      </c>
      <c r="I3273" s="1" t="s">
        <v>11473</v>
      </c>
      <c r="O3273" t="s">
        <v>22</v>
      </c>
    </row>
    <row r="3274" spans="1:15">
      <c r="A3274" t="s">
        <v>5948</v>
      </c>
      <c r="B3274" t="s">
        <v>5948</v>
      </c>
      <c r="C3274" t="s">
        <v>5949</v>
      </c>
      <c r="F3274">
        <v>1</v>
      </c>
      <c r="G3274" s="1" t="s">
        <v>3390</v>
      </c>
      <c r="I3274" s="1" t="s">
        <v>11473</v>
      </c>
      <c r="O3274" t="s">
        <v>22</v>
      </c>
    </row>
    <row r="3275" spans="1:15">
      <c r="A3275" t="s">
        <v>7537</v>
      </c>
      <c r="B3275" t="s">
        <v>7537</v>
      </c>
      <c r="C3275" t="s">
        <v>7538</v>
      </c>
      <c r="F3275">
        <v>1</v>
      </c>
      <c r="G3275" s="1" t="s">
        <v>3391</v>
      </c>
      <c r="I3275" s="1" t="s">
        <v>11473</v>
      </c>
      <c r="O3275" t="s">
        <v>22</v>
      </c>
    </row>
    <row r="3276" spans="1:15">
      <c r="A3276" t="s">
        <v>8220</v>
      </c>
      <c r="B3276" t="s">
        <v>8220</v>
      </c>
      <c r="C3276" t="s">
        <v>8221</v>
      </c>
      <c r="F3276">
        <v>1</v>
      </c>
      <c r="G3276" s="1" t="s">
        <v>3392</v>
      </c>
      <c r="I3276" s="1" t="s">
        <v>11473</v>
      </c>
      <c r="O3276" t="s">
        <v>22</v>
      </c>
    </row>
    <row r="3277" spans="1:15">
      <c r="A3277" t="s">
        <v>5534</v>
      </c>
      <c r="B3277" t="s">
        <v>5534</v>
      </c>
      <c r="C3277" t="s">
        <v>4831</v>
      </c>
      <c r="F3277">
        <v>1</v>
      </c>
      <c r="G3277" s="1" t="s">
        <v>3393</v>
      </c>
      <c r="I3277" s="1" t="s">
        <v>11473</v>
      </c>
      <c r="O3277" t="s">
        <v>22</v>
      </c>
    </row>
    <row r="3278" spans="1:15">
      <c r="A3278" t="s">
        <v>8371</v>
      </c>
      <c r="B3278" t="s">
        <v>8371</v>
      </c>
      <c r="C3278" t="s">
        <v>4831</v>
      </c>
      <c r="F3278">
        <v>1</v>
      </c>
      <c r="G3278" s="1" t="s">
        <v>3394</v>
      </c>
      <c r="I3278" s="1" t="s">
        <v>11473</v>
      </c>
      <c r="O3278" t="s">
        <v>22</v>
      </c>
    </row>
    <row r="3279" spans="1:15">
      <c r="A3279" t="s">
        <v>5720</v>
      </c>
      <c r="B3279" t="s">
        <v>5720</v>
      </c>
      <c r="C3279" t="s">
        <v>5721</v>
      </c>
      <c r="F3279">
        <v>1</v>
      </c>
      <c r="G3279" s="1" t="s">
        <v>3395</v>
      </c>
      <c r="I3279" s="1" t="s">
        <v>11473</v>
      </c>
      <c r="O3279" t="s">
        <v>22</v>
      </c>
    </row>
    <row r="3280" spans="1:15">
      <c r="A3280" t="s">
        <v>9589</v>
      </c>
      <c r="B3280" t="s">
        <v>9589</v>
      </c>
      <c r="C3280" t="s">
        <v>5721</v>
      </c>
      <c r="F3280">
        <v>1</v>
      </c>
      <c r="G3280" s="1" t="s">
        <v>3396</v>
      </c>
      <c r="I3280" s="1" t="s">
        <v>11473</v>
      </c>
      <c r="O3280" t="s">
        <v>22</v>
      </c>
    </row>
    <row r="3281" spans="1:15">
      <c r="A3281" t="s">
        <v>5985</v>
      </c>
      <c r="B3281" t="s">
        <v>5985</v>
      </c>
      <c r="C3281" t="s">
        <v>4311</v>
      </c>
      <c r="F3281">
        <v>1</v>
      </c>
      <c r="G3281" s="1" t="s">
        <v>3397</v>
      </c>
      <c r="I3281" s="1" t="s">
        <v>11473</v>
      </c>
      <c r="O3281" t="s">
        <v>22</v>
      </c>
    </row>
    <row r="3282" spans="1:15">
      <c r="A3282" t="s">
        <v>10330</v>
      </c>
      <c r="B3282" t="s">
        <v>10330</v>
      </c>
      <c r="C3282" t="s">
        <v>7758</v>
      </c>
      <c r="F3282">
        <v>1</v>
      </c>
      <c r="G3282" s="1" t="s">
        <v>3398</v>
      </c>
      <c r="I3282" s="1" t="s">
        <v>11473</v>
      </c>
      <c r="O3282" t="s">
        <v>22</v>
      </c>
    </row>
    <row r="3283" spans="1:15">
      <c r="A3283" t="s">
        <v>6331</v>
      </c>
      <c r="B3283" t="s">
        <v>6331</v>
      </c>
      <c r="C3283" t="s">
        <v>6332</v>
      </c>
      <c r="F3283">
        <v>1</v>
      </c>
      <c r="G3283" s="1" t="s">
        <v>3399</v>
      </c>
      <c r="I3283" s="1" t="s">
        <v>11473</v>
      </c>
      <c r="O3283" t="s">
        <v>22</v>
      </c>
    </row>
    <row r="3284" spans="1:15">
      <c r="A3284" t="s">
        <v>7541</v>
      </c>
      <c r="B3284" t="s">
        <v>7541</v>
      </c>
      <c r="C3284" t="s">
        <v>6332</v>
      </c>
      <c r="F3284">
        <v>1</v>
      </c>
      <c r="G3284" s="1" t="s">
        <v>3400</v>
      </c>
      <c r="I3284" s="1" t="s">
        <v>11473</v>
      </c>
      <c r="O3284" t="s">
        <v>22</v>
      </c>
    </row>
    <row r="3285" spans="1:15">
      <c r="A3285" t="s">
        <v>9238</v>
      </c>
      <c r="B3285" t="s">
        <v>9238</v>
      </c>
      <c r="C3285" t="s">
        <v>6332</v>
      </c>
      <c r="F3285">
        <v>1</v>
      </c>
      <c r="G3285" s="1" t="s">
        <v>3401</v>
      </c>
      <c r="I3285" s="1" t="s">
        <v>11473</v>
      </c>
      <c r="O3285" t="s">
        <v>22</v>
      </c>
    </row>
    <row r="3286" spans="1:15">
      <c r="A3286" t="s">
        <v>7003</v>
      </c>
      <c r="B3286" t="s">
        <v>7003</v>
      </c>
      <c r="C3286" t="s">
        <v>4439</v>
      </c>
      <c r="F3286">
        <v>1</v>
      </c>
      <c r="G3286" s="1" t="s">
        <v>3402</v>
      </c>
      <c r="I3286" s="1" t="s">
        <v>11473</v>
      </c>
      <c r="O3286" t="s">
        <v>22</v>
      </c>
    </row>
    <row r="3287" spans="1:15">
      <c r="A3287" t="s">
        <v>9624</v>
      </c>
      <c r="B3287" t="s">
        <v>9624</v>
      </c>
      <c r="C3287" t="s">
        <v>4439</v>
      </c>
      <c r="F3287">
        <v>1</v>
      </c>
      <c r="G3287" s="1" t="s">
        <v>3403</v>
      </c>
      <c r="I3287" s="1" t="s">
        <v>11473</v>
      </c>
      <c r="O3287" t="s">
        <v>22</v>
      </c>
    </row>
    <row r="3288" spans="1:15">
      <c r="A3288" t="s">
        <v>10959</v>
      </c>
      <c r="B3288" t="s">
        <v>10959</v>
      </c>
      <c r="C3288" t="s">
        <v>4439</v>
      </c>
      <c r="F3288">
        <v>1</v>
      </c>
      <c r="G3288" s="1" t="s">
        <v>3404</v>
      </c>
      <c r="I3288" s="1" t="s">
        <v>11473</v>
      </c>
      <c r="O3288" t="s">
        <v>22</v>
      </c>
    </row>
    <row r="3289" spans="1:15">
      <c r="A3289" t="s">
        <v>8412</v>
      </c>
      <c r="B3289" t="s">
        <v>8412</v>
      </c>
      <c r="C3289" t="s">
        <v>8413</v>
      </c>
      <c r="F3289">
        <v>1</v>
      </c>
      <c r="G3289" s="1" t="s">
        <v>3405</v>
      </c>
      <c r="I3289" s="1" t="s">
        <v>11473</v>
      </c>
      <c r="O3289" t="s">
        <v>22</v>
      </c>
    </row>
    <row r="3290" spans="1:15">
      <c r="A3290" t="s">
        <v>9611</v>
      </c>
      <c r="B3290" t="s">
        <v>9611</v>
      </c>
      <c r="C3290" t="s">
        <v>8413</v>
      </c>
      <c r="F3290">
        <v>1</v>
      </c>
      <c r="G3290" s="1" t="s">
        <v>3406</v>
      </c>
      <c r="I3290" s="1" t="s">
        <v>11473</v>
      </c>
      <c r="O3290" t="s">
        <v>22</v>
      </c>
    </row>
    <row r="3291" spans="1:15">
      <c r="A3291" t="s">
        <v>9804</v>
      </c>
      <c r="B3291" t="s">
        <v>9804</v>
      </c>
      <c r="C3291" t="s">
        <v>5042</v>
      </c>
      <c r="F3291">
        <v>1</v>
      </c>
      <c r="G3291" s="1" t="s">
        <v>3407</v>
      </c>
      <c r="I3291" s="1" t="s">
        <v>11473</v>
      </c>
      <c r="O3291" t="s">
        <v>22</v>
      </c>
    </row>
    <row r="3292" spans="1:15">
      <c r="A3292" t="s">
        <v>5479</v>
      </c>
      <c r="B3292" t="s">
        <v>5479</v>
      </c>
      <c r="C3292" t="s">
        <v>5480</v>
      </c>
      <c r="F3292">
        <v>1</v>
      </c>
      <c r="G3292" s="1" t="s">
        <v>3408</v>
      </c>
      <c r="I3292" s="1" t="s">
        <v>11473</v>
      </c>
      <c r="O3292" t="s">
        <v>22</v>
      </c>
    </row>
    <row r="3293" spans="1:15">
      <c r="A3293" t="s">
        <v>5510</v>
      </c>
      <c r="B3293" t="s">
        <v>5510</v>
      </c>
      <c r="C3293" t="s">
        <v>5511</v>
      </c>
      <c r="F3293">
        <v>1</v>
      </c>
      <c r="G3293" s="1" t="s">
        <v>3409</v>
      </c>
      <c r="I3293" s="1" t="s">
        <v>11473</v>
      </c>
      <c r="O3293" t="s">
        <v>22</v>
      </c>
    </row>
    <row r="3294" spans="1:15">
      <c r="A3294" t="s">
        <v>9438</v>
      </c>
      <c r="B3294" t="s">
        <v>9438</v>
      </c>
      <c r="C3294" t="s">
        <v>5511</v>
      </c>
      <c r="F3294">
        <v>1</v>
      </c>
      <c r="G3294" s="1" t="s">
        <v>3410</v>
      </c>
      <c r="I3294" s="1" t="s">
        <v>11473</v>
      </c>
      <c r="O3294" t="s">
        <v>22</v>
      </c>
    </row>
    <row r="3295" spans="1:15">
      <c r="A3295" t="s">
        <v>10850</v>
      </c>
      <c r="B3295" t="s">
        <v>10850</v>
      </c>
      <c r="C3295" t="s">
        <v>5511</v>
      </c>
      <c r="F3295">
        <v>1</v>
      </c>
      <c r="G3295" s="1" t="s">
        <v>3411</v>
      </c>
      <c r="I3295" s="1" t="s">
        <v>11473</v>
      </c>
      <c r="O3295" t="s">
        <v>22</v>
      </c>
    </row>
    <row r="3296" spans="1:15">
      <c r="A3296" t="s">
        <v>8121</v>
      </c>
      <c r="B3296" t="s">
        <v>8121</v>
      </c>
      <c r="C3296" t="s">
        <v>5033</v>
      </c>
      <c r="F3296">
        <v>1</v>
      </c>
      <c r="G3296" s="1" t="s">
        <v>3412</v>
      </c>
      <c r="I3296" s="1" t="s">
        <v>11473</v>
      </c>
      <c r="O3296" t="s">
        <v>22</v>
      </c>
    </row>
    <row r="3297" spans="1:15">
      <c r="A3297" t="s">
        <v>7835</v>
      </c>
      <c r="B3297" t="s">
        <v>7835</v>
      </c>
      <c r="C3297" t="s">
        <v>7836</v>
      </c>
      <c r="F3297">
        <v>1</v>
      </c>
      <c r="G3297" s="1" t="s">
        <v>3413</v>
      </c>
      <c r="I3297" s="1" t="s">
        <v>11473</v>
      </c>
      <c r="O3297" t="s">
        <v>22</v>
      </c>
    </row>
    <row r="3298" spans="1:15">
      <c r="A3298" t="s">
        <v>7548</v>
      </c>
      <c r="B3298" t="s">
        <v>7548</v>
      </c>
      <c r="C3298" t="s">
        <v>4310</v>
      </c>
      <c r="F3298">
        <v>1</v>
      </c>
      <c r="G3298" s="1" t="s">
        <v>3414</v>
      </c>
      <c r="I3298" s="1" t="s">
        <v>11473</v>
      </c>
      <c r="O3298" t="s">
        <v>22</v>
      </c>
    </row>
    <row r="3299" spans="1:15">
      <c r="A3299" t="s">
        <v>10670</v>
      </c>
      <c r="B3299" t="s">
        <v>10670</v>
      </c>
      <c r="C3299" t="s">
        <v>4310</v>
      </c>
      <c r="F3299">
        <v>1</v>
      </c>
      <c r="G3299" s="1" t="s">
        <v>3415</v>
      </c>
      <c r="I3299" s="1" t="s">
        <v>11473</v>
      </c>
      <c r="O3299" t="s">
        <v>22</v>
      </c>
    </row>
    <row r="3300" spans="1:15">
      <c r="A3300" t="s">
        <v>5979</v>
      </c>
      <c r="B3300" t="s">
        <v>5979</v>
      </c>
      <c r="C3300" t="s">
        <v>5980</v>
      </c>
      <c r="F3300">
        <v>1</v>
      </c>
      <c r="G3300" s="1" t="s">
        <v>3416</v>
      </c>
      <c r="I3300" s="1" t="s">
        <v>11473</v>
      </c>
      <c r="O3300" t="s">
        <v>22</v>
      </c>
    </row>
    <row r="3301" spans="1:15">
      <c r="A3301" t="s">
        <v>6337</v>
      </c>
      <c r="B3301" t="s">
        <v>6337</v>
      </c>
      <c r="C3301" t="s">
        <v>5980</v>
      </c>
      <c r="F3301">
        <v>1</v>
      </c>
      <c r="G3301" s="1" t="s">
        <v>3417</v>
      </c>
      <c r="I3301" s="1" t="s">
        <v>11473</v>
      </c>
      <c r="O3301" t="s">
        <v>22</v>
      </c>
    </row>
    <row r="3302" spans="1:15">
      <c r="A3302" t="s">
        <v>8211</v>
      </c>
      <c r="B3302" t="s">
        <v>8211</v>
      </c>
      <c r="C3302" t="s">
        <v>5980</v>
      </c>
      <c r="F3302">
        <v>1</v>
      </c>
      <c r="G3302" s="1" t="s">
        <v>3418</v>
      </c>
      <c r="I3302" s="1" t="s">
        <v>11473</v>
      </c>
      <c r="O3302" t="s">
        <v>22</v>
      </c>
    </row>
    <row r="3303" spans="1:15">
      <c r="A3303" t="s">
        <v>5537</v>
      </c>
      <c r="B3303" t="s">
        <v>5537</v>
      </c>
      <c r="C3303" t="s">
        <v>5538</v>
      </c>
      <c r="F3303">
        <v>1</v>
      </c>
      <c r="G3303" s="1" t="s">
        <v>3419</v>
      </c>
      <c r="I3303" s="1" t="s">
        <v>11473</v>
      </c>
      <c r="O3303" t="s">
        <v>22</v>
      </c>
    </row>
    <row r="3304" spans="1:15">
      <c r="A3304" t="s">
        <v>7151</v>
      </c>
      <c r="B3304" t="s">
        <v>7151</v>
      </c>
      <c r="C3304" t="s">
        <v>7152</v>
      </c>
      <c r="F3304">
        <v>1</v>
      </c>
      <c r="G3304" s="1" t="s">
        <v>3420</v>
      </c>
      <c r="I3304" s="1" t="s">
        <v>11473</v>
      </c>
      <c r="O3304" t="s">
        <v>22</v>
      </c>
    </row>
    <row r="3305" spans="1:15">
      <c r="A3305" t="s">
        <v>5944</v>
      </c>
      <c r="B3305" t="s">
        <v>5944</v>
      </c>
      <c r="C3305" t="s">
        <v>5379</v>
      </c>
      <c r="F3305">
        <v>1</v>
      </c>
      <c r="G3305" s="1" t="s">
        <v>3421</v>
      </c>
      <c r="I3305" s="1" t="s">
        <v>11473</v>
      </c>
      <c r="O3305" t="s">
        <v>22</v>
      </c>
    </row>
    <row r="3306" spans="1:15">
      <c r="A3306" t="s">
        <v>5986</v>
      </c>
      <c r="B3306" t="s">
        <v>5986</v>
      </c>
      <c r="C3306" t="s">
        <v>5379</v>
      </c>
      <c r="F3306">
        <v>1</v>
      </c>
      <c r="G3306" s="1" t="s">
        <v>3422</v>
      </c>
      <c r="I3306" s="1" t="s">
        <v>11473</v>
      </c>
      <c r="O3306" t="s">
        <v>22</v>
      </c>
    </row>
    <row r="3307" spans="1:15">
      <c r="A3307" t="s">
        <v>5971</v>
      </c>
      <c r="B3307" t="s">
        <v>5971</v>
      </c>
      <c r="C3307" t="s">
        <v>5972</v>
      </c>
      <c r="F3307">
        <v>1</v>
      </c>
      <c r="G3307" s="1" t="s">
        <v>3423</v>
      </c>
      <c r="I3307" s="1" t="s">
        <v>11473</v>
      </c>
      <c r="O3307" t="s">
        <v>22</v>
      </c>
    </row>
    <row r="3308" spans="1:15">
      <c r="A3308" t="s">
        <v>10681</v>
      </c>
      <c r="B3308" t="s">
        <v>10681</v>
      </c>
      <c r="C3308" t="s">
        <v>10682</v>
      </c>
      <c r="F3308">
        <v>1</v>
      </c>
      <c r="G3308" s="1" t="s">
        <v>3424</v>
      </c>
      <c r="I3308" s="1" t="s">
        <v>11473</v>
      </c>
      <c r="O3308" t="s">
        <v>22</v>
      </c>
    </row>
    <row r="3309" spans="1:15">
      <c r="A3309" t="s">
        <v>7593</v>
      </c>
      <c r="B3309" t="s">
        <v>7593</v>
      </c>
      <c r="C3309" t="s">
        <v>5386</v>
      </c>
      <c r="F3309">
        <v>1</v>
      </c>
      <c r="G3309" s="1" t="s">
        <v>3425</v>
      </c>
      <c r="I3309" s="1" t="s">
        <v>11473</v>
      </c>
      <c r="O3309" t="s">
        <v>22</v>
      </c>
    </row>
    <row r="3310" spans="1:15">
      <c r="A3310" t="s">
        <v>8250</v>
      </c>
      <c r="B3310" t="s">
        <v>8250</v>
      </c>
      <c r="C3310" t="s">
        <v>5386</v>
      </c>
      <c r="F3310">
        <v>1</v>
      </c>
      <c r="G3310" s="1" t="s">
        <v>3426</v>
      </c>
      <c r="I3310" s="1" t="s">
        <v>11473</v>
      </c>
      <c r="O3310" t="s">
        <v>22</v>
      </c>
    </row>
    <row r="3311" spans="1:15">
      <c r="A3311" t="s">
        <v>5512</v>
      </c>
      <c r="B3311" t="s">
        <v>5512</v>
      </c>
      <c r="C3311" t="s">
        <v>4828</v>
      </c>
      <c r="F3311">
        <v>1</v>
      </c>
      <c r="G3311" s="1" t="s">
        <v>3427</v>
      </c>
      <c r="I3311" s="1" t="s">
        <v>11473</v>
      </c>
      <c r="O3311" t="s">
        <v>22</v>
      </c>
    </row>
    <row r="3312" spans="1:15">
      <c r="A3312" t="s">
        <v>5491</v>
      </c>
      <c r="B3312" t="s">
        <v>5491</v>
      </c>
      <c r="C3312" t="s">
        <v>5492</v>
      </c>
      <c r="F3312">
        <v>1</v>
      </c>
      <c r="G3312" s="1" t="s">
        <v>3428</v>
      </c>
      <c r="I3312" s="1" t="s">
        <v>11473</v>
      </c>
      <c r="O3312" t="s">
        <v>22</v>
      </c>
    </row>
    <row r="3313" spans="1:15">
      <c r="A3313" t="s">
        <v>7454</v>
      </c>
      <c r="B3313" t="s">
        <v>7454</v>
      </c>
      <c r="C3313" t="s">
        <v>4990</v>
      </c>
      <c r="F3313">
        <v>1</v>
      </c>
      <c r="G3313" s="1" t="s">
        <v>3429</v>
      </c>
      <c r="I3313" s="1" t="s">
        <v>11473</v>
      </c>
      <c r="O3313" t="s">
        <v>22</v>
      </c>
    </row>
    <row r="3314" spans="1:15">
      <c r="A3314" t="s">
        <v>9997</v>
      </c>
      <c r="B3314" t="s">
        <v>9997</v>
      </c>
      <c r="C3314" t="s">
        <v>4990</v>
      </c>
      <c r="F3314">
        <v>1</v>
      </c>
      <c r="G3314" s="1" t="s">
        <v>3430</v>
      </c>
      <c r="I3314" s="1" t="s">
        <v>11473</v>
      </c>
      <c r="O3314" t="s">
        <v>22</v>
      </c>
    </row>
    <row r="3315" spans="1:15">
      <c r="A3315" t="s">
        <v>10866</v>
      </c>
      <c r="B3315" t="s">
        <v>10866</v>
      </c>
      <c r="C3315" t="s">
        <v>10867</v>
      </c>
      <c r="F3315">
        <v>1</v>
      </c>
      <c r="G3315" s="1" t="s">
        <v>3431</v>
      </c>
      <c r="I3315" s="1" t="s">
        <v>11473</v>
      </c>
      <c r="O3315" t="s">
        <v>22</v>
      </c>
    </row>
    <row r="3316" spans="1:15">
      <c r="A3316" t="s">
        <v>5957</v>
      </c>
      <c r="B3316" t="s">
        <v>5957</v>
      </c>
      <c r="C3316" t="s">
        <v>5958</v>
      </c>
      <c r="F3316">
        <v>1</v>
      </c>
      <c r="G3316" s="1" t="s">
        <v>3432</v>
      </c>
      <c r="I3316" s="1" t="s">
        <v>11473</v>
      </c>
      <c r="O3316" t="s">
        <v>22</v>
      </c>
    </row>
    <row r="3317" spans="1:15">
      <c r="A3317" t="s">
        <v>7974</v>
      </c>
      <c r="B3317" t="s">
        <v>7974</v>
      </c>
      <c r="C3317" t="s">
        <v>5958</v>
      </c>
      <c r="F3317">
        <v>1</v>
      </c>
      <c r="G3317" s="1" t="s">
        <v>3433</v>
      </c>
      <c r="I3317" s="1" t="s">
        <v>11473</v>
      </c>
      <c r="O3317" t="s">
        <v>22</v>
      </c>
    </row>
    <row r="3318" spans="1:15">
      <c r="A3318" t="s">
        <v>10185</v>
      </c>
      <c r="B3318" t="s">
        <v>10185</v>
      </c>
      <c r="C3318" t="s">
        <v>5071</v>
      </c>
      <c r="F3318">
        <v>1</v>
      </c>
      <c r="G3318" s="1" t="s">
        <v>3434</v>
      </c>
      <c r="I3318" s="1" t="s">
        <v>11473</v>
      </c>
      <c r="O3318" t="s">
        <v>22</v>
      </c>
    </row>
    <row r="3319" spans="1:15">
      <c r="A3319" t="s">
        <v>10723</v>
      </c>
      <c r="B3319" t="s">
        <v>10723</v>
      </c>
      <c r="C3319" t="s">
        <v>5071</v>
      </c>
      <c r="F3319">
        <v>1</v>
      </c>
      <c r="G3319" s="1" t="s">
        <v>3435</v>
      </c>
      <c r="I3319" s="1" t="s">
        <v>11473</v>
      </c>
      <c r="O3319" t="s">
        <v>22</v>
      </c>
    </row>
    <row r="3320" spans="1:15">
      <c r="A3320" t="s">
        <v>5729</v>
      </c>
      <c r="B3320" t="s">
        <v>5729</v>
      </c>
      <c r="C3320" t="s">
        <v>4166</v>
      </c>
      <c r="F3320">
        <v>1</v>
      </c>
      <c r="G3320" s="1" t="s">
        <v>3436</v>
      </c>
      <c r="I3320" s="1" t="s">
        <v>11473</v>
      </c>
      <c r="O3320" t="s">
        <v>22</v>
      </c>
    </row>
    <row r="3321" spans="1:15">
      <c r="A3321" t="s">
        <v>5529</v>
      </c>
      <c r="B3321" t="s">
        <v>5529</v>
      </c>
      <c r="C3321" t="s">
        <v>4948</v>
      </c>
      <c r="F3321">
        <v>1</v>
      </c>
      <c r="G3321" s="1" t="s">
        <v>3437</v>
      </c>
      <c r="I3321" s="1" t="s">
        <v>11473</v>
      </c>
      <c r="O3321" t="s">
        <v>22</v>
      </c>
    </row>
    <row r="3322" spans="1:15">
      <c r="A3322" t="s">
        <v>10846</v>
      </c>
      <c r="B3322" t="s">
        <v>10846</v>
      </c>
      <c r="C3322" t="s">
        <v>4948</v>
      </c>
      <c r="F3322">
        <v>1</v>
      </c>
      <c r="G3322" s="1" t="s">
        <v>3438</v>
      </c>
      <c r="I3322" s="1" t="s">
        <v>11473</v>
      </c>
      <c r="O3322" t="s">
        <v>22</v>
      </c>
    </row>
    <row r="3323" spans="1:15">
      <c r="A3323" t="s">
        <v>5552</v>
      </c>
      <c r="B3323" t="s">
        <v>5552</v>
      </c>
      <c r="C3323" t="s">
        <v>4830</v>
      </c>
      <c r="F3323">
        <v>1</v>
      </c>
      <c r="G3323" s="1" t="s">
        <v>3439</v>
      </c>
      <c r="I3323" s="1" t="s">
        <v>11473</v>
      </c>
      <c r="O3323" t="s">
        <v>22</v>
      </c>
    </row>
    <row r="3324" spans="1:15">
      <c r="A3324" t="s">
        <v>5722</v>
      </c>
      <c r="B3324" t="s">
        <v>5722</v>
      </c>
      <c r="C3324" t="s">
        <v>5032</v>
      </c>
      <c r="F3324">
        <v>1</v>
      </c>
      <c r="G3324" s="1" t="s">
        <v>3440</v>
      </c>
      <c r="I3324" s="1" t="s">
        <v>11473</v>
      </c>
      <c r="O3324" t="s">
        <v>22</v>
      </c>
    </row>
    <row r="3325" spans="1:15">
      <c r="A3325" t="s">
        <v>5500</v>
      </c>
      <c r="B3325" t="s">
        <v>5500</v>
      </c>
      <c r="C3325" t="s">
        <v>5380</v>
      </c>
      <c r="F3325">
        <v>1</v>
      </c>
      <c r="G3325" s="1" t="s">
        <v>3441</v>
      </c>
      <c r="I3325" s="1" t="s">
        <v>11473</v>
      </c>
      <c r="O3325" t="s">
        <v>22</v>
      </c>
    </row>
    <row r="3326" spans="1:15">
      <c r="A3326" t="s">
        <v>10868</v>
      </c>
      <c r="B3326" t="s">
        <v>10868</v>
      </c>
      <c r="C3326" t="s">
        <v>5380</v>
      </c>
      <c r="F3326">
        <v>1</v>
      </c>
      <c r="G3326" s="1" t="s">
        <v>3442</v>
      </c>
      <c r="I3326" s="1" t="s">
        <v>11473</v>
      </c>
      <c r="O3326" t="s">
        <v>22</v>
      </c>
    </row>
    <row r="3327" spans="1:15">
      <c r="A3327" t="s">
        <v>11192</v>
      </c>
      <c r="B3327" t="s">
        <v>11192</v>
      </c>
      <c r="C3327" t="s">
        <v>11193</v>
      </c>
      <c r="F3327">
        <v>1</v>
      </c>
      <c r="G3327" s="1" t="s">
        <v>3443</v>
      </c>
      <c r="I3327" s="1" t="s">
        <v>11473</v>
      </c>
      <c r="O3327" t="s">
        <v>22</v>
      </c>
    </row>
    <row r="3328" spans="1:15">
      <c r="A3328" t="s">
        <v>5507</v>
      </c>
      <c r="B3328" t="s">
        <v>5507</v>
      </c>
      <c r="C3328" t="s">
        <v>5508</v>
      </c>
      <c r="F3328">
        <v>1</v>
      </c>
      <c r="G3328" s="1" t="s">
        <v>3444</v>
      </c>
      <c r="I3328" s="1" t="s">
        <v>11473</v>
      </c>
      <c r="O3328" t="s">
        <v>22</v>
      </c>
    </row>
    <row r="3329" spans="1:15">
      <c r="A3329" t="s">
        <v>9134</v>
      </c>
      <c r="B3329" t="s">
        <v>9134</v>
      </c>
      <c r="C3329" t="s">
        <v>9135</v>
      </c>
      <c r="F3329">
        <v>1</v>
      </c>
      <c r="G3329" s="1" t="s">
        <v>3445</v>
      </c>
      <c r="I3329" s="1" t="s">
        <v>11473</v>
      </c>
      <c r="O3329" t="s">
        <v>22</v>
      </c>
    </row>
    <row r="3330" spans="1:15">
      <c r="A3330" t="s">
        <v>10569</v>
      </c>
      <c r="B3330" t="s">
        <v>10569</v>
      </c>
      <c r="C3330" t="s">
        <v>4775</v>
      </c>
      <c r="F3330">
        <v>1</v>
      </c>
      <c r="G3330" s="1" t="s">
        <v>3446</v>
      </c>
      <c r="I3330" s="1" t="s">
        <v>11473</v>
      </c>
      <c r="O3330" t="s">
        <v>22</v>
      </c>
    </row>
    <row r="3331" spans="1:15">
      <c r="A3331" t="s">
        <v>10879</v>
      </c>
      <c r="B3331" t="s">
        <v>10879</v>
      </c>
      <c r="C3331" t="s">
        <v>4775</v>
      </c>
      <c r="F3331">
        <v>1</v>
      </c>
      <c r="G3331" s="1" t="s">
        <v>3447</v>
      </c>
      <c r="I3331" s="1" t="s">
        <v>11473</v>
      </c>
      <c r="O3331" t="s">
        <v>22</v>
      </c>
    </row>
    <row r="3332" spans="1:15">
      <c r="A3332" t="s">
        <v>8386</v>
      </c>
      <c r="B3332" t="s">
        <v>8386</v>
      </c>
      <c r="C3332" t="s">
        <v>8387</v>
      </c>
      <c r="F3332">
        <v>1</v>
      </c>
      <c r="G3332" s="1" t="s">
        <v>3448</v>
      </c>
      <c r="I3332" s="1" t="s">
        <v>11473</v>
      </c>
      <c r="O3332" t="s">
        <v>22</v>
      </c>
    </row>
    <row r="3333" spans="1:15">
      <c r="A3333" t="s">
        <v>7966</v>
      </c>
      <c r="B3333" t="s">
        <v>7966</v>
      </c>
      <c r="C3333" t="s">
        <v>7967</v>
      </c>
      <c r="F3333">
        <v>1</v>
      </c>
      <c r="G3333" s="1" t="s">
        <v>3449</v>
      </c>
      <c r="I3333" s="1" t="s">
        <v>11473</v>
      </c>
      <c r="O3333" t="s">
        <v>22</v>
      </c>
    </row>
    <row r="3334" spans="1:15">
      <c r="A3334" t="s">
        <v>11114</v>
      </c>
      <c r="B3334" t="s">
        <v>11114</v>
      </c>
      <c r="C3334" t="s">
        <v>7967</v>
      </c>
      <c r="F3334">
        <v>1</v>
      </c>
      <c r="G3334" s="1" t="s">
        <v>3450</v>
      </c>
      <c r="I3334" s="1" t="s">
        <v>11473</v>
      </c>
      <c r="O3334" t="s">
        <v>22</v>
      </c>
    </row>
    <row r="3335" spans="1:15">
      <c r="A3335" t="s">
        <v>10439</v>
      </c>
      <c r="B3335" t="s">
        <v>10439</v>
      </c>
      <c r="C3335" t="s">
        <v>4315</v>
      </c>
      <c r="F3335">
        <v>1</v>
      </c>
      <c r="G3335" s="1" t="s">
        <v>3451</v>
      </c>
      <c r="I3335" s="1" t="s">
        <v>11473</v>
      </c>
      <c r="O3335" t="s">
        <v>22</v>
      </c>
    </row>
    <row r="3336" spans="1:15">
      <c r="A3336" t="s">
        <v>10802</v>
      </c>
      <c r="B3336" t="s">
        <v>10802</v>
      </c>
      <c r="C3336" t="s">
        <v>10803</v>
      </c>
      <c r="F3336">
        <v>1</v>
      </c>
      <c r="G3336" s="1" t="s">
        <v>3452</v>
      </c>
      <c r="I3336" s="1" t="s">
        <v>11473</v>
      </c>
      <c r="O3336" t="s">
        <v>22</v>
      </c>
    </row>
    <row r="3337" spans="1:15">
      <c r="A3337" t="s">
        <v>5959</v>
      </c>
      <c r="B3337" t="s">
        <v>5959</v>
      </c>
      <c r="C3337" t="s">
        <v>4050</v>
      </c>
      <c r="F3337">
        <v>1</v>
      </c>
      <c r="G3337" s="1" t="s">
        <v>3453</v>
      </c>
      <c r="I3337" s="1" t="s">
        <v>11473</v>
      </c>
      <c r="O3337" t="s">
        <v>22</v>
      </c>
    </row>
    <row r="3338" spans="1:15">
      <c r="A3338" t="s">
        <v>8350</v>
      </c>
      <c r="B3338" t="s">
        <v>8350</v>
      </c>
      <c r="C3338" t="s">
        <v>8351</v>
      </c>
      <c r="F3338">
        <v>1</v>
      </c>
      <c r="G3338" s="1" t="s">
        <v>3454</v>
      </c>
      <c r="I3338" s="1" t="s">
        <v>11473</v>
      </c>
      <c r="O3338" t="s">
        <v>22</v>
      </c>
    </row>
    <row r="3339" spans="1:15">
      <c r="A3339" t="s">
        <v>5524</v>
      </c>
      <c r="B3339" t="s">
        <v>5524</v>
      </c>
      <c r="C3339" t="s">
        <v>5525</v>
      </c>
      <c r="F3339">
        <v>1</v>
      </c>
      <c r="G3339" s="1" t="s">
        <v>3455</v>
      </c>
      <c r="I3339" s="1" t="s">
        <v>11473</v>
      </c>
      <c r="O3339" t="s">
        <v>22</v>
      </c>
    </row>
    <row r="3340" spans="1:15">
      <c r="A3340" t="s">
        <v>6960</v>
      </c>
      <c r="B3340" t="s">
        <v>6960</v>
      </c>
      <c r="C3340" t="s">
        <v>5525</v>
      </c>
      <c r="F3340">
        <v>1</v>
      </c>
      <c r="G3340" s="1" t="s">
        <v>3456</v>
      </c>
      <c r="I3340" s="1" t="s">
        <v>11473</v>
      </c>
      <c r="O3340" t="s">
        <v>22</v>
      </c>
    </row>
    <row r="3341" spans="1:15">
      <c r="A3341" t="s">
        <v>7175</v>
      </c>
      <c r="B3341" t="s">
        <v>7175</v>
      </c>
      <c r="C3341" t="s">
        <v>7176</v>
      </c>
      <c r="F3341">
        <v>1</v>
      </c>
      <c r="G3341" s="1" t="s">
        <v>3457</v>
      </c>
      <c r="I3341" s="1" t="s">
        <v>11473</v>
      </c>
      <c r="O3341" t="s">
        <v>22</v>
      </c>
    </row>
    <row r="3342" spans="1:15">
      <c r="A3342" t="s">
        <v>5489</v>
      </c>
      <c r="B3342" t="s">
        <v>5489</v>
      </c>
      <c r="C3342" t="s">
        <v>5490</v>
      </c>
      <c r="F3342">
        <v>1</v>
      </c>
      <c r="G3342" s="1" t="s">
        <v>3458</v>
      </c>
      <c r="I3342" s="1" t="s">
        <v>11473</v>
      </c>
      <c r="O3342" t="s">
        <v>22</v>
      </c>
    </row>
    <row r="3343" spans="1:15">
      <c r="A3343" t="s">
        <v>9560</v>
      </c>
      <c r="B3343" t="s">
        <v>9560</v>
      </c>
      <c r="C3343" t="s">
        <v>9561</v>
      </c>
      <c r="F3343">
        <v>1</v>
      </c>
      <c r="G3343" s="1" t="s">
        <v>3459</v>
      </c>
      <c r="I3343" s="1" t="s">
        <v>11473</v>
      </c>
      <c r="O3343" t="s">
        <v>22</v>
      </c>
    </row>
    <row r="3344" spans="1:15">
      <c r="A3344" t="s">
        <v>5711</v>
      </c>
      <c r="B3344" t="s">
        <v>5711</v>
      </c>
      <c r="C3344" t="s">
        <v>4964</v>
      </c>
      <c r="F3344">
        <v>1</v>
      </c>
      <c r="G3344" s="1" t="s">
        <v>3460</v>
      </c>
      <c r="I3344" s="1" t="s">
        <v>11473</v>
      </c>
      <c r="O3344" t="s">
        <v>22</v>
      </c>
    </row>
    <row r="3345" spans="1:15">
      <c r="A3345" t="s">
        <v>8423</v>
      </c>
      <c r="B3345" t="s">
        <v>8423</v>
      </c>
      <c r="C3345" t="s">
        <v>4964</v>
      </c>
      <c r="F3345">
        <v>1</v>
      </c>
      <c r="G3345" s="1" t="s">
        <v>3461</v>
      </c>
      <c r="I3345" s="1" t="s">
        <v>11473</v>
      </c>
      <c r="O3345" t="s">
        <v>22</v>
      </c>
    </row>
    <row r="3346" spans="1:15">
      <c r="A3346" t="s">
        <v>9815</v>
      </c>
      <c r="B3346" t="s">
        <v>9815</v>
      </c>
      <c r="C3346" t="s">
        <v>4964</v>
      </c>
      <c r="F3346">
        <v>1</v>
      </c>
      <c r="G3346" s="1" t="s">
        <v>3462</v>
      </c>
      <c r="I3346" s="1" t="s">
        <v>11473</v>
      </c>
      <c r="O3346" t="s">
        <v>22</v>
      </c>
    </row>
    <row r="3347" spans="1:15">
      <c r="A3347" t="s">
        <v>5945</v>
      </c>
      <c r="B3347" t="s">
        <v>5945</v>
      </c>
      <c r="C3347" t="s">
        <v>5946</v>
      </c>
      <c r="F3347">
        <v>1</v>
      </c>
      <c r="G3347" s="1" t="s">
        <v>3463</v>
      </c>
      <c r="I3347" s="1" t="s">
        <v>11473</v>
      </c>
      <c r="O3347" t="s">
        <v>22</v>
      </c>
    </row>
    <row r="3348" spans="1:15">
      <c r="A3348" t="s">
        <v>9995</v>
      </c>
      <c r="B3348" t="s">
        <v>9995</v>
      </c>
      <c r="C3348" t="s">
        <v>4777</v>
      </c>
      <c r="F3348">
        <v>1</v>
      </c>
      <c r="G3348" s="1" t="s">
        <v>3464</v>
      </c>
      <c r="I3348" s="1" t="s">
        <v>11473</v>
      </c>
      <c r="O3348" t="s">
        <v>22</v>
      </c>
    </row>
    <row r="3349" spans="1:15">
      <c r="A3349" t="s">
        <v>7147</v>
      </c>
      <c r="B3349" t="s">
        <v>7147</v>
      </c>
      <c r="C3349" t="s">
        <v>7148</v>
      </c>
      <c r="F3349">
        <v>1</v>
      </c>
      <c r="G3349" s="1" t="s">
        <v>3465</v>
      </c>
      <c r="I3349" s="1" t="s">
        <v>11473</v>
      </c>
      <c r="O3349" t="s">
        <v>22</v>
      </c>
    </row>
    <row r="3350" spans="1:15">
      <c r="A3350" t="s">
        <v>10686</v>
      </c>
      <c r="B3350" t="s">
        <v>10686</v>
      </c>
      <c r="C3350" t="s">
        <v>7148</v>
      </c>
      <c r="F3350">
        <v>1</v>
      </c>
      <c r="G3350" s="1" t="s">
        <v>3466</v>
      </c>
      <c r="I3350" s="1" t="s">
        <v>11473</v>
      </c>
      <c r="O3350" t="s">
        <v>22</v>
      </c>
    </row>
    <row r="3351" spans="1:15">
      <c r="A3351" t="s">
        <v>8410</v>
      </c>
      <c r="B3351" t="s">
        <v>8410</v>
      </c>
      <c r="C3351" t="s">
        <v>4776</v>
      </c>
      <c r="F3351">
        <v>1</v>
      </c>
      <c r="G3351" s="1" t="s">
        <v>3467</v>
      </c>
      <c r="I3351" s="1" t="s">
        <v>11473</v>
      </c>
      <c r="O3351" t="s">
        <v>22</v>
      </c>
    </row>
    <row r="3352" spans="1:15">
      <c r="A3352" t="s">
        <v>8550</v>
      </c>
      <c r="B3352" t="s">
        <v>8550</v>
      </c>
      <c r="C3352" t="s">
        <v>4776</v>
      </c>
      <c r="F3352">
        <v>1</v>
      </c>
      <c r="G3352" s="1" t="s">
        <v>3468</v>
      </c>
      <c r="I3352" s="1" t="s">
        <v>11473</v>
      </c>
      <c r="O3352" t="s">
        <v>22</v>
      </c>
    </row>
    <row r="3353" spans="1:15">
      <c r="A3353" t="s">
        <v>7583</v>
      </c>
      <c r="B3353" t="s">
        <v>7583</v>
      </c>
      <c r="C3353" t="s">
        <v>7584</v>
      </c>
      <c r="F3353">
        <v>1</v>
      </c>
      <c r="G3353" s="1" t="s">
        <v>3469</v>
      </c>
      <c r="I3353" s="1" t="s">
        <v>11473</v>
      </c>
      <c r="O3353" t="s">
        <v>22</v>
      </c>
    </row>
    <row r="3354" spans="1:15">
      <c r="A3354" t="s">
        <v>5724</v>
      </c>
      <c r="B3354" t="s">
        <v>5724</v>
      </c>
      <c r="C3354" t="s">
        <v>5725</v>
      </c>
      <c r="F3354">
        <v>1</v>
      </c>
      <c r="G3354" s="1" t="s">
        <v>3470</v>
      </c>
      <c r="I3354" s="1" t="s">
        <v>11473</v>
      </c>
      <c r="O3354" t="s">
        <v>22</v>
      </c>
    </row>
    <row r="3355" spans="1:15">
      <c r="A3355" t="s">
        <v>10798</v>
      </c>
      <c r="B3355" t="s">
        <v>10798</v>
      </c>
      <c r="C3355" t="s">
        <v>10799</v>
      </c>
      <c r="F3355">
        <v>1</v>
      </c>
      <c r="G3355" s="1" t="s">
        <v>3471</v>
      </c>
      <c r="I3355" s="1" t="s">
        <v>11473</v>
      </c>
      <c r="O3355" t="s">
        <v>22</v>
      </c>
    </row>
    <row r="3356" spans="1:15">
      <c r="A3356" t="s">
        <v>8395</v>
      </c>
      <c r="B3356" t="s">
        <v>8395</v>
      </c>
      <c r="C3356" t="s">
        <v>4829</v>
      </c>
      <c r="F3356">
        <v>1</v>
      </c>
      <c r="G3356" s="1" t="s">
        <v>3472</v>
      </c>
      <c r="I3356" s="1" t="s">
        <v>11473</v>
      </c>
      <c r="O3356" t="s">
        <v>22</v>
      </c>
    </row>
    <row r="3357" spans="1:15">
      <c r="A3357" t="s">
        <v>5474</v>
      </c>
      <c r="B3357" t="s">
        <v>5474</v>
      </c>
      <c r="C3357" t="s">
        <v>5475</v>
      </c>
      <c r="F3357">
        <v>1</v>
      </c>
      <c r="G3357" s="1" t="s">
        <v>3473</v>
      </c>
      <c r="I3357" s="1" t="s">
        <v>11473</v>
      </c>
      <c r="O3357" t="s">
        <v>22</v>
      </c>
    </row>
    <row r="3358" spans="1:15">
      <c r="A3358" t="s">
        <v>5686</v>
      </c>
      <c r="B3358" t="s">
        <v>5686</v>
      </c>
      <c r="C3358" t="s">
        <v>5687</v>
      </c>
      <c r="F3358">
        <v>1</v>
      </c>
      <c r="G3358" s="1" t="s">
        <v>3474</v>
      </c>
      <c r="I3358" s="1" t="s">
        <v>11473</v>
      </c>
      <c r="O3358" t="s">
        <v>22</v>
      </c>
    </row>
    <row r="3359" spans="1:15">
      <c r="A3359" t="s">
        <v>7154</v>
      </c>
      <c r="B3359" t="s">
        <v>7154</v>
      </c>
      <c r="C3359" t="s">
        <v>7155</v>
      </c>
      <c r="F3359">
        <v>1</v>
      </c>
      <c r="G3359" s="1" t="s">
        <v>3475</v>
      </c>
      <c r="I3359" s="1" t="s">
        <v>11473</v>
      </c>
      <c r="O3359" t="s">
        <v>22</v>
      </c>
    </row>
    <row r="3360" spans="1:15">
      <c r="A3360" t="s">
        <v>8486</v>
      </c>
      <c r="B3360" t="s">
        <v>8486</v>
      </c>
      <c r="C3360" t="s">
        <v>4317</v>
      </c>
      <c r="F3360">
        <v>1</v>
      </c>
      <c r="G3360" s="1" t="s">
        <v>3476</v>
      </c>
      <c r="I3360" s="1" t="s">
        <v>11473</v>
      </c>
      <c r="O3360" t="s">
        <v>22</v>
      </c>
    </row>
    <row r="3361" spans="1:15">
      <c r="A3361" t="s">
        <v>5546</v>
      </c>
      <c r="B3361" t="s">
        <v>5546</v>
      </c>
      <c r="C3361" t="s">
        <v>4824</v>
      </c>
      <c r="F3361">
        <v>1</v>
      </c>
      <c r="G3361" s="1" t="s">
        <v>3477</v>
      </c>
      <c r="I3361" s="1" t="s">
        <v>11473</v>
      </c>
      <c r="O3361" t="s">
        <v>22</v>
      </c>
    </row>
    <row r="3362" spans="1:15">
      <c r="A3362" t="s">
        <v>8421</v>
      </c>
      <c r="B3362" t="s">
        <v>8421</v>
      </c>
      <c r="C3362" t="s">
        <v>8422</v>
      </c>
      <c r="F3362">
        <v>1</v>
      </c>
      <c r="G3362" s="1" t="s">
        <v>3478</v>
      </c>
      <c r="I3362" s="1" t="s">
        <v>11473</v>
      </c>
      <c r="O3362" t="s">
        <v>22</v>
      </c>
    </row>
    <row r="3363" spans="1:15">
      <c r="A3363" t="s">
        <v>9588</v>
      </c>
      <c r="B3363" t="s">
        <v>9588</v>
      </c>
      <c r="C3363" t="s">
        <v>4813</v>
      </c>
      <c r="F3363">
        <v>1</v>
      </c>
      <c r="G3363" s="1" t="s">
        <v>3479</v>
      </c>
      <c r="I3363" s="1" t="s">
        <v>11473</v>
      </c>
      <c r="O3363" t="s">
        <v>22</v>
      </c>
    </row>
    <row r="3364" spans="1:15">
      <c r="A3364" t="s">
        <v>8428</v>
      </c>
      <c r="B3364" t="s">
        <v>8428</v>
      </c>
      <c r="C3364" t="s">
        <v>4327</v>
      </c>
      <c r="F3364">
        <v>1</v>
      </c>
      <c r="G3364" s="1" t="s">
        <v>3480</v>
      </c>
      <c r="I3364" s="1" t="s">
        <v>11473</v>
      </c>
      <c r="O3364" t="s">
        <v>22</v>
      </c>
    </row>
    <row r="3365" spans="1:15">
      <c r="A3365" t="s">
        <v>8934</v>
      </c>
      <c r="B3365" t="s">
        <v>8934</v>
      </c>
      <c r="C3365" t="s">
        <v>8935</v>
      </c>
      <c r="F3365">
        <v>1</v>
      </c>
      <c r="G3365" s="1" t="s">
        <v>3481</v>
      </c>
      <c r="I3365" s="1" t="s">
        <v>11473</v>
      </c>
      <c r="O3365" t="s">
        <v>22</v>
      </c>
    </row>
    <row r="3366" spans="1:15">
      <c r="A3366" t="s">
        <v>7542</v>
      </c>
      <c r="B3366" t="s">
        <v>7542</v>
      </c>
      <c r="C3366" t="s">
        <v>7543</v>
      </c>
      <c r="F3366">
        <v>1</v>
      </c>
      <c r="G3366" s="1" t="s">
        <v>3482</v>
      </c>
      <c r="I3366" s="1" t="s">
        <v>11473</v>
      </c>
      <c r="O3366" t="s">
        <v>22</v>
      </c>
    </row>
    <row r="3367" spans="1:15">
      <c r="A3367" t="s">
        <v>5477</v>
      </c>
      <c r="B3367" t="s">
        <v>5477</v>
      </c>
      <c r="C3367" t="s">
        <v>4888</v>
      </c>
      <c r="F3367">
        <v>1</v>
      </c>
      <c r="G3367" s="1" t="s">
        <v>3483</v>
      </c>
      <c r="I3367" s="1" t="s">
        <v>11473</v>
      </c>
      <c r="O3367" t="s">
        <v>22</v>
      </c>
    </row>
    <row r="3368" spans="1:15">
      <c r="A3368" t="s">
        <v>5717</v>
      </c>
      <c r="B3368" t="s">
        <v>5717</v>
      </c>
      <c r="C3368" t="s">
        <v>4942</v>
      </c>
      <c r="F3368">
        <v>1</v>
      </c>
      <c r="G3368" s="1" t="s">
        <v>3484</v>
      </c>
      <c r="I3368" s="1" t="s">
        <v>11473</v>
      </c>
      <c r="O3368" t="s">
        <v>22</v>
      </c>
    </row>
    <row r="3369" spans="1:15">
      <c r="A3369" t="s">
        <v>8235</v>
      </c>
      <c r="B3369" t="s">
        <v>8235</v>
      </c>
      <c r="C3369" t="s">
        <v>4885</v>
      </c>
      <c r="F3369">
        <v>1</v>
      </c>
      <c r="G3369" s="1" t="s">
        <v>3485</v>
      </c>
      <c r="I3369" s="1" t="s">
        <v>11473</v>
      </c>
      <c r="O3369" t="s">
        <v>22</v>
      </c>
    </row>
    <row r="3370" spans="1:15">
      <c r="A3370" t="s">
        <v>10800</v>
      </c>
      <c r="B3370" t="s">
        <v>10800</v>
      </c>
      <c r="C3370" t="s">
        <v>4885</v>
      </c>
      <c r="F3370">
        <v>1</v>
      </c>
      <c r="G3370" s="1" t="s">
        <v>3486</v>
      </c>
      <c r="I3370" s="1" t="s">
        <v>11473</v>
      </c>
      <c r="O3370" t="s">
        <v>22</v>
      </c>
    </row>
    <row r="3371" spans="1:15">
      <c r="A3371" t="s">
        <v>6158</v>
      </c>
      <c r="B3371" t="s">
        <v>6158</v>
      </c>
      <c r="C3371" t="s">
        <v>6159</v>
      </c>
      <c r="F3371">
        <v>1</v>
      </c>
      <c r="G3371" s="1" t="s">
        <v>3487</v>
      </c>
      <c r="I3371" s="1" t="s">
        <v>11473</v>
      </c>
      <c r="O3371" t="s">
        <v>22</v>
      </c>
    </row>
    <row r="3372" spans="1:15">
      <c r="A3372" t="s">
        <v>6335</v>
      </c>
      <c r="B3372" t="s">
        <v>6335</v>
      </c>
      <c r="C3372" t="s">
        <v>6336</v>
      </c>
      <c r="F3372">
        <v>1</v>
      </c>
      <c r="G3372" s="1" t="s">
        <v>3488</v>
      </c>
      <c r="I3372" s="1" t="s">
        <v>11473</v>
      </c>
      <c r="O3372" t="s">
        <v>22</v>
      </c>
    </row>
    <row r="3373" spans="1:15">
      <c r="A3373" t="s">
        <v>9818</v>
      </c>
      <c r="B3373" t="s">
        <v>9818</v>
      </c>
      <c r="C3373" t="s">
        <v>4324</v>
      </c>
      <c r="F3373">
        <v>1</v>
      </c>
      <c r="G3373" s="1" t="s">
        <v>3489</v>
      </c>
      <c r="I3373" s="1" t="s">
        <v>11473</v>
      </c>
      <c r="O3373" t="s">
        <v>22</v>
      </c>
    </row>
    <row r="3374" spans="1:15">
      <c r="A3374" t="s">
        <v>9976</v>
      </c>
      <c r="B3374" t="s">
        <v>9976</v>
      </c>
      <c r="C3374" t="s">
        <v>4969</v>
      </c>
      <c r="F3374">
        <v>1</v>
      </c>
      <c r="G3374" s="1" t="s">
        <v>3490</v>
      </c>
      <c r="I3374" s="1" t="s">
        <v>11473</v>
      </c>
      <c r="O3374" t="s">
        <v>22</v>
      </c>
    </row>
    <row r="3375" spans="1:15">
      <c r="A3375" t="s">
        <v>8425</v>
      </c>
      <c r="B3375" t="s">
        <v>8425</v>
      </c>
      <c r="C3375" t="s">
        <v>8426</v>
      </c>
      <c r="F3375">
        <v>1</v>
      </c>
      <c r="G3375" s="1" t="s">
        <v>3491</v>
      </c>
      <c r="I3375" s="1" t="s">
        <v>11473</v>
      </c>
      <c r="O3375" t="s">
        <v>22</v>
      </c>
    </row>
    <row r="3376" spans="1:15">
      <c r="A3376" t="s">
        <v>7153</v>
      </c>
      <c r="B3376" t="s">
        <v>7153</v>
      </c>
      <c r="C3376" t="s">
        <v>5029</v>
      </c>
      <c r="F3376">
        <v>1</v>
      </c>
      <c r="G3376" s="1" t="s">
        <v>3492</v>
      </c>
      <c r="I3376" s="1" t="s">
        <v>11473</v>
      </c>
      <c r="O3376" t="s">
        <v>22</v>
      </c>
    </row>
    <row r="3377" spans="1:15">
      <c r="A3377" t="s">
        <v>9401</v>
      </c>
      <c r="B3377" t="s">
        <v>9401</v>
      </c>
      <c r="C3377" t="s">
        <v>5273</v>
      </c>
      <c r="F3377">
        <v>1</v>
      </c>
      <c r="G3377" s="1" t="s">
        <v>3493</v>
      </c>
      <c r="I3377" s="1" t="s">
        <v>11473</v>
      </c>
      <c r="O3377" t="s">
        <v>22</v>
      </c>
    </row>
    <row r="3378" spans="1:15">
      <c r="A3378" t="s">
        <v>10469</v>
      </c>
      <c r="B3378" t="s">
        <v>10469</v>
      </c>
      <c r="C3378" t="s">
        <v>10470</v>
      </c>
      <c r="F3378">
        <v>1</v>
      </c>
      <c r="G3378" s="1" t="s">
        <v>3494</v>
      </c>
      <c r="I3378" s="1" t="s">
        <v>11473</v>
      </c>
      <c r="O3378" t="s">
        <v>22</v>
      </c>
    </row>
    <row r="3379" spans="1:15">
      <c r="A3379" t="s">
        <v>7712</v>
      </c>
      <c r="B3379" t="s">
        <v>7712</v>
      </c>
      <c r="C3379" t="s">
        <v>7713</v>
      </c>
      <c r="F3379">
        <v>1</v>
      </c>
      <c r="G3379" s="1" t="s">
        <v>3495</v>
      </c>
      <c r="I3379" s="1" t="s">
        <v>11473</v>
      </c>
      <c r="O3379" t="s">
        <v>22</v>
      </c>
    </row>
    <row r="3380" spans="1:15">
      <c r="A3380" t="s">
        <v>8216</v>
      </c>
      <c r="B3380" t="s">
        <v>8216</v>
      </c>
      <c r="C3380" t="s">
        <v>4826</v>
      </c>
      <c r="F3380">
        <v>1</v>
      </c>
      <c r="G3380" s="1" t="s">
        <v>3496</v>
      </c>
      <c r="I3380" s="1" t="s">
        <v>11473</v>
      </c>
      <c r="O3380" t="s">
        <v>22</v>
      </c>
    </row>
    <row r="3381" spans="1:15">
      <c r="A3381" t="s">
        <v>9982</v>
      </c>
      <c r="B3381" t="s">
        <v>9982</v>
      </c>
      <c r="C3381" t="s">
        <v>4826</v>
      </c>
      <c r="F3381">
        <v>1</v>
      </c>
      <c r="G3381" s="1" t="s">
        <v>3497</v>
      </c>
      <c r="I3381" s="1" t="s">
        <v>11473</v>
      </c>
      <c r="O3381" t="s">
        <v>22</v>
      </c>
    </row>
    <row r="3382" spans="1:15">
      <c r="A3382" t="s">
        <v>10646</v>
      </c>
      <c r="B3382" t="s">
        <v>10646</v>
      </c>
      <c r="C3382" t="s">
        <v>4826</v>
      </c>
      <c r="F3382">
        <v>1</v>
      </c>
      <c r="G3382" s="1" t="s">
        <v>3498</v>
      </c>
      <c r="I3382" s="1" t="s">
        <v>11473</v>
      </c>
      <c r="O3382" t="s">
        <v>22</v>
      </c>
    </row>
    <row r="3383" spans="1:15">
      <c r="A3383" t="s">
        <v>11264</v>
      </c>
      <c r="B3383" t="s">
        <v>11264</v>
      </c>
      <c r="C3383" t="s">
        <v>4826</v>
      </c>
      <c r="F3383">
        <v>1</v>
      </c>
      <c r="G3383" s="1" t="s">
        <v>3499</v>
      </c>
      <c r="I3383" s="1" t="s">
        <v>11473</v>
      </c>
      <c r="O3383" t="s">
        <v>22</v>
      </c>
    </row>
    <row r="3384" spans="1:15">
      <c r="A3384" t="s">
        <v>10946</v>
      </c>
      <c r="B3384" t="s">
        <v>10946</v>
      </c>
      <c r="C3384" t="s">
        <v>10947</v>
      </c>
      <c r="F3384">
        <v>1</v>
      </c>
      <c r="G3384" s="1" t="s">
        <v>3500</v>
      </c>
      <c r="I3384" s="1" t="s">
        <v>11473</v>
      </c>
      <c r="O3384" t="s">
        <v>22</v>
      </c>
    </row>
    <row r="3385" spans="1:15">
      <c r="A3385" t="s">
        <v>10006</v>
      </c>
      <c r="B3385" t="s">
        <v>10006</v>
      </c>
      <c r="C3385" t="s">
        <v>10007</v>
      </c>
      <c r="F3385">
        <v>1</v>
      </c>
      <c r="G3385" s="1" t="s">
        <v>3501</v>
      </c>
      <c r="I3385" s="1" t="s">
        <v>11473</v>
      </c>
      <c r="O3385" t="s">
        <v>22</v>
      </c>
    </row>
    <row r="3386" spans="1:15">
      <c r="A3386" t="s">
        <v>10909</v>
      </c>
      <c r="B3386" t="s">
        <v>10909</v>
      </c>
      <c r="C3386" t="s">
        <v>10910</v>
      </c>
      <c r="F3386">
        <v>1</v>
      </c>
      <c r="G3386" s="1" t="s">
        <v>3502</v>
      </c>
      <c r="I3386" s="1" t="s">
        <v>11473</v>
      </c>
      <c r="O3386" t="s">
        <v>22</v>
      </c>
    </row>
    <row r="3387" spans="1:15">
      <c r="A3387" t="s">
        <v>5495</v>
      </c>
      <c r="B3387" t="s">
        <v>5495</v>
      </c>
      <c r="C3387" t="s">
        <v>4936</v>
      </c>
      <c r="F3387">
        <v>1</v>
      </c>
      <c r="G3387" s="1" t="s">
        <v>3503</v>
      </c>
      <c r="I3387" s="1" t="s">
        <v>11473</v>
      </c>
      <c r="O3387" t="s">
        <v>22</v>
      </c>
    </row>
    <row r="3388" spans="1:15">
      <c r="A3388" t="s">
        <v>5981</v>
      </c>
      <c r="B3388" t="s">
        <v>5981</v>
      </c>
      <c r="C3388" t="s">
        <v>4936</v>
      </c>
      <c r="F3388">
        <v>1</v>
      </c>
      <c r="G3388" s="1" t="s">
        <v>3504</v>
      </c>
      <c r="I3388" s="1" t="s">
        <v>11473</v>
      </c>
      <c r="O3388" t="s">
        <v>22</v>
      </c>
    </row>
    <row r="3389" spans="1:15">
      <c r="A3389" t="s">
        <v>5531</v>
      </c>
      <c r="B3389" t="s">
        <v>5531</v>
      </c>
      <c r="C3389" t="s">
        <v>5532</v>
      </c>
      <c r="F3389">
        <v>1</v>
      </c>
      <c r="G3389" s="1" t="s">
        <v>3505</v>
      </c>
      <c r="I3389" s="1" t="s">
        <v>11473</v>
      </c>
      <c r="O3389" t="s">
        <v>22</v>
      </c>
    </row>
    <row r="3390" spans="1:15">
      <c r="A3390" t="s">
        <v>5984</v>
      </c>
      <c r="B3390" t="s">
        <v>5984</v>
      </c>
      <c r="C3390" t="s">
        <v>5532</v>
      </c>
      <c r="F3390">
        <v>1</v>
      </c>
      <c r="G3390" s="1" t="s">
        <v>3506</v>
      </c>
      <c r="I3390" s="1" t="s">
        <v>11473</v>
      </c>
      <c r="O3390" t="s">
        <v>22</v>
      </c>
    </row>
    <row r="3391" spans="1:15">
      <c r="A3391" t="s">
        <v>11174</v>
      </c>
      <c r="B3391" t="s">
        <v>11174</v>
      </c>
      <c r="C3391" t="s">
        <v>11175</v>
      </c>
      <c r="F3391">
        <v>1</v>
      </c>
      <c r="G3391" s="1" t="s">
        <v>3507</v>
      </c>
      <c r="I3391" s="1" t="s">
        <v>11473</v>
      </c>
      <c r="O3391" t="s">
        <v>22</v>
      </c>
    </row>
    <row r="3392" spans="1:15">
      <c r="A3392" t="s">
        <v>5542</v>
      </c>
      <c r="B3392" t="s">
        <v>5542</v>
      </c>
      <c r="C3392" t="s">
        <v>5543</v>
      </c>
      <c r="F3392">
        <v>1</v>
      </c>
      <c r="G3392" s="1" t="s">
        <v>3508</v>
      </c>
      <c r="I3392" s="1" t="s">
        <v>11473</v>
      </c>
      <c r="O3392" t="s">
        <v>22</v>
      </c>
    </row>
    <row r="3393" spans="1:15">
      <c r="A3393" t="s">
        <v>9990</v>
      </c>
      <c r="B3393" t="s">
        <v>9990</v>
      </c>
      <c r="C3393" t="s">
        <v>4770</v>
      </c>
      <c r="F3393">
        <v>1</v>
      </c>
      <c r="G3393" s="1" t="s">
        <v>3509</v>
      </c>
      <c r="I3393" s="1" t="s">
        <v>11473</v>
      </c>
      <c r="O3393" t="s">
        <v>22</v>
      </c>
    </row>
    <row r="3394" spans="1:15">
      <c r="A3394" t="s">
        <v>5476</v>
      </c>
      <c r="B3394" t="s">
        <v>5476</v>
      </c>
      <c r="C3394" t="s">
        <v>4973</v>
      </c>
      <c r="F3394">
        <v>1</v>
      </c>
      <c r="G3394" s="1" t="s">
        <v>3510</v>
      </c>
      <c r="I3394" s="1" t="s">
        <v>11473</v>
      </c>
      <c r="O3394" t="s">
        <v>22</v>
      </c>
    </row>
    <row r="3395" spans="1:15">
      <c r="A3395" t="s">
        <v>5943</v>
      </c>
      <c r="B3395" t="s">
        <v>5943</v>
      </c>
      <c r="C3395" t="s">
        <v>5381</v>
      </c>
      <c r="F3395">
        <v>1</v>
      </c>
      <c r="G3395" s="1" t="s">
        <v>3511</v>
      </c>
      <c r="I3395" s="1" t="s">
        <v>11473</v>
      </c>
      <c r="O3395" t="s">
        <v>22</v>
      </c>
    </row>
    <row r="3396" spans="1:15">
      <c r="A3396" t="s">
        <v>10703</v>
      </c>
      <c r="B3396" t="s">
        <v>10703</v>
      </c>
      <c r="C3396" t="s">
        <v>10704</v>
      </c>
      <c r="F3396">
        <v>1</v>
      </c>
      <c r="G3396" s="1" t="s">
        <v>3512</v>
      </c>
      <c r="I3396" s="1" t="s">
        <v>11473</v>
      </c>
      <c r="O3396" t="s">
        <v>22</v>
      </c>
    </row>
    <row r="3397" spans="1:15">
      <c r="A3397" t="s">
        <v>5995</v>
      </c>
      <c r="B3397" t="s">
        <v>5995</v>
      </c>
      <c r="C3397" t="s">
        <v>5996</v>
      </c>
      <c r="F3397">
        <v>1</v>
      </c>
      <c r="G3397" s="1" t="s">
        <v>3513</v>
      </c>
      <c r="I3397" s="1" t="s">
        <v>11473</v>
      </c>
      <c r="O3397" t="s">
        <v>22</v>
      </c>
    </row>
    <row r="3398" spans="1:15">
      <c r="A3398" t="s">
        <v>8213</v>
      </c>
      <c r="B3398" t="s">
        <v>8213</v>
      </c>
      <c r="C3398" t="s">
        <v>8214</v>
      </c>
      <c r="F3398">
        <v>1</v>
      </c>
      <c r="G3398" s="1" t="s">
        <v>3514</v>
      </c>
      <c r="I3398" s="1" t="s">
        <v>11473</v>
      </c>
      <c r="O3398" t="s">
        <v>22</v>
      </c>
    </row>
    <row r="3399" spans="1:15">
      <c r="A3399" t="s">
        <v>9980</v>
      </c>
      <c r="B3399" t="s">
        <v>9980</v>
      </c>
      <c r="C3399" t="s">
        <v>9981</v>
      </c>
      <c r="F3399">
        <v>1</v>
      </c>
      <c r="G3399" s="1" t="s">
        <v>3515</v>
      </c>
      <c r="I3399" s="1" t="s">
        <v>11473</v>
      </c>
      <c r="O3399" t="s">
        <v>22</v>
      </c>
    </row>
    <row r="3400" spans="1:15">
      <c r="A3400" t="s">
        <v>8230</v>
      </c>
      <c r="B3400" t="s">
        <v>8230</v>
      </c>
      <c r="C3400" t="s">
        <v>8231</v>
      </c>
      <c r="F3400">
        <v>1</v>
      </c>
      <c r="G3400" s="1" t="s">
        <v>3516</v>
      </c>
      <c r="I3400" s="1" t="s">
        <v>11473</v>
      </c>
      <c r="O3400" t="s">
        <v>22</v>
      </c>
    </row>
    <row r="3401" spans="1:15">
      <c r="A3401" t="s">
        <v>6350</v>
      </c>
      <c r="B3401" t="s">
        <v>6350</v>
      </c>
      <c r="C3401" t="s">
        <v>6351</v>
      </c>
      <c r="F3401">
        <v>1</v>
      </c>
      <c r="G3401" s="1" t="s">
        <v>3517</v>
      </c>
      <c r="I3401" s="1" t="s">
        <v>11473</v>
      </c>
      <c r="O3401" t="s">
        <v>22</v>
      </c>
    </row>
    <row r="3402" spans="1:15">
      <c r="A3402" t="s">
        <v>5497</v>
      </c>
      <c r="B3402" t="s">
        <v>5497</v>
      </c>
      <c r="C3402" t="s">
        <v>5498</v>
      </c>
      <c r="F3402">
        <v>1</v>
      </c>
      <c r="G3402" s="1" t="s">
        <v>3518</v>
      </c>
      <c r="I3402" s="1" t="s">
        <v>11473</v>
      </c>
      <c r="O3402" t="s">
        <v>22</v>
      </c>
    </row>
    <row r="3403" spans="1:15">
      <c r="A3403" t="s">
        <v>5540</v>
      </c>
      <c r="B3403" t="s">
        <v>5540</v>
      </c>
      <c r="C3403" t="s">
        <v>5031</v>
      </c>
      <c r="F3403">
        <v>1</v>
      </c>
      <c r="G3403" s="1" t="s">
        <v>3519</v>
      </c>
      <c r="I3403" s="1" t="s">
        <v>11473</v>
      </c>
      <c r="O3403" t="s">
        <v>22</v>
      </c>
    </row>
    <row r="3404" spans="1:15">
      <c r="A3404" t="s">
        <v>5519</v>
      </c>
      <c r="B3404" t="s">
        <v>5519</v>
      </c>
      <c r="C3404" t="s">
        <v>5520</v>
      </c>
      <c r="F3404">
        <v>1</v>
      </c>
      <c r="G3404" s="1" t="s">
        <v>3520</v>
      </c>
      <c r="I3404" s="1" t="s">
        <v>11473</v>
      </c>
      <c r="O3404" t="s">
        <v>22</v>
      </c>
    </row>
    <row r="3405" spans="1:15">
      <c r="A3405" t="s">
        <v>11154</v>
      </c>
      <c r="B3405" t="s">
        <v>11154</v>
      </c>
      <c r="C3405" t="s">
        <v>5374</v>
      </c>
      <c r="F3405">
        <v>1</v>
      </c>
      <c r="G3405" s="1" t="s">
        <v>3521</v>
      </c>
      <c r="I3405" s="1" t="s">
        <v>11473</v>
      </c>
      <c r="O3405" t="s">
        <v>22</v>
      </c>
    </row>
    <row r="3406" spans="1:15">
      <c r="A3406" t="s">
        <v>7149</v>
      </c>
      <c r="B3406" t="s">
        <v>7149</v>
      </c>
      <c r="C3406" t="s">
        <v>7150</v>
      </c>
      <c r="F3406">
        <v>1</v>
      </c>
      <c r="G3406" s="1" t="s">
        <v>3522</v>
      </c>
      <c r="I3406" s="1" t="s">
        <v>11473</v>
      </c>
      <c r="O3406" t="s">
        <v>22</v>
      </c>
    </row>
    <row r="3407" spans="1:15">
      <c r="A3407" t="s">
        <v>5975</v>
      </c>
      <c r="B3407" t="s">
        <v>5975</v>
      </c>
      <c r="C3407" t="s">
        <v>5151</v>
      </c>
      <c r="F3407">
        <v>1</v>
      </c>
      <c r="G3407" s="1" t="s">
        <v>3523</v>
      </c>
      <c r="I3407" s="1" t="s">
        <v>11473</v>
      </c>
      <c r="O3407" t="s">
        <v>22</v>
      </c>
    </row>
    <row r="3408" spans="1:15">
      <c r="A3408" t="s">
        <v>5932</v>
      </c>
      <c r="B3408" t="s">
        <v>5932</v>
      </c>
      <c r="C3408" t="s">
        <v>5933</v>
      </c>
      <c r="F3408">
        <v>1</v>
      </c>
      <c r="G3408" s="1" t="s">
        <v>3524</v>
      </c>
      <c r="I3408" s="1" t="s">
        <v>11473</v>
      </c>
      <c r="O3408" t="s">
        <v>22</v>
      </c>
    </row>
    <row r="3409" spans="1:15">
      <c r="A3409" t="s">
        <v>10944</v>
      </c>
      <c r="B3409" t="s">
        <v>10944</v>
      </c>
      <c r="C3409" t="s">
        <v>10945</v>
      </c>
      <c r="F3409">
        <v>1</v>
      </c>
      <c r="G3409" s="1" t="s">
        <v>3525</v>
      </c>
      <c r="I3409" s="1" t="s">
        <v>11473</v>
      </c>
      <c r="O3409" t="s">
        <v>22</v>
      </c>
    </row>
    <row r="3410" spans="1:15">
      <c r="A3410" t="s">
        <v>5027</v>
      </c>
      <c r="B3410" t="s">
        <v>5027</v>
      </c>
      <c r="C3410" t="s">
        <v>8064</v>
      </c>
      <c r="F3410">
        <v>1</v>
      </c>
      <c r="G3410" s="1" t="s">
        <v>3526</v>
      </c>
      <c r="I3410" s="1" t="s">
        <v>11473</v>
      </c>
      <c r="O3410" t="s">
        <v>22</v>
      </c>
    </row>
    <row r="3411" spans="1:15">
      <c r="A3411" t="s">
        <v>6740</v>
      </c>
      <c r="B3411" t="s">
        <v>6740</v>
      </c>
      <c r="C3411" t="s">
        <v>4850</v>
      </c>
      <c r="F3411">
        <v>1</v>
      </c>
      <c r="G3411" s="1" t="s">
        <v>3527</v>
      </c>
      <c r="I3411" s="1" t="s">
        <v>11473</v>
      </c>
      <c r="O3411" t="s">
        <v>22</v>
      </c>
    </row>
    <row r="3412" spans="1:15">
      <c r="A3412" t="s">
        <v>5962</v>
      </c>
      <c r="B3412" t="s">
        <v>5962</v>
      </c>
      <c r="C3412" t="s">
        <v>4055</v>
      </c>
      <c r="F3412">
        <v>1</v>
      </c>
      <c r="G3412" s="1" t="s">
        <v>3528</v>
      </c>
      <c r="I3412" s="1" t="s">
        <v>11473</v>
      </c>
      <c r="O3412" t="s">
        <v>22</v>
      </c>
    </row>
    <row r="3413" spans="1:15">
      <c r="A3413" t="s">
        <v>10877</v>
      </c>
      <c r="B3413" t="s">
        <v>10877</v>
      </c>
      <c r="C3413" t="s">
        <v>4055</v>
      </c>
      <c r="F3413">
        <v>1</v>
      </c>
      <c r="G3413" s="1" t="s">
        <v>3529</v>
      </c>
      <c r="I3413" s="1" t="s">
        <v>11473</v>
      </c>
      <c r="O3413" t="s">
        <v>22</v>
      </c>
    </row>
    <row r="3414" spans="1:15">
      <c r="A3414" t="s">
        <v>5515</v>
      </c>
      <c r="B3414" t="s">
        <v>5515</v>
      </c>
      <c r="C3414" t="s">
        <v>4047</v>
      </c>
      <c r="F3414">
        <v>1</v>
      </c>
      <c r="G3414" s="1" t="s">
        <v>3530</v>
      </c>
      <c r="I3414" s="1" t="s">
        <v>11473</v>
      </c>
      <c r="O3414" t="s">
        <v>22</v>
      </c>
    </row>
    <row r="3415" spans="1:15">
      <c r="A3415" t="s">
        <v>5930</v>
      </c>
      <c r="B3415" t="s">
        <v>5930</v>
      </c>
      <c r="C3415" t="s">
        <v>4047</v>
      </c>
      <c r="F3415">
        <v>1</v>
      </c>
      <c r="G3415" s="1" t="s">
        <v>3531</v>
      </c>
      <c r="I3415" s="1" t="s">
        <v>11473</v>
      </c>
      <c r="O3415" t="s">
        <v>22</v>
      </c>
    </row>
    <row r="3416" spans="1:15">
      <c r="A3416" t="s">
        <v>8503</v>
      </c>
      <c r="B3416" t="s">
        <v>8503</v>
      </c>
      <c r="C3416" t="s">
        <v>4902</v>
      </c>
      <c r="F3416">
        <v>1</v>
      </c>
      <c r="G3416" s="1" t="s">
        <v>3532</v>
      </c>
      <c r="I3416" s="1" t="s">
        <v>11473</v>
      </c>
      <c r="O3416" t="s">
        <v>22</v>
      </c>
    </row>
    <row r="3417" spans="1:15">
      <c r="A3417" t="s">
        <v>6837</v>
      </c>
      <c r="B3417" t="s">
        <v>6837</v>
      </c>
      <c r="C3417" t="s">
        <v>6838</v>
      </c>
      <c r="F3417">
        <v>1</v>
      </c>
      <c r="G3417" s="1" t="s">
        <v>3533</v>
      </c>
      <c r="I3417" s="1" t="s">
        <v>11473</v>
      </c>
      <c r="O3417" t="s">
        <v>22</v>
      </c>
    </row>
    <row r="3418" spans="1:15">
      <c r="A3418" t="s">
        <v>10668</v>
      </c>
      <c r="B3418" t="s">
        <v>10668</v>
      </c>
      <c r="C3418" t="s">
        <v>6838</v>
      </c>
      <c r="F3418">
        <v>1</v>
      </c>
      <c r="G3418" s="1" t="s">
        <v>3534</v>
      </c>
      <c r="I3418" s="1" t="s">
        <v>11473</v>
      </c>
      <c r="O3418" t="s">
        <v>22</v>
      </c>
    </row>
    <row r="3419" spans="1:15">
      <c r="A3419" t="s">
        <v>5976</v>
      </c>
      <c r="B3419" t="s">
        <v>5976</v>
      </c>
      <c r="C3419" t="s">
        <v>5977</v>
      </c>
      <c r="F3419">
        <v>1</v>
      </c>
      <c r="G3419" s="1" t="s">
        <v>3535</v>
      </c>
      <c r="I3419" s="1" t="s">
        <v>11473</v>
      </c>
      <c r="O3419" t="s">
        <v>22</v>
      </c>
    </row>
    <row r="3420" spans="1:15">
      <c r="A3420" t="s">
        <v>10784</v>
      </c>
      <c r="B3420" t="s">
        <v>10784</v>
      </c>
      <c r="C3420" t="s">
        <v>10785</v>
      </c>
      <c r="F3420">
        <v>1</v>
      </c>
      <c r="G3420" s="1" t="s">
        <v>3536</v>
      </c>
      <c r="I3420" s="1" t="s">
        <v>11473</v>
      </c>
      <c r="O3420" t="s">
        <v>22</v>
      </c>
    </row>
    <row r="3421" spans="1:15">
      <c r="A3421" t="s">
        <v>5699</v>
      </c>
      <c r="B3421" t="s">
        <v>5699</v>
      </c>
      <c r="C3421" t="s">
        <v>14</v>
      </c>
      <c r="F3421">
        <v>1</v>
      </c>
      <c r="G3421" s="1" t="s">
        <v>3537</v>
      </c>
      <c r="I3421" s="1" t="s">
        <v>11473</v>
      </c>
      <c r="O3421" t="s">
        <v>22</v>
      </c>
    </row>
    <row r="3422" spans="1:15">
      <c r="A3422" t="s">
        <v>8255</v>
      </c>
      <c r="B3422" t="s">
        <v>8255</v>
      </c>
      <c r="C3422" t="s">
        <v>14</v>
      </c>
      <c r="F3422">
        <v>1</v>
      </c>
      <c r="G3422" s="1" t="s">
        <v>3538</v>
      </c>
      <c r="I3422" s="1" t="s">
        <v>11473</v>
      </c>
      <c r="O3422" t="s">
        <v>22</v>
      </c>
    </row>
    <row r="3423" spans="1:15">
      <c r="A3423" t="s">
        <v>5693</v>
      </c>
      <c r="B3423" t="s">
        <v>5693</v>
      </c>
      <c r="C3423" t="s">
        <v>4934</v>
      </c>
      <c r="F3423">
        <v>1</v>
      </c>
      <c r="G3423" s="1" t="s">
        <v>3539</v>
      </c>
      <c r="I3423" s="1" t="s">
        <v>11473</v>
      </c>
      <c r="O3423" t="s">
        <v>22</v>
      </c>
    </row>
    <row r="3424" spans="1:15">
      <c r="A3424" t="s">
        <v>10958</v>
      </c>
      <c r="B3424" t="s">
        <v>10958</v>
      </c>
      <c r="C3424" t="s">
        <v>4934</v>
      </c>
      <c r="F3424">
        <v>1</v>
      </c>
      <c r="G3424" s="1" t="s">
        <v>3540</v>
      </c>
      <c r="I3424" s="1" t="s">
        <v>11473</v>
      </c>
      <c r="O3424" t="s">
        <v>22</v>
      </c>
    </row>
    <row r="3425" spans="1:15">
      <c r="A3425" t="s">
        <v>10654</v>
      </c>
      <c r="B3425" t="s">
        <v>10654</v>
      </c>
      <c r="C3425" t="s">
        <v>10655</v>
      </c>
      <c r="F3425">
        <v>1</v>
      </c>
      <c r="G3425" s="1" t="s">
        <v>3541</v>
      </c>
      <c r="I3425" s="1" t="s">
        <v>11473</v>
      </c>
      <c r="O3425" t="s">
        <v>22</v>
      </c>
    </row>
    <row r="3426" spans="1:15">
      <c r="A3426" t="s">
        <v>10845</v>
      </c>
      <c r="B3426" t="s">
        <v>10845</v>
      </c>
      <c r="C3426" t="s">
        <v>4933</v>
      </c>
      <c r="F3426">
        <v>1</v>
      </c>
      <c r="G3426" s="1" t="s">
        <v>3542</v>
      </c>
      <c r="I3426" s="1" t="s">
        <v>11473</v>
      </c>
      <c r="O3426" t="s">
        <v>22</v>
      </c>
    </row>
    <row r="3427" spans="1:15">
      <c r="A3427" t="s">
        <v>10886</v>
      </c>
      <c r="B3427" t="s">
        <v>10886</v>
      </c>
      <c r="C3427" t="s">
        <v>4944</v>
      </c>
      <c r="F3427">
        <v>1</v>
      </c>
      <c r="G3427" s="1" t="s">
        <v>3543</v>
      </c>
      <c r="I3427" s="1" t="s">
        <v>11473</v>
      </c>
      <c r="O3427" t="s">
        <v>22</v>
      </c>
    </row>
    <row r="3428" spans="1:15">
      <c r="A3428" t="s">
        <v>6781</v>
      </c>
      <c r="B3428" t="s">
        <v>6781</v>
      </c>
      <c r="C3428" t="s">
        <v>6782</v>
      </c>
      <c r="F3428">
        <v>1</v>
      </c>
      <c r="G3428" s="1" t="s">
        <v>3544</v>
      </c>
      <c r="I3428" s="1" t="s">
        <v>11473</v>
      </c>
      <c r="O3428" t="s">
        <v>22</v>
      </c>
    </row>
    <row r="3429" spans="1:15">
      <c r="A3429" t="s">
        <v>10656</v>
      </c>
      <c r="B3429" t="s">
        <v>10656</v>
      </c>
      <c r="C3429" t="s">
        <v>6782</v>
      </c>
      <c r="F3429">
        <v>1</v>
      </c>
      <c r="G3429" s="1" t="s">
        <v>3545</v>
      </c>
      <c r="I3429" s="1" t="s">
        <v>11473</v>
      </c>
      <c r="O3429" t="s">
        <v>22</v>
      </c>
    </row>
    <row r="3430" spans="1:15">
      <c r="A3430" t="s">
        <v>5553</v>
      </c>
      <c r="B3430" t="s">
        <v>5553</v>
      </c>
      <c r="C3430" t="s">
        <v>4363</v>
      </c>
      <c r="F3430">
        <v>1</v>
      </c>
      <c r="G3430" s="1" t="s">
        <v>3546</v>
      </c>
      <c r="I3430" s="1" t="s">
        <v>11473</v>
      </c>
      <c r="O3430" t="s">
        <v>22</v>
      </c>
    </row>
    <row r="3431" spans="1:15">
      <c r="A3431" t="s">
        <v>5735</v>
      </c>
      <c r="B3431" t="s">
        <v>5735</v>
      </c>
      <c r="C3431" t="s">
        <v>4363</v>
      </c>
      <c r="F3431">
        <v>1</v>
      </c>
      <c r="G3431" s="1" t="s">
        <v>3547</v>
      </c>
      <c r="I3431" s="1" t="s">
        <v>11473</v>
      </c>
      <c r="O3431" t="s">
        <v>22</v>
      </c>
    </row>
    <row r="3432" spans="1:15">
      <c r="A3432" t="s">
        <v>5926</v>
      </c>
      <c r="B3432" t="s">
        <v>5926</v>
      </c>
      <c r="C3432" t="s">
        <v>5028</v>
      </c>
      <c r="F3432">
        <v>1</v>
      </c>
      <c r="G3432" s="1" t="s">
        <v>3548</v>
      </c>
      <c r="I3432" s="1" t="s">
        <v>11473</v>
      </c>
      <c r="O3432" t="s">
        <v>22</v>
      </c>
    </row>
    <row r="3433" spans="1:15">
      <c r="A3433" t="s">
        <v>5982</v>
      </c>
      <c r="B3433" t="s">
        <v>5982</v>
      </c>
      <c r="C3433" t="s">
        <v>5983</v>
      </c>
      <c r="F3433">
        <v>1</v>
      </c>
      <c r="G3433" s="1" t="s">
        <v>3549</v>
      </c>
      <c r="I3433" s="1" t="s">
        <v>11473</v>
      </c>
      <c r="O3433" t="s">
        <v>22</v>
      </c>
    </row>
    <row r="3434" spans="1:15">
      <c r="A3434" t="s">
        <v>9585</v>
      </c>
      <c r="B3434" t="s">
        <v>9585</v>
      </c>
      <c r="C3434" t="s">
        <v>9586</v>
      </c>
      <c r="F3434">
        <v>1</v>
      </c>
      <c r="G3434" s="1" t="s">
        <v>3550</v>
      </c>
      <c r="I3434" s="1" t="s">
        <v>11473</v>
      </c>
      <c r="O3434" t="s">
        <v>22</v>
      </c>
    </row>
    <row r="3435" spans="1:15">
      <c r="A3435" t="s">
        <v>9822</v>
      </c>
      <c r="B3435" t="s">
        <v>9822</v>
      </c>
      <c r="C3435" t="s">
        <v>9823</v>
      </c>
      <c r="F3435">
        <v>1</v>
      </c>
      <c r="G3435" s="1" t="s">
        <v>3551</v>
      </c>
      <c r="I3435" s="1" t="s">
        <v>11473</v>
      </c>
      <c r="O3435" t="s">
        <v>22</v>
      </c>
    </row>
    <row r="3436" spans="1:15">
      <c r="A3436" t="s">
        <v>10103</v>
      </c>
      <c r="B3436" t="s">
        <v>10103</v>
      </c>
      <c r="C3436" t="s">
        <v>10104</v>
      </c>
      <c r="F3436">
        <v>1</v>
      </c>
      <c r="G3436" s="1" t="s">
        <v>3552</v>
      </c>
      <c r="I3436" s="1" t="s">
        <v>11473</v>
      </c>
      <c r="O3436" t="s">
        <v>22</v>
      </c>
    </row>
    <row r="3437" spans="1:15">
      <c r="A3437" t="s">
        <v>5523</v>
      </c>
      <c r="B3437" t="s">
        <v>5523</v>
      </c>
      <c r="C3437" t="s">
        <v>5036</v>
      </c>
      <c r="F3437">
        <v>1</v>
      </c>
      <c r="G3437" s="1" t="s">
        <v>3553</v>
      </c>
      <c r="I3437" s="1" t="s">
        <v>11473</v>
      </c>
      <c r="O3437" t="s">
        <v>22</v>
      </c>
    </row>
    <row r="3438" spans="1:15">
      <c r="A3438" t="s">
        <v>9838</v>
      </c>
      <c r="B3438" t="s">
        <v>9838</v>
      </c>
      <c r="C3438" t="s">
        <v>5036</v>
      </c>
      <c r="F3438">
        <v>1</v>
      </c>
      <c r="G3438" s="1" t="s">
        <v>3554</v>
      </c>
      <c r="I3438" s="1" t="s">
        <v>11473</v>
      </c>
      <c r="O3438" t="s">
        <v>22</v>
      </c>
    </row>
    <row r="3439" spans="1:15">
      <c r="A3439" t="s">
        <v>8752</v>
      </c>
      <c r="B3439" t="s">
        <v>8752</v>
      </c>
      <c r="C3439" t="s">
        <v>8753</v>
      </c>
      <c r="F3439">
        <v>1</v>
      </c>
      <c r="G3439" s="1" t="s">
        <v>3555</v>
      </c>
      <c r="I3439" s="1" t="s">
        <v>11473</v>
      </c>
      <c r="O3439" t="s">
        <v>22</v>
      </c>
    </row>
    <row r="3440" spans="1:15">
      <c r="A3440" t="s">
        <v>10878</v>
      </c>
      <c r="B3440" t="s">
        <v>10878</v>
      </c>
      <c r="C3440" t="s">
        <v>8753</v>
      </c>
      <c r="F3440">
        <v>1</v>
      </c>
      <c r="G3440" s="1" t="s">
        <v>3556</v>
      </c>
      <c r="I3440" s="1" t="s">
        <v>11473</v>
      </c>
      <c r="O3440" t="s">
        <v>22</v>
      </c>
    </row>
    <row r="3441" spans="1:15">
      <c r="A3441" t="s">
        <v>10859</v>
      </c>
      <c r="B3441" t="s">
        <v>10859</v>
      </c>
      <c r="C3441" t="s">
        <v>10860</v>
      </c>
      <c r="F3441">
        <v>1</v>
      </c>
      <c r="G3441" s="1" t="s">
        <v>3557</v>
      </c>
      <c r="I3441" s="1" t="s">
        <v>11473</v>
      </c>
      <c r="O3441" t="s">
        <v>22</v>
      </c>
    </row>
    <row r="3442" spans="1:15">
      <c r="A3442" t="s">
        <v>5666</v>
      </c>
      <c r="B3442" t="s">
        <v>5666</v>
      </c>
      <c r="C3442" t="s">
        <v>5667</v>
      </c>
      <c r="F3442">
        <v>1</v>
      </c>
      <c r="G3442" s="1" t="s">
        <v>3558</v>
      </c>
      <c r="I3442" s="1" t="s">
        <v>11473</v>
      </c>
      <c r="O3442" t="s">
        <v>22</v>
      </c>
    </row>
    <row r="3443" spans="1:15">
      <c r="A3443" t="s">
        <v>8241</v>
      </c>
      <c r="B3443" t="s">
        <v>8241</v>
      </c>
      <c r="C3443" t="s">
        <v>5667</v>
      </c>
      <c r="F3443">
        <v>1</v>
      </c>
      <c r="G3443" s="1" t="s">
        <v>3559</v>
      </c>
      <c r="I3443" s="1" t="s">
        <v>11473</v>
      </c>
      <c r="O3443" t="s">
        <v>22</v>
      </c>
    </row>
    <row r="3444" spans="1:15">
      <c r="A3444" t="s">
        <v>9985</v>
      </c>
      <c r="B3444" t="s">
        <v>9985</v>
      </c>
      <c r="C3444" t="s">
        <v>5667</v>
      </c>
      <c r="F3444">
        <v>1</v>
      </c>
      <c r="G3444" s="1" t="s">
        <v>3560</v>
      </c>
      <c r="I3444" s="1" t="s">
        <v>11473</v>
      </c>
      <c r="O3444" t="s">
        <v>22</v>
      </c>
    </row>
    <row r="3445" spans="1:15">
      <c r="A3445" t="s">
        <v>10856</v>
      </c>
      <c r="B3445" t="s">
        <v>10856</v>
      </c>
      <c r="C3445" t="s">
        <v>5667</v>
      </c>
      <c r="F3445">
        <v>1</v>
      </c>
      <c r="G3445" s="1" t="s">
        <v>3561</v>
      </c>
      <c r="I3445" s="1" t="s">
        <v>11473</v>
      </c>
      <c r="O3445" t="s">
        <v>22</v>
      </c>
    </row>
    <row r="3446" spans="1:15">
      <c r="A3446" t="s">
        <v>5931</v>
      </c>
      <c r="B3446" t="s">
        <v>5931</v>
      </c>
      <c r="C3446" t="s">
        <v>5041</v>
      </c>
      <c r="F3446">
        <v>1</v>
      </c>
      <c r="G3446" s="1" t="s">
        <v>3562</v>
      </c>
      <c r="I3446" s="1" t="s">
        <v>11473</v>
      </c>
      <c r="O3446" t="s">
        <v>22</v>
      </c>
    </row>
    <row r="3447" spans="1:15">
      <c r="A3447" t="s">
        <v>5952</v>
      </c>
      <c r="B3447" t="s">
        <v>5952</v>
      </c>
      <c r="C3447" t="s">
        <v>5041</v>
      </c>
      <c r="F3447">
        <v>1</v>
      </c>
      <c r="G3447" s="1" t="s">
        <v>3563</v>
      </c>
      <c r="I3447" s="1" t="s">
        <v>11473</v>
      </c>
      <c r="O3447" t="s">
        <v>22</v>
      </c>
    </row>
    <row r="3448" spans="1:15">
      <c r="A3448" t="s">
        <v>6394</v>
      </c>
      <c r="B3448" t="s">
        <v>6394</v>
      </c>
      <c r="C3448" t="s">
        <v>5041</v>
      </c>
      <c r="F3448">
        <v>1</v>
      </c>
      <c r="G3448" s="1" t="s">
        <v>3564</v>
      </c>
      <c r="I3448" s="1" t="s">
        <v>11473</v>
      </c>
      <c r="O3448" t="s">
        <v>22</v>
      </c>
    </row>
    <row r="3449" spans="1:15">
      <c r="A3449" t="s">
        <v>9602</v>
      </c>
      <c r="B3449" t="s">
        <v>9602</v>
      </c>
      <c r="C3449" t="s">
        <v>4937</v>
      </c>
      <c r="F3449">
        <v>1</v>
      </c>
      <c r="G3449" s="1" t="s">
        <v>3565</v>
      </c>
      <c r="I3449" s="1" t="s">
        <v>11473</v>
      </c>
      <c r="O3449" t="s">
        <v>22</v>
      </c>
    </row>
    <row r="3450" spans="1:15">
      <c r="A3450" t="s">
        <v>5964</v>
      </c>
      <c r="B3450" t="s">
        <v>5964</v>
      </c>
      <c r="C3450" t="s">
        <v>5965</v>
      </c>
      <c r="F3450">
        <v>1</v>
      </c>
      <c r="G3450" s="1" t="s">
        <v>3566</v>
      </c>
      <c r="I3450" s="1" t="s">
        <v>11473</v>
      </c>
      <c r="O3450" t="s">
        <v>22</v>
      </c>
    </row>
    <row r="3451" spans="1:15">
      <c r="A3451" t="s">
        <v>5696</v>
      </c>
      <c r="B3451" t="s">
        <v>5696</v>
      </c>
      <c r="C3451" t="s">
        <v>4032</v>
      </c>
      <c r="F3451">
        <v>1</v>
      </c>
      <c r="G3451" s="1" t="s">
        <v>3567</v>
      </c>
      <c r="I3451" s="1" t="s">
        <v>11473</v>
      </c>
      <c r="O3451" t="s">
        <v>22</v>
      </c>
    </row>
    <row r="3452" spans="1:15">
      <c r="A3452" t="s">
        <v>5936</v>
      </c>
      <c r="B3452" t="s">
        <v>5936</v>
      </c>
      <c r="C3452" t="s">
        <v>4032</v>
      </c>
      <c r="F3452">
        <v>1</v>
      </c>
      <c r="G3452" s="1" t="s">
        <v>3568</v>
      </c>
      <c r="I3452" s="1" t="s">
        <v>11473</v>
      </c>
      <c r="O3452" t="s">
        <v>22</v>
      </c>
    </row>
    <row r="3453" spans="1:15">
      <c r="A3453" t="s">
        <v>10895</v>
      </c>
      <c r="B3453" t="s">
        <v>10895</v>
      </c>
      <c r="C3453" t="s">
        <v>4032</v>
      </c>
      <c r="F3453">
        <v>1</v>
      </c>
      <c r="G3453" s="1" t="s">
        <v>3569</v>
      </c>
      <c r="I3453" s="1" t="s">
        <v>11473</v>
      </c>
      <c r="O3453" t="s">
        <v>22</v>
      </c>
    </row>
    <row r="3454" spans="1:15">
      <c r="A3454" t="s">
        <v>9809</v>
      </c>
      <c r="B3454" t="s">
        <v>9809</v>
      </c>
      <c r="C3454" t="s">
        <v>9810</v>
      </c>
      <c r="F3454">
        <v>1</v>
      </c>
      <c r="G3454" s="1" t="s">
        <v>3570</v>
      </c>
      <c r="I3454" s="1" t="s">
        <v>11473</v>
      </c>
      <c r="O3454" t="s">
        <v>22</v>
      </c>
    </row>
    <row r="3455" spans="1:15">
      <c r="A3455" t="s">
        <v>7015</v>
      </c>
      <c r="B3455" t="s">
        <v>7015</v>
      </c>
      <c r="C3455" t="s">
        <v>7016</v>
      </c>
      <c r="F3455">
        <v>1</v>
      </c>
      <c r="G3455" s="1" t="s">
        <v>3571</v>
      </c>
      <c r="I3455" s="1" t="s">
        <v>11473</v>
      </c>
      <c r="O3455" t="s">
        <v>22</v>
      </c>
    </row>
    <row r="3456" spans="1:15">
      <c r="A3456" t="s">
        <v>10861</v>
      </c>
      <c r="B3456" t="s">
        <v>10861</v>
      </c>
      <c r="C3456" t="s">
        <v>10862</v>
      </c>
      <c r="F3456">
        <v>1</v>
      </c>
      <c r="G3456" s="1" t="s">
        <v>3572</v>
      </c>
      <c r="I3456" s="1" t="s">
        <v>11473</v>
      </c>
      <c r="O3456" t="s">
        <v>22</v>
      </c>
    </row>
    <row r="3457" spans="1:15">
      <c r="A3457" t="s">
        <v>5726</v>
      </c>
      <c r="B3457" t="s">
        <v>5726</v>
      </c>
      <c r="C3457" t="s">
        <v>5727</v>
      </c>
      <c r="F3457">
        <v>1</v>
      </c>
      <c r="G3457" s="1" t="s">
        <v>3573</v>
      </c>
      <c r="I3457" s="1" t="s">
        <v>11473</v>
      </c>
      <c r="O3457" t="s">
        <v>22</v>
      </c>
    </row>
    <row r="3458" spans="1:15">
      <c r="A3458" t="s">
        <v>5963</v>
      </c>
      <c r="B3458" t="s">
        <v>5963</v>
      </c>
      <c r="C3458" t="s">
        <v>4211</v>
      </c>
      <c r="F3458">
        <v>1</v>
      </c>
      <c r="G3458" s="1" t="s">
        <v>3574</v>
      </c>
      <c r="I3458" s="1" t="s">
        <v>11473</v>
      </c>
      <c r="O3458" t="s">
        <v>22</v>
      </c>
    </row>
    <row r="3459" spans="1:15">
      <c r="A3459" t="s">
        <v>5978</v>
      </c>
      <c r="B3459" t="s">
        <v>5978</v>
      </c>
      <c r="C3459" t="s">
        <v>15</v>
      </c>
      <c r="F3459">
        <v>1</v>
      </c>
      <c r="G3459" s="1" t="s">
        <v>3575</v>
      </c>
      <c r="I3459" s="1" t="s">
        <v>11473</v>
      </c>
      <c r="O3459" t="s">
        <v>22</v>
      </c>
    </row>
    <row r="3460" spans="1:15">
      <c r="A3460" t="s">
        <v>8819</v>
      </c>
      <c r="B3460" t="s">
        <v>8819</v>
      </c>
      <c r="C3460" t="s">
        <v>4332</v>
      </c>
      <c r="F3460">
        <v>1</v>
      </c>
      <c r="G3460" s="1" t="s">
        <v>3576</v>
      </c>
      <c r="I3460" s="1" t="s">
        <v>11473</v>
      </c>
      <c r="O3460" t="s">
        <v>22</v>
      </c>
    </row>
    <row r="3461" spans="1:15">
      <c r="A3461" t="s">
        <v>5708</v>
      </c>
      <c r="B3461" t="s">
        <v>5708</v>
      </c>
      <c r="C3461" t="s">
        <v>5709</v>
      </c>
      <c r="F3461">
        <v>1</v>
      </c>
      <c r="G3461" s="1" t="s">
        <v>3577</v>
      </c>
      <c r="I3461" s="1" t="s">
        <v>11473</v>
      </c>
      <c r="O3461" t="s">
        <v>22</v>
      </c>
    </row>
    <row r="3462" spans="1:15">
      <c r="A3462" t="s">
        <v>6577</v>
      </c>
      <c r="B3462" t="s">
        <v>6577</v>
      </c>
      <c r="C3462" t="s">
        <v>5709</v>
      </c>
      <c r="F3462">
        <v>1</v>
      </c>
      <c r="G3462" s="1" t="s">
        <v>3578</v>
      </c>
      <c r="I3462" s="1" t="s">
        <v>11473</v>
      </c>
      <c r="O3462" t="s">
        <v>22</v>
      </c>
    </row>
    <row r="3463" spans="1:15">
      <c r="A3463" t="s">
        <v>9791</v>
      </c>
      <c r="B3463" t="s">
        <v>9791</v>
      </c>
      <c r="C3463" t="s">
        <v>9792</v>
      </c>
      <c r="F3463">
        <v>1</v>
      </c>
      <c r="G3463" s="1" t="s">
        <v>3579</v>
      </c>
      <c r="I3463" s="1" t="s">
        <v>11473</v>
      </c>
      <c r="O3463" t="s">
        <v>22</v>
      </c>
    </row>
    <row r="3464" spans="1:15">
      <c r="A3464" t="s">
        <v>5950</v>
      </c>
      <c r="B3464" t="s">
        <v>5950</v>
      </c>
      <c r="C3464" t="s">
        <v>5951</v>
      </c>
      <c r="F3464">
        <v>1</v>
      </c>
      <c r="G3464" s="1" t="s">
        <v>3580</v>
      </c>
      <c r="I3464" s="1" t="s">
        <v>11473</v>
      </c>
      <c r="O3464" t="s">
        <v>22</v>
      </c>
    </row>
    <row r="3465" spans="1:15">
      <c r="A3465" t="s">
        <v>5966</v>
      </c>
      <c r="B3465" t="s">
        <v>5966</v>
      </c>
      <c r="C3465" t="s">
        <v>5951</v>
      </c>
      <c r="F3465">
        <v>1</v>
      </c>
      <c r="G3465" s="1" t="s">
        <v>3581</v>
      </c>
      <c r="I3465" s="1" t="s">
        <v>11473</v>
      </c>
      <c r="O3465" t="s">
        <v>22</v>
      </c>
    </row>
    <row r="3466" spans="1:15">
      <c r="A3466" t="s">
        <v>7145</v>
      </c>
      <c r="B3466" t="s">
        <v>7145</v>
      </c>
      <c r="C3466" t="s">
        <v>4771</v>
      </c>
      <c r="F3466">
        <v>1</v>
      </c>
      <c r="G3466" s="1" t="s">
        <v>3582</v>
      </c>
      <c r="I3466" s="1" t="s">
        <v>11473</v>
      </c>
      <c r="O3466" t="s">
        <v>22</v>
      </c>
    </row>
    <row r="3467" spans="1:15">
      <c r="A3467" t="s">
        <v>8996</v>
      </c>
      <c r="B3467" t="s">
        <v>8996</v>
      </c>
      <c r="C3467" t="s">
        <v>4771</v>
      </c>
      <c r="F3467">
        <v>1</v>
      </c>
      <c r="G3467" s="1" t="s">
        <v>3583</v>
      </c>
      <c r="I3467" s="1" t="s">
        <v>11473</v>
      </c>
      <c r="O3467" t="s">
        <v>22</v>
      </c>
    </row>
    <row r="3468" spans="1:15">
      <c r="A3468" t="s">
        <v>5488</v>
      </c>
      <c r="B3468" t="s">
        <v>5488</v>
      </c>
      <c r="C3468" t="s">
        <v>4793</v>
      </c>
      <c r="F3468">
        <v>1</v>
      </c>
      <c r="G3468" s="1" t="s">
        <v>3584</v>
      </c>
      <c r="I3468" s="1" t="s">
        <v>11473</v>
      </c>
      <c r="O3468" t="s">
        <v>22</v>
      </c>
    </row>
    <row r="3469" spans="1:15">
      <c r="A3469" t="s">
        <v>5988</v>
      </c>
      <c r="B3469" t="s">
        <v>5988</v>
      </c>
      <c r="C3469" t="s">
        <v>4102</v>
      </c>
      <c r="F3469">
        <v>1</v>
      </c>
      <c r="G3469" s="1" t="s">
        <v>3585</v>
      </c>
      <c r="I3469" s="1" t="s">
        <v>11473</v>
      </c>
      <c r="O3469" t="s">
        <v>22</v>
      </c>
    </row>
    <row r="3470" spans="1:15">
      <c r="A3470" t="s">
        <v>8369</v>
      </c>
      <c r="B3470" t="s">
        <v>8369</v>
      </c>
      <c r="C3470" t="s">
        <v>8370</v>
      </c>
      <c r="F3470">
        <v>1</v>
      </c>
      <c r="G3470" s="1" t="s">
        <v>3586</v>
      </c>
      <c r="I3470" s="1" t="s">
        <v>11473</v>
      </c>
      <c r="O3470" t="s">
        <v>22</v>
      </c>
    </row>
    <row r="3471" spans="1:15">
      <c r="A3471" t="s">
        <v>10675</v>
      </c>
      <c r="B3471" t="s">
        <v>10675</v>
      </c>
      <c r="C3471" t="s">
        <v>8370</v>
      </c>
      <c r="F3471">
        <v>1</v>
      </c>
      <c r="G3471" s="1" t="s">
        <v>3587</v>
      </c>
      <c r="I3471" s="1" t="s">
        <v>11473</v>
      </c>
      <c r="O3471" t="s">
        <v>22</v>
      </c>
    </row>
    <row r="3472" spans="1:15">
      <c r="A3472" t="s">
        <v>7549</v>
      </c>
      <c r="B3472" t="s">
        <v>7549</v>
      </c>
      <c r="C3472" t="s">
        <v>7550</v>
      </c>
      <c r="F3472">
        <v>1</v>
      </c>
      <c r="G3472" s="1" t="s">
        <v>3588</v>
      </c>
      <c r="I3472" s="1" t="s">
        <v>11473</v>
      </c>
      <c r="O3472" t="s">
        <v>22</v>
      </c>
    </row>
    <row r="3473" spans="1:15">
      <c r="A3473" t="s">
        <v>8406</v>
      </c>
      <c r="B3473" t="s">
        <v>8406</v>
      </c>
      <c r="C3473" t="s">
        <v>7550</v>
      </c>
      <c r="F3473">
        <v>1</v>
      </c>
      <c r="G3473" s="1" t="s">
        <v>3589</v>
      </c>
      <c r="I3473" s="1" t="s">
        <v>11473</v>
      </c>
      <c r="O3473" t="s">
        <v>22</v>
      </c>
    </row>
    <row r="3474" spans="1:15">
      <c r="A3474" t="s">
        <v>5549</v>
      </c>
      <c r="B3474" t="s">
        <v>5549</v>
      </c>
      <c r="C3474" t="s">
        <v>5550</v>
      </c>
      <c r="F3474">
        <v>1</v>
      </c>
      <c r="G3474" s="1" t="s">
        <v>3590</v>
      </c>
      <c r="I3474" s="1" t="s">
        <v>11473</v>
      </c>
      <c r="O3474" t="s">
        <v>22</v>
      </c>
    </row>
    <row r="3475" spans="1:15">
      <c r="A3475" t="s">
        <v>10683</v>
      </c>
      <c r="B3475" t="s">
        <v>10683</v>
      </c>
      <c r="C3475" t="s">
        <v>5550</v>
      </c>
      <c r="F3475">
        <v>1</v>
      </c>
      <c r="G3475" s="1" t="s">
        <v>3591</v>
      </c>
      <c r="I3475" s="1" t="s">
        <v>11473</v>
      </c>
      <c r="O3475" t="s">
        <v>22</v>
      </c>
    </row>
    <row r="3476" spans="1:15">
      <c r="A3476" t="s">
        <v>5483</v>
      </c>
      <c r="B3476" t="s">
        <v>5483</v>
      </c>
      <c r="C3476" t="s">
        <v>5484</v>
      </c>
      <c r="F3476">
        <v>1</v>
      </c>
      <c r="G3476" s="1" t="s">
        <v>3592</v>
      </c>
      <c r="I3476" s="1" t="s">
        <v>11473</v>
      </c>
      <c r="O3476" t="s">
        <v>22</v>
      </c>
    </row>
    <row r="3477" spans="1:15">
      <c r="A3477" t="s">
        <v>10678</v>
      </c>
      <c r="B3477" t="s">
        <v>10678</v>
      </c>
      <c r="C3477" t="s">
        <v>5484</v>
      </c>
      <c r="F3477">
        <v>1</v>
      </c>
      <c r="G3477" s="1" t="s">
        <v>3593</v>
      </c>
      <c r="I3477" s="1" t="s">
        <v>11473</v>
      </c>
      <c r="O3477" t="s">
        <v>22</v>
      </c>
    </row>
    <row r="3478" spans="1:15">
      <c r="A3478" t="s">
        <v>10679</v>
      </c>
      <c r="B3478" t="s">
        <v>10679</v>
      </c>
      <c r="C3478" t="s">
        <v>10680</v>
      </c>
      <c r="F3478">
        <v>1</v>
      </c>
      <c r="G3478" s="1" t="s">
        <v>3594</v>
      </c>
      <c r="I3478" s="1" t="s">
        <v>11473</v>
      </c>
      <c r="O3478" t="s">
        <v>22</v>
      </c>
    </row>
    <row r="3479" spans="1:15">
      <c r="A3479" t="s">
        <v>5955</v>
      </c>
      <c r="B3479" t="s">
        <v>5955</v>
      </c>
      <c r="C3479" t="s">
        <v>4940</v>
      </c>
      <c r="F3479">
        <v>1</v>
      </c>
      <c r="G3479" s="1" t="s">
        <v>3595</v>
      </c>
      <c r="I3479" s="1" t="s">
        <v>11473</v>
      </c>
      <c r="O3479" t="s">
        <v>22</v>
      </c>
    </row>
    <row r="3480" spans="1:15">
      <c r="A3480" t="s">
        <v>7164</v>
      </c>
      <c r="B3480" t="s">
        <v>7164</v>
      </c>
      <c r="C3480" t="s">
        <v>4947</v>
      </c>
      <c r="F3480">
        <v>1</v>
      </c>
      <c r="G3480" s="1" t="s">
        <v>3596</v>
      </c>
      <c r="I3480" s="1" t="s">
        <v>11473</v>
      </c>
      <c r="O3480" t="s">
        <v>22</v>
      </c>
    </row>
    <row r="3481" spans="1:15">
      <c r="A3481" t="s">
        <v>10911</v>
      </c>
      <c r="B3481" t="s">
        <v>10911</v>
      </c>
      <c r="C3481" t="s">
        <v>4729</v>
      </c>
      <c r="F3481">
        <v>1</v>
      </c>
      <c r="G3481" s="1" t="s">
        <v>3597</v>
      </c>
      <c r="I3481" s="1" t="s">
        <v>11473</v>
      </c>
      <c r="O3481" t="s">
        <v>22</v>
      </c>
    </row>
    <row r="3482" spans="1:15">
      <c r="A3482" t="s">
        <v>8403</v>
      </c>
      <c r="B3482" t="s">
        <v>8403</v>
      </c>
      <c r="C3482" t="s">
        <v>20</v>
      </c>
      <c r="F3482">
        <v>1</v>
      </c>
      <c r="G3482" s="1" t="s">
        <v>3598</v>
      </c>
      <c r="I3482" s="1" t="s">
        <v>11473</v>
      </c>
      <c r="O3482" t="s">
        <v>22</v>
      </c>
    </row>
    <row r="3483" spans="1:15">
      <c r="A3483" t="s">
        <v>9618</v>
      </c>
      <c r="B3483" t="s">
        <v>9618</v>
      </c>
      <c r="C3483" t="s">
        <v>9619</v>
      </c>
      <c r="F3483">
        <v>1</v>
      </c>
      <c r="G3483" s="1" t="s">
        <v>3599</v>
      </c>
      <c r="I3483" s="1" t="s">
        <v>11473</v>
      </c>
      <c r="O3483" t="s">
        <v>22</v>
      </c>
    </row>
    <row r="3484" spans="1:15">
      <c r="A3484" t="s">
        <v>9190</v>
      </c>
      <c r="B3484" t="s">
        <v>9190</v>
      </c>
      <c r="C3484" t="s">
        <v>9191</v>
      </c>
      <c r="F3484">
        <v>1</v>
      </c>
      <c r="G3484" s="1" t="s">
        <v>3600</v>
      </c>
      <c r="I3484" s="1" t="s">
        <v>11473</v>
      </c>
      <c r="O3484" t="s">
        <v>22</v>
      </c>
    </row>
    <row r="3485" spans="1:15">
      <c r="A3485" t="s">
        <v>9466</v>
      </c>
      <c r="B3485" t="s">
        <v>9466</v>
      </c>
      <c r="C3485" t="s">
        <v>9191</v>
      </c>
      <c r="F3485">
        <v>1</v>
      </c>
      <c r="G3485" s="1" t="s">
        <v>3601</v>
      </c>
      <c r="I3485" s="1" t="s">
        <v>11473</v>
      </c>
      <c r="O3485" t="s">
        <v>22</v>
      </c>
    </row>
    <row r="3486" spans="1:15">
      <c r="A3486" t="s">
        <v>9606</v>
      </c>
      <c r="B3486" t="s">
        <v>9606</v>
      </c>
      <c r="C3486" t="s">
        <v>9191</v>
      </c>
      <c r="F3486">
        <v>1</v>
      </c>
      <c r="G3486" s="1" t="s">
        <v>3602</v>
      </c>
      <c r="I3486" s="1" t="s">
        <v>11473</v>
      </c>
      <c r="O3486" t="s">
        <v>22</v>
      </c>
    </row>
    <row r="3487" spans="1:15">
      <c r="A3487" t="s">
        <v>10502</v>
      </c>
      <c r="B3487" t="s">
        <v>10502</v>
      </c>
      <c r="C3487" t="s">
        <v>10503</v>
      </c>
      <c r="F3487">
        <v>1</v>
      </c>
      <c r="G3487" s="1" t="s">
        <v>3603</v>
      </c>
      <c r="I3487" s="1" t="s">
        <v>11473</v>
      </c>
      <c r="O3487" t="s">
        <v>22</v>
      </c>
    </row>
    <row r="3488" spans="1:15">
      <c r="A3488" t="s">
        <v>9833</v>
      </c>
      <c r="B3488" t="s">
        <v>9833</v>
      </c>
      <c r="C3488" t="s">
        <v>9834</v>
      </c>
      <c r="F3488">
        <v>1</v>
      </c>
      <c r="G3488" s="1" t="s">
        <v>3604</v>
      </c>
      <c r="I3488" s="1" t="s">
        <v>11473</v>
      </c>
      <c r="O3488" t="s">
        <v>22</v>
      </c>
    </row>
    <row r="3489" spans="1:15">
      <c r="A3489" t="s">
        <v>10258</v>
      </c>
      <c r="B3489" t="s">
        <v>10258</v>
      </c>
      <c r="C3489" t="s">
        <v>5073</v>
      </c>
      <c r="F3489">
        <v>1</v>
      </c>
      <c r="G3489" s="1" t="s">
        <v>3605</v>
      </c>
      <c r="I3489" s="1" t="s">
        <v>11473</v>
      </c>
      <c r="O3489" t="s">
        <v>22</v>
      </c>
    </row>
    <row r="3490" spans="1:15">
      <c r="A3490" t="s">
        <v>9597</v>
      </c>
      <c r="B3490" t="s">
        <v>9597</v>
      </c>
      <c r="C3490" t="s">
        <v>9598</v>
      </c>
      <c r="F3490">
        <v>1</v>
      </c>
      <c r="G3490" s="1" t="s">
        <v>3606</v>
      </c>
      <c r="I3490" s="1" t="s">
        <v>11473</v>
      </c>
      <c r="O3490" t="s">
        <v>22</v>
      </c>
    </row>
    <row r="3491" spans="1:15">
      <c r="A3491" t="s">
        <v>8189</v>
      </c>
      <c r="B3491" t="s">
        <v>8189</v>
      </c>
      <c r="C3491" t="s">
        <v>4336</v>
      </c>
      <c r="F3491">
        <v>1</v>
      </c>
      <c r="G3491" s="1" t="s">
        <v>3607</v>
      </c>
      <c r="I3491" s="1" t="s">
        <v>11473</v>
      </c>
      <c r="O3491" t="s">
        <v>22</v>
      </c>
    </row>
    <row r="3492" spans="1:15">
      <c r="A3492" t="s">
        <v>8775</v>
      </c>
      <c r="B3492" t="s">
        <v>8775</v>
      </c>
      <c r="C3492" t="s">
        <v>4336</v>
      </c>
      <c r="F3492">
        <v>1</v>
      </c>
      <c r="G3492" s="1" t="s">
        <v>3608</v>
      </c>
      <c r="I3492" s="1" t="s">
        <v>11473</v>
      </c>
      <c r="O3492" t="s">
        <v>22</v>
      </c>
    </row>
    <row r="3493" spans="1:15">
      <c r="A3493" t="s">
        <v>9497</v>
      </c>
      <c r="B3493" t="s">
        <v>9497</v>
      </c>
      <c r="C3493" t="s">
        <v>4336</v>
      </c>
      <c r="F3493">
        <v>1</v>
      </c>
      <c r="G3493" s="1" t="s">
        <v>3609</v>
      </c>
      <c r="I3493" s="1" t="s">
        <v>11473</v>
      </c>
      <c r="O3493" t="s">
        <v>22</v>
      </c>
    </row>
    <row r="3494" spans="1:15">
      <c r="A3494" t="s">
        <v>10034</v>
      </c>
      <c r="B3494" t="s">
        <v>10034</v>
      </c>
      <c r="C3494" t="s">
        <v>4925</v>
      </c>
      <c r="F3494">
        <v>1</v>
      </c>
      <c r="G3494" s="1" t="s">
        <v>3610</v>
      </c>
      <c r="I3494" s="1" t="s">
        <v>11473</v>
      </c>
      <c r="O3494" t="s">
        <v>22</v>
      </c>
    </row>
    <row r="3495" spans="1:15">
      <c r="A3495" t="s">
        <v>8490</v>
      </c>
      <c r="B3495" t="s">
        <v>8490</v>
      </c>
      <c r="C3495" t="s">
        <v>4031</v>
      </c>
      <c r="F3495">
        <v>1</v>
      </c>
      <c r="G3495" s="1" t="s">
        <v>3611</v>
      </c>
      <c r="I3495" s="1" t="s">
        <v>11473</v>
      </c>
      <c r="O3495" t="s">
        <v>22</v>
      </c>
    </row>
    <row r="3496" spans="1:15">
      <c r="A3496" t="s">
        <v>8760</v>
      </c>
      <c r="B3496" t="s">
        <v>8760</v>
      </c>
      <c r="C3496" t="s">
        <v>4856</v>
      </c>
      <c r="F3496">
        <v>1</v>
      </c>
      <c r="G3496" s="1" t="s">
        <v>3612</v>
      </c>
      <c r="I3496" s="1" t="s">
        <v>11473</v>
      </c>
      <c r="O3496" t="s">
        <v>22</v>
      </c>
    </row>
    <row r="3497" spans="1:15">
      <c r="A3497" t="s">
        <v>9695</v>
      </c>
      <c r="B3497" t="s">
        <v>9695</v>
      </c>
      <c r="C3497" t="s">
        <v>5345</v>
      </c>
      <c r="F3497">
        <v>1</v>
      </c>
      <c r="G3497" s="1" t="s">
        <v>3613</v>
      </c>
      <c r="I3497" s="1" t="s">
        <v>11473</v>
      </c>
      <c r="O3497" t="s">
        <v>22</v>
      </c>
    </row>
    <row r="3498" spans="1:15">
      <c r="A3498" t="s">
        <v>10009</v>
      </c>
      <c r="B3498" t="s">
        <v>10009</v>
      </c>
      <c r="C3498" t="s">
        <v>5345</v>
      </c>
      <c r="F3498">
        <v>1</v>
      </c>
      <c r="G3498" s="1" t="s">
        <v>3614</v>
      </c>
      <c r="I3498" s="1" t="s">
        <v>11473</v>
      </c>
      <c r="O3498" t="s">
        <v>22</v>
      </c>
    </row>
    <row r="3499" spans="1:15">
      <c r="A3499" t="s">
        <v>8299</v>
      </c>
      <c r="B3499" t="s">
        <v>8299</v>
      </c>
      <c r="C3499" t="s">
        <v>8300</v>
      </c>
      <c r="F3499">
        <v>1</v>
      </c>
      <c r="G3499" s="1" t="s">
        <v>3615</v>
      </c>
      <c r="I3499" s="1" t="s">
        <v>11473</v>
      </c>
      <c r="O3499" t="s">
        <v>22</v>
      </c>
    </row>
    <row r="3500" spans="1:15">
      <c r="A3500" t="s">
        <v>8180</v>
      </c>
      <c r="B3500" t="s">
        <v>8180</v>
      </c>
      <c r="C3500" t="s">
        <v>8181</v>
      </c>
      <c r="F3500">
        <v>1</v>
      </c>
      <c r="G3500" s="1" t="s">
        <v>3616</v>
      </c>
      <c r="I3500" s="1" t="s">
        <v>11473</v>
      </c>
      <c r="O3500" t="s">
        <v>22</v>
      </c>
    </row>
    <row r="3501" spans="1:15">
      <c r="A3501" t="s">
        <v>8672</v>
      </c>
      <c r="B3501" t="s">
        <v>8672</v>
      </c>
      <c r="C3501" t="s">
        <v>8673</v>
      </c>
      <c r="F3501">
        <v>1</v>
      </c>
      <c r="G3501" s="1" t="s">
        <v>3617</v>
      </c>
      <c r="I3501" s="1" t="s">
        <v>11473</v>
      </c>
      <c r="O3501" t="s">
        <v>22</v>
      </c>
    </row>
    <row r="3502" spans="1:15">
      <c r="A3502" t="s">
        <v>6530</v>
      </c>
      <c r="B3502" t="s">
        <v>6530</v>
      </c>
      <c r="C3502" t="s">
        <v>6531</v>
      </c>
      <c r="F3502">
        <v>1</v>
      </c>
      <c r="G3502" s="1" t="s">
        <v>3618</v>
      </c>
      <c r="I3502" s="1" t="s">
        <v>11473</v>
      </c>
      <c r="O3502" t="s">
        <v>22</v>
      </c>
    </row>
    <row r="3503" spans="1:15">
      <c r="A3503" t="s">
        <v>7163</v>
      </c>
      <c r="B3503" t="s">
        <v>7163</v>
      </c>
      <c r="C3503" t="s">
        <v>5038</v>
      </c>
      <c r="F3503">
        <v>1</v>
      </c>
      <c r="G3503" s="1" t="s">
        <v>3619</v>
      </c>
      <c r="I3503" s="1" t="s">
        <v>11473</v>
      </c>
      <c r="O3503" t="s">
        <v>22</v>
      </c>
    </row>
    <row r="3504" spans="1:15">
      <c r="A3504" t="s">
        <v>9474</v>
      </c>
      <c r="B3504" t="s">
        <v>9474</v>
      </c>
      <c r="C3504" t="s">
        <v>5038</v>
      </c>
      <c r="F3504">
        <v>1</v>
      </c>
      <c r="G3504" s="1" t="s">
        <v>3620</v>
      </c>
      <c r="I3504" s="1" t="s">
        <v>11473</v>
      </c>
      <c r="O3504" t="s">
        <v>22</v>
      </c>
    </row>
    <row r="3505" spans="1:15">
      <c r="A3505" t="s">
        <v>7034</v>
      </c>
      <c r="B3505" t="s">
        <v>7034</v>
      </c>
      <c r="C3505" t="s">
        <v>4427</v>
      </c>
      <c r="F3505">
        <v>1</v>
      </c>
      <c r="G3505" s="1" t="s">
        <v>3621</v>
      </c>
      <c r="I3505" s="1" t="s">
        <v>11473</v>
      </c>
      <c r="O3505" t="s">
        <v>22</v>
      </c>
    </row>
    <row r="3506" spans="1:15">
      <c r="A3506" t="s">
        <v>9738</v>
      </c>
      <c r="B3506" t="s">
        <v>9738</v>
      </c>
      <c r="C3506" t="s">
        <v>4427</v>
      </c>
      <c r="F3506">
        <v>1</v>
      </c>
      <c r="G3506" s="1" t="s">
        <v>3622</v>
      </c>
      <c r="I3506" s="1" t="s">
        <v>11473</v>
      </c>
      <c r="O3506" t="s">
        <v>22</v>
      </c>
    </row>
    <row r="3507" spans="1:15">
      <c r="A3507" t="s">
        <v>8140</v>
      </c>
      <c r="B3507" t="s">
        <v>8140</v>
      </c>
      <c r="C3507" t="s">
        <v>8141</v>
      </c>
      <c r="F3507">
        <v>1</v>
      </c>
      <c r="G3507" s="1" t="s">
        <v>3623</v>
      </c>
      <c r="I3507" s="1" t="s">
        <v>11473</v>
      </c>
      <c r="O3507" t="s">
        <v>22</v>
      </c>
    </row>
    <row r="3508" spans="1:15">
      <c r="A3508" t="s">
        <v>7032</v>
      </c>
      <c r="B3508" t="s">
        <v>7032</v>
      </c>
      <c r="C3508" t="s">
        <v>7033</v>
      </c>
      <c r="F3508">
        <v>1</v>
      </c>
      <c r="G3508" s="1" t="s">
        <v>3624</v>
      </c>
      <c r="I3508" s="1" t="s">
        <v>11473</v>
      </c>
      <c r="O3508" t="s">
        <v>22</v>
      </c>
    </row>
    <row r="3509" spans="1:15">
      <c r="A3509" t="s">
        <v>10085</v>
      </c>
      <c r="B3509" t="s">
        <v>10085</v>
      </c>
      <c r="C3509" t="s">
        <v>7033</v>
      </c>
      <c r="F3509">
        <v>1</v>
      </c>
      <c r="G3509" s="1" t="s">
        <v>3625</v>
      </c>
      <c r="I3509" s="1" t="s">
        <v>11473</v>
      </c>
      <c r="O3509" t="s">
        <v>22</v>
      </c>
    </row>
    <row r="3510" spans="1:15">
      <c r="A3510" t="s">
        <v>7041</v>
      </c>
      <c r="B3510" t="s">
        <v>7041</v>
      </c>
      <c r="C3510" t="s">
        <v>7042</v>
      </c>
      <c r="F3510">
        <v>1</v>
      </c>
      <c r="G3510" s="1" t="s">
        <v>3626</v>
      </c>
      <c r="I3510" s="1" t="s">
        <v>11473</v>
      </c>
      <c r="O3510" t="s">
        <v>22</v>
      </c>
    </row>
    <row r="3511" spans="1:15">
      <c r="A3511" t="s">
        <v>9011</v>
      </c>
      <c r="B3511" t="s">
        <v>9011</v>
      </c>
      <c r="C3511" t="s">
        <v>9012</v>
      </c>
      <c r="F3511">
        <v>1</v>
      </c>
      <c r="G3511" s="1" t="s">
        <v>3627</v>
      </c>
      <c r="I3511" s="1" t="s">
        <v>11473</v>
      </c>
      <c r="O3511" t="s">
        <v>22</v>
      </c>
    </row>
    <row r="3512" spans="1:15">
      <c r="A3512" t="s">
        <v>9612</v>
      </c>
      <c r="B3512" t="s">
        <v>9612</v>
      </c>
      <c r="C3512" t="s">
        <v>5020</v>
      </c>
      <c r="F3512">
        <v>1</v>
      </c>
      <c r="G3512" s="1" t="s">
        <v>3628</v>
      </c>
      <c r="I3512" s="1" t="s">
        <v>11473</v>
      </c>
      <c r="O3512" t="s">
        <v>22</v>
      </c>
    </row>
    <row r="3513" spans="1:15">
      <c r="A3513" t="s">
        <v>6580</v>
      </c>
      <c r="B3513" t="s">
        <v>6580</v>
      </c>
      <c r="C3513" t="s">
        <v>4294</v>
      </c>
      <c r="F3513">
        <v>1</v>
      </c>
      <c r="G3513" s="1" t="s">
        <v>3629</v>
      </c>
      <c r="I3513" s="1" t="s">
        <v>11473</v>
      </c>
      <c r="O3513" t="s">
        <v>22</v>
      </c>
    </row>
    <row r="3514" spans="1:15">
      <c r="A3514" t="s">
        <v>9983</v>
      </c>
      <c r="B3514" t="s">
        <v>9983</v>
      </c>
      <c r="C3514" t="s">
        <v>4294</v>
      </c>
      <c r="F3514">
        <v>1</v>
      </c>
      <c r="G3514" s="1" t="s">
        <v>3630</v>
      </c>
      <c r="I3514" s="1" t="s">
        <v>11473</v>
      </c>
      <c r="O3514" t="s">
        <v>22</v>
      </c>
    </row>
    <row r="3515" spans="1:15">
      <c r="A3515" t="s">
        <v>8444</v>
      </c>
      <c r="B3515" t="s">
        <v>8444</v>
      </c>
      <c r="C3515" t="s">
        <v>8445</v>
      </c>
      <c r="F3515">
        <v>1</v>
      </c>
      <c r="G3515" s="1" t="s">
        <v>3631</v>
      </c>
      <c r="I3515" s="1" t="s">
        <v>11473</v>
      </c>
      <c r="O3515" t="s">
        <v>22</v>
      </c>
    </row>
    <row r="3516" spans="1:15">
      <c r="A3516" t="s">
        <v>6993</v>
      </c>
      <c r="B3516" t="s">
        <v>6993</v>
      </c>
      <c r="C3516" t="s">
        <v>6994</v>
      </c>
      <c r="F3516">
        <v>1</v>
      </c>
      <c r="G3516" s="1" t="s">
        <v>3632</v>
      </c>
      <c r="I3516" s="1" t="s">
        <v>11473</v>
      </c>
      <c r="O3516" t="s">
        <v>22</v>
      </c>
    </row>
    <row r="3517" spans="1:15">
      <c r="A3517" t="s">
        <v>10741</v>
      </c>
      <c r="B3517" t="s">
        <v>10741</v>
      </c>
      <c r="C3517" t="s">
        <v>6994</v>
      </c>
      <c r="F3517">
        <v>1</v>
      </c>
      <c r="G3517" s="1" t="s">
        <v>3633</v>
      </c>
      <c r="I3517" s="1" t="s">
        <v>11473</v>
      </c>
      <c r="O3517" t="s">
        <v>22</v>
      </c>
    </row>
    <row r="3518" spans="1:15">
      <c r="A3518" t="s">
        <v>5472</v>
      </c>
      <c r="B3518" t="s">
        <v>5472</v>
      </c>
      <c r="C3518" t="s">
        <v>5473</v>
      </c>
      <c r="F3518">
        <v>1</v>
      </c>
      <c r="G3518" s="1" t="s">
        <v>3634</v>
      </c>
      <c r="I3518" s="1" t="s">
        <v>11473</v>
      </c>
      <c r="O3518" t="s">
        <v>22</v>
      </c>
    </row>
    <row r="3519" spans="1:15">
      <c r="A3519" t="s">
        <v>11189</v>
      </c>
      <c r="B3519" t="s">
        <v>11189</v>
      </c>
      <c r="C3519" t="s">
        <v>5473</v>
      </c>
      <c r="F3519">
        <v>1</v>
      </c>
      <c r="G3519" s="1" t="s">
        <v>3635</v>
      </c>
      <c r="I3519" s="1" t="s">
        <v>11473</v>
      </c>
      <c r="O3519" t="s">
        <v>22</v>
      </c>
    </row>
    <row r="3520" spans="1:15">
      <c r="A3520" t="s">
        <v>8204</v>
      </c>
      <c r="B3520" t="s">
        <v>8204</v>
      </c>
      <c r="C3520" t="s">
        <v>5034</v>
      </c>
      <c r="F3520">
        <v>1</v>
      </c>
      <c r="G3520" s="1" t="s">
        <v>3636</v>
      </c>
      <c r="I3520" s="1" t="s">
        <v>11473</v>
      </c>
      <c r="O3520" t="s">
        <v>22</v>
      </c>
    </row>
    <row r="3521" spans="1:15">
      <c r="A3521" t="s">
        <v>8481</v>
      </c>
      <c r="B3521" t="s">
        <v>8481</v>
      </c>
      <c r="C3521" t="s">
        <v>5034</v>
      </c>
      <c r="F3521">
        <v>1</v>
      </c>
      <c r="G3521" s="1" t="s">
        <v>3637</v>
      </c>
      <c r="I3521" s="1" t="s">
        <v>11473</v>
      </c>
      <c r="O3521" t="s">
        <v>22</v>
      </c>
    </row>
    <row r="3522" spans="1:15">
      <c r="A3522" t="s">
        <v>6786</v>
      </c>
      <c r="B3522" t="s">
        <v>6786</v>
      </c>
      <c r="C3522" t="s">
        <v>6787</v>
      </c>
      <c r="F3522">
        <v>1</v>
      </c>
      <c r="G3522" s="1" t="s">
        <v>3638</v>
      </c>
      <c r="I3522" s="1" t="s">
        <v>11473</v>
      </c>
      <c r="O3522" t="s">
        <v>22</v>
      </c>
    </row>
    <row r="3523" spans="1:15">
      <c r="A3523" t="s">
        <v>8751</v>
      </c>
      <c r="B3523" t="s">
        <v>8751</v>
      </c>
      <c r="C3523" t="s">
        <v>4348</v>
      </c>
      <c r="F3523">
        <v>1</v>
      </c>
      <c r="G3523" s="1" t="s">
        <v>3639</v>
      </c>
      <c r="I3523" s="1" t="s">
        <v>11473</v>
      </c>
      <c r="O3523" t="s">
        <v>22</v>
      </c>
    </row>
    <row r="3524" spans="1:15">
      <c r="A3524" t="s">
        <v>10292</v>
      </c>
      <c r="B3524" t="s">
        <v>10292</v>
      </c>
      <c r="C3524" t="s">
        <v>4348</v>
      </c>
      <c r="F3524">
        <v>1</v>
      </c>
      <c r="G3524" s="1" t="s">
        <v>3640</v>
      </c>
      <c r="I3524" s="1" t="s">
        <v>11473</v>
      </c>
      <c r="O3524" t="s">
        <v>22</v>
      </c>
    </row>
    <row r="3525" spans="1:15">
      <c r="A3525" t="s">
        <v>7027</v>
      </c>
      <c r="B3525" t="s">
        <v>7027</v>
      </c>
      <c r="C3525" t="s">
        <v>7028</v>
      </c>
      <c r="F3525">
        <v>1</v>
      </c>
      <c r="G3525" s="1" t="s">
        <v>3641</v>
      </c>
      <c r="I3525" s="1" t="s">
        <v>11473</v>
      </c>
      <c r="O3525" t="s">
        <v>22</v>
      </c>
    </row>
    <row r="3526" spans="1:15">
      <c r="A3526" t="s">
        <v>8524</v>
      </c>
      <c r="B3526" t="s">
        <v>8524</v>
      </c>
      <c r="C3526" t="s">
        <v>7028</v>
      </c>
      <c r="F3526">
        <v>1</v>
      </c>
      <c r="G3526" s="1" t="s">
        <v>3642</v>
      </c>
      <c r="I3526" s="1" t="s">
        <v>11473</v>
      </c>
      <c r="O3526" t="s">
        <v>22</v>
      </c>
    </row>
    <row r="3527" spans="1:15">
      <c r="A3527" t="s">
        <v>8641</v>
      </c>
      <c r="B3527" t="s">
        <v>8641</v>
      </c>
      <c r="C3527" t="s">
        <v>5287</v>
      </c>
      <c r="F3527">
        <v>1</v>
      </c>
      <c r="G3527" s="1" t="s">
        <v>3643</v>
      </c>
      <c r="I3527" s="1" t="s">
        <v>11473</v>
      </c>
      <c r="O3527" t="s">
        <v>22</v>
      </c>
    </row>
    <row r="3528" spans="1:15">
      <c r="A3528" t="s">
        <v>6775</v>
      </c>
      <c r="B3528" t="s">
        <v>6775</v>
      </c>
      <c r="C3528" t="s">
        <v>5274</v>
      </c>
      <c r="F3528">
        <v>1</v>
      </c>
      <c r="G3528" s="1" t="s">
        <v>3644</v>
      </c>
      <c r="I3528" s="1" t="s">
        <v>11473</v>
      </c>
      <c r="O3528" t="s">
        <v>22</v>
      </c>
    </row>
    <row r="3529" spans="1:15">
      <c r="A3529" t="s">
        <v>6551</v>
      </c>
      <c r="B3529" t="s">
        <v>6551</v>
      </c>
      <c r="C3529" t="s">
        <v>4430</v>
      </c>
      <c r="F3529">
        <v>1</v>
      </c>
      <c r="G3529" s="1" t="s">
        <v>3645</v>
      </c>
      <c r="I3529" s="1" t="s">
        <v>11473</v>
      </c>
      <c r="O3529" t="s">
        <v>22</v>
      </c>
    </row>
    <row r="3530" spans="1:15">
      <c r="A3530" t="s">
        <v>6776</v>
      </c>
      <c r="B3530" t="s">
        <v>6776</v>
      </c>
      <c r="C3530" t="s">
        <v>6777</v>
      </c>
      <c r="F3530">
        <v>1</v>
      </c>
      <c r="G3530" s="1" t="s">
        <v>3646</v>
      </c>
      <c r="I3530" s="1" t="s">
        <v>11473</v>
      </c>
      <c r="O3530" t="s">
        <v>22</v>
      </c>
    </row>
    <row r="3531" spans="1:15">
      <c r="A3531" t="s">
        <v>11037</v>
      </c>
      <c r="B3531" t="s">
        <v>11037</v>
      </c>
      <c r="C3531" t="s">
        <v>11038</v>
      </c>
      <c r="F3531">
        <v>1</v>
      </c>
      <c r="G3531" s="1" t="s">
        <v>3647</v>
      </c>
      <c r="I3531" s="1" t="s">
        <v>11473</v>
      </c>
      <c r="O3531" t="s">
        <v>22</v>
      </c>
    </row>
    <row r="3532" spans="1:15">
      <c r="A3532" t="s">
        <v>8511</v>
      </c>
      <c r="B3532" t="s">
        <v>8511</v>
      </c>
      <c r="C3532" t="s">
        <v>8512</v>
      </c>
      <c r="F3532">
        <v>1</v>
      </c>
      <c r="G3532" s="1" t="s">
        <v>3648</v>
      </c>
      <c r="I3532" s="1" t="s">
        <v>11473</v>
      </c>
      <c r="O3532" t="s">
        <v>22</v>
      </c>
    </row>
    <row r="3533" spans="1:15">
      <c r="A3533" t="s">
        <v>8516</v>
      </c>
      <c r="B3533" t="s">
        <v>8516</v>
      </c>
      <c r="C3533" t="s">
        <v>8517</v>
      </c>
      <c r="F3533">
        <v>1</v>
      </c>
      <c r="G3533" s="1" t="s">
        <v>3649</v>
      </c>
      <c r="I3533" s="1" t="s">
        <v>11473</v>
      </c>
      <c r="O3533" t="s">
        <v>22</v>
      </c>
    </row>
    <row r="3534" spans="1:15">
      <c r="A3534" t="s">
        <v>9735</v>
      </c>
      <c r="B3534" t="s">
        <v>9735</v>
      </c>
      <c r="C3534" t="s">
        <v>4341</v>
      </c>
      <c r="F3534">
        <v>1</v>
      </c>
      <c r="G3534" s="1" t="s">
        <v>3650</v>
      </c>
      <c r="I3534" s="1" t="s">
        <v>11473</v>
      </c>
      <c r="O3534" t="s">
        <v>22</v>
      </c>
    </row>
    <row r="3535" spans="1:15">
      <c r="A3535" t="s">
        <v>11063</v>
      </c>
      <c r="B3535" t="s">
        <v>11063</v>
      </c>
      <c r="C3535" t="s">
        <v>4051</v>
      </c>
      <c r="F3535">
        <v>1</v>
      </c>
      <c r="G3535" s="1" t="s">
        <v>3651</v>
      </c>
      <c r="I3535" s="1" t="s">
        <v>11473</v>
      </c>
      <c r="O3535" t="s">
        <v>22</v>
      </c>
    </row>
    <row r="3536" spans="1:15">
      <c r="A3536" t="s">
        <v>11265</v>
      </c>
      <c r="B3536" t="s">
        <v>11265</v>
      </c>
      <c r="C3536" t="s">
        <v>4051</v>
      </c>
      <c r="F3536">
        <v>1</v>
      </c>
      <c r="G3536" s="1" t="s">
        <v>3652</v>
      </c>
      <c r="I3536" s="1" t="s">
        <v>11473</v>
      </c>
      <c r="O3536" t="s">
        <v>22</v>
      </c>
    </row>
    <row r="3537" spans="1:15">
      <c r="A3537" t="s">
        <v>6766</v>
      </c>
      <c r="B3537" t="s">
        <v>6766</v>
      </c>
      <c r="C3537" t="s">
        <v>5275</v>
      </c>
      <c r="F3537">
        <v>1</v>
      </c>
      <c r="G3537" s="1" t="s">
        <v>3653</v>
      </c>
      <c r="I3537" s="1" t="s">
        <v>11473</v>
      </c>
      <c r="O3537" t="s">
        <v>22</v>
      </c>
    </row>
    <row r="3538" spans="1:15">
      <c r="A3538" t="s">
        <v>7011</v>
      </c>
      <c r="B3538" t="s">
        <v>7011</v>
      </c>
      <c r="C3538" t="s">
        <v>5275</v>
      </c>
      <c r="F3538">
        <v>1</v>
      </c>
      <c r="G3538" s="1" t="s">
        <v>3654</v>
      </c>
      <c r="I3538" s="1" t="s">
        <v>11473</v>
      </c>
      <c r="O3538" t="s">
        <v>22</v>
      </c>
    </row>
    <row r="3539" spans="1:15">
      <c r="A3539" t="s">
        <v>9712</v>
      </c>
      <c r="B3539" t="s">
        <v>9712</v>
      </c>
      <c r="C3539" t="s">
        <v>5275</v>
      </c>
      <c r="F3539">
        <v>1</v>
      </c>
      <c r="G3539" s="1" t="s">
        <v>3655</v>
      </c>
      <c r="I3539" s="1" t="s">
        <v>11473</v>
      </c>
      <c r="O3539" t="s">
        <v>22</v>
      </c>
    </row>
    <row r="3540" spans="1:15">
      <c r="A3540" t="s">
        <v>6785</v>
      </c>
      <c r="B3540" t="s">
        <v>6785</v>
      </c>
      <c r="C3540" t="s">
        <v>4062</v>
      </c>
      <c r="F3540">
        <v>1</v>
      </c>
      <c r="G3540" s="1" t="s">
        <v>3656</v>
      </c>
      <c r="I3540" s="1" t="s">
        <v>11473</v>
      </c>
      <c r="O3540" t="s">
        <v>22</v>
      </c>
    </row>
    <row r="3541" spans="1:15">
      <c r="A3541" t="s">
        <v>7037</v>
      </c>
      <c r="B3541" t="s">
        <v>7037</v>
      </c>
      <c r="C3541" t="s">
        <v>7038</v>
      </c>
      <c r="F3541">
        <v>1</v>
      </c>
      <c r="G3541" s="1" t="s">
        <v>3657</v>
      </c>
      <c r="I3541" s="1" t="s">
        <v>11473</v>
      </c>
      <c r="O3541" t="s">
        <v>22</v>
      </c>
    </row>
    <row r="3542" spans="1:15">
      <c r="A3542" t="s">
        <v>7313</v>
      </c>
      <c r="B3542" t="s">
        <v>7313</v>
      </c>
      <c r="C3542" t="s">
        <v>7314</v>
      </c>
      <c r="F3542">
        <v>1</v>
      </c>
      <c r="G3542" s="1" t="s">
        <v>3658</v>
      </c>
      <c r="I3542" s="1" t="s">
        <v>11473</v>
      </c>
      <c r="O3542" t="s">
        <v>22</v>
      </c>
    </row>
    <row r="3543" spans="1:15">
      <c r="A3543" t="s">
        <v>9614</v>
      </c>
      <c r="B3543" t="s">
        <v>9614</v>
      </c>
      <c r="C3543" t="s">
        <v>7314</v>
      </c>
      <c r="F3543">
        <v>1</v>
      </c>
      <c r="G3543" s="1" t="s">
        <v>3659</v>
      </c>
      <c r="I3543" s="1" t="s">
        <v>11473</v>
      </c>
      <c r="O3543" t="s">
        <v>22</v>
      </c>
    </row>
    <row r="3544" spans="1:15">
      <c r="A3544" t="s">
        <v>9748</v>
      </c>
      <c r="B3544" t="s">
        <v>9748</v>
      </c>
      <c r="C3544" t="s">
        <v>4448</v>
      </c>
      <c r="F3544">
        <v>1</v>
      </c>
      <c r="G3544" s="1" t="s">
        <v>3660</v>
      </c>
      <c r="I3544" s="1" t="s">
        <v>11473</v>
      </c>
      <c r="O3544" t="s">
        <v>22</v>
      </c>
    </row>
    <row r="3545" spans="1:15">
      <c r="A3545" t="s">
        <v>7035</v>
      </c>
      <c r="B3545" t="s">
        <v>7035</v>
      </c>
      <c r="C3545" t="s">
        <v>7036</v>
      </c>
      <c r="F3545">
        <v>1</v>
      </c>
      <c r="G3545" s="1" t="s">
        <v>3661</v>
      </c>
      <c r="I3545" s="1" t="s">
        <v>11473</v>
      </c>
      <c r="O3545" t="s">
        <v>22</v>
      </c>
    </row>
    <row r="3546" spans="1:15">
      <c r="A3546" t="s">
        <v>7812</v>
      </c>
      <c r="B3546" t="s">
        <v>7812</v>
      </c>
      <c r="C3546" t="s">
        <v>5164</v>
      </c>
      <c r="F3546">
        <v>1</v>
      </c>
      <c r="G3546" s="1" t="s">
        <v>3662</v>
      </c>
      <c r="I3546" s="1" t="s">
        <v>11473</v>
      </c>
      <c r="O3546" t="s">
        <v>22</v>
      </c>
    </row>
    <row r="3547" spans="1:15">
      <c r="A3547" t="s">
        <v>8175</v>
      </c>
      <c r="B3547" t="s">
        <v>8175</v>
      </c>
      <c r="C3547" t="s">
        <v>5164</v>
      </c>
      <c r="F3547">
        <v>1</v>
      </c>
      <c r="G3547" s="1" t="s">
        <v>3663</v>
      </c>
      <c r="I3547" s="1" t="s">
        <v>11473</v>
      </c>
      <c r="O3547" t="s">
        <v>22</v>
      </c>
    </row>
    <row r="3548" spans="1:15">
      <c r="A3548" t="s">
        <v>5738</v>
      </c>
      <c r="B3548" t="s">
        <v>5738</v>
      </c>
      <c r="C3548" t="s">
        <v>5739</v>
      </c>
      <c r="F3548">
        <v>1</v>
      </c>
      <c r="G3548" s="1" t="s">
        <v>3664</v>
      </c>
      <c r="I3548" s="1" t="s">
        <v>11473</v>
      </c>
      <c r="O3548" t="s">
        <v>22</v>
      </c>
    </row>
    <row r="3549" spans="1:15">
      <c r="A3549" t="s">
        <v>6977</v>
      </c>
      <c r="B3549" t="s">
        <v>6977</v>
      </c>
      <c r="C3549" t="s">
        <v>6978</v>
      </c>
      <c r="F3549">
        <v>1</v>
      </c>
      <c r="G3549" s="1" t="s">
        <v>3665</v>
      </c>
      <c r="I3549" s="1" t="s">
        <v>11473</v>
      </c>
      <c r="O3549" t="s">
        <v>22</v>
      </c>
    </row>
    <row r="3550" spans="1:15">
      <c r="A3550" t="s">
        <v>9143</v>
      </c>
      <c r="B3550" t="s">
        <v>9143</v>
      </c>
      <c r="C3550" t="s">
        <v>9144</v>
      </c>
      <c r="F3550">
        <v>1</v>
      </c>
      <c r="G3550" s="1" t="s">
        <v>3666</v>
      </c>
      <c r="I3550" s="1" t="s">
        <v>11473</v>
      </c>
      <c r="O3550" t="s">
        <v>22</v>
      </c>
    </row>
    <row r="3551" spans="1:15">
      <c r="A3551" t="s">
        <v>10647</v>
      </c>
      <c r="B3551" t="s">
        <v>10647</v>
      </c>
      <c r="C3551" t="s">
        <v>10648</v>
      </c>
      <c r="F3551">
        <v>1</v>
      </c>
      <c r="G3551" s="1" t="s">
        <v>3667</v>
      </c>
      <c r="I3551" s="1" t="s">
        <v>11473</v>
      </c>
      <c r="O3551" t="s">
        <v>22</v>
      </c>
    </row>
    <row r="3552" spans="1:15">
      <c r="A3552" t="s">
        <v>6147</v>
      </c>
      <c r="B3552" t="s">
        <v>6147</v>
      </c>
      <c r="C3552" t="s">
        <v>6148</v>
      </c>
      <c r="F3552">
        <v>1</v>
      </c>
      <c r="G3552" s="1" t="s">
        <v>3668</v>
      </c>
      <c r="I3552" s="1" t="s">
        <v>11473</v>
      </c>
      <c r="O3552" t="s">
        <v>22</v>
      </c>
    </row>
    <row r="3553" spans="1:15">
      <c r="A3553" t="s">
        <v>8286</v>
      </c>
      <c r="B3553" t="s">
        <v>8286</v>
      </c>
      <c r="C3553" t="s">
        <v>8287</v>
      </c>
      <c r="F3553">
        <v>1</v>
      </c>
      <c r="G3553" s="1" t="s">
        <v>3669</v>
      </c>
      <c r="I3553" s="1" t="s">
        <v>11473</v>
      </c>
      <c r="O3553" t="s">
        <v>22</v>
      </c>
    </row>
    <row r="3554" spans="1:15">
      <c r="A3554" t="s">
        <v>9993</v>
      </c>
      <c r="B3554" t="s">
        <v>9993</v>
      </c>
      <c r="C3554" t="s">
        <v>9994</v>
      </c>
      <c r="F3554">
        <v>1</v>
      </c>
      <c r="G3554" s="1" t="s">
        <v>3670</v>
      </c>
      <c r="I3554" s="1" t="s">
        <v>11473</v>
      </c>
      <c r="O3554" t="s">
        <v>22</v>
      </c>
    </row>
    <row r="3555" spans="1:15">
      <c r="A3555" t="s">
        <v>8183</v>
      </c>
      <c r="B3555" t="s">
        <v>8183</v>
      </c>
      <c r="C3555" t="s">
        <v>8184</v>
      </c>
      <c r="F3555">
        <v>1</v>
      </c>
      <c r="G3555" s="1" t="s">
        <v>3671</v>
      </c>
      <c r="I3555" s="1" t="s">
        <v>11473</v>
      </c>
      <c r="O3555" t="s">
        <v>22</v>
      </c>
    </row>
    <row r="3556" spans="1:15">
      <c r="A3556" t="s">
        <v>7783</v>
      </c>
      <c r="B3556" t="s">
        <v>7783</v>
      </c>
      <c r="C3556" t="s">
        <v>9863</v>
      </c>
      <c r="F3556">
        <v>1</v>
      </c>
      <c r="G3556" s="1" t="s">
        <v>3672</v>
      </c>
      <c r="I3556" s="1" t="s">
        <v>11473</v>
      </c>
      <c r="O3556" t="s">
        <v>22</v>
      </c>
    </row>
    <row r="3557" spans="1:15">
      <c r="A3557" t="s">
        <v>11369</v>
      </c>
      <c r="B3557" t="s">
        <v>11369</v>
      </c>
      <c r="C3557" t="s">
        <v>11370</v>
      </c>
      <c r="F3557">
        <v>1</v>
      </c>
      <c r="G3557" s="1" t="s">
        <v>3673</v>
      </c>
      <c r="I3557" s="1" t="s">
        <v>11473</v>
      </c>
      <c r="O3557" t="s">
        <v>22</v>
      </c>
    </row>
    <row r="3558" spans="1:15">
      <c r="A3558" t="s">
        <v>9958</v>
      </c>
      <c r="B3558" t="s">
        <v>9958</v>
      </c>
      <c r="C3558" t="s">
        <v>9959</v>
      </c>
      <c r="F3558">
        <v>1</v>
      </c>
      <c r="G3558" s="1" t="s">
        <v>3674</v>
      </c>
      <c r="I3558" s="1" t="s">
        <v>11473</v>
      </c>
      <c r="O3558" t="s">
        <v>22</v>
      </c>
    </row>
    <row r="3559" spans="1:15">
      <c r="A3559" t="s">
        <v>8492</v>
      </c>
      <c r="B3559" t="s">
        <v>8492</v>
      </c>
      <c r="C3559" t="s">
        <v>8493</v>
      </c>
      <c r="F3559">
        <v>1</v>
      </c>
      <c r="G3559" s="1" t="s">
        <v>3675</v>
      </c>
      <c r="I3559" s="1" t="s">
        <v>11473</v>
      </c>
      <c r="O3559" t="s">
        <v>22</v>
      </c>
    </row>
    <row r="3560" spans="1:15">
      <c r="A3560" t="s">
        <v>10807</v>
      </c>
      <c r="B3560" t="s">
        <v>10807</v>
      </c>
      <c r="C3560" t="s">
        <v>10808</v>
      </c>
      <c r="F3560">
        <v>1</v>
      </c>
      <c r="G3560" s="1" t="s">
        <v>3676</v>
      </c>
      <c r="I3560" s="1" t="s">
        <v>11473</v>
      </c>
      <c r="O3560" t="s">
        <v>22</v>
      </c>
    </row>
    <row r="3561" spans="1:15">
      <c r="A3561" t="s">
        <v>6581</v>
      </c>
      <c r="B3561" t="s">
        <v>6581</v>
      </c>
      <c r="C3561" t="s">
        <v>4411</v>
      </c>
      <c r="F3561">
        <v>1</v>
      </c>
      <c r="G3561" s="1" t="s">
        <v>3677</v>
      </c>
      <c r="I3561" s="1" t="s">
        <v>11473</v>
      </c>
      <c r="O3561" t="s">
        <v>22</v>
      </c>
    </row>
    <row r="3562" spans="1:15">
      <c r="A3562" t="s">
        <v>6763</v>
      </c>
      <c r="B3562" t="s">
        <v>6763</v>
      </c>
      <c r="C3562" t="s">
        <v>4411</v>
      </c>
      <c r="F3562">
        <v>1</v>
      </c>
      <c r="G3562" s="1" t="s">
        <v>3678</v>
      </c>
      <c r="I3562" s="1" t="s">
        <v>11473</v>
      </c>
      <c r="O3562" t="s">
        <v>22</v>
      </c>
    </row>
    <row r="3563" spans="1:15">
      <c r="A3563" t="s">
        <v>8144</v>
      </c>
      <c r="B3563" t="s">
        <v>8144</v>
      </c>
      <c r="C3563" t="s">
        <v>8145</v>
      </c>
      <c r="F3563">
        <v>1</v>
      </c>
      <c r="G3563" s="1" t="s">
        <v>3679</v>
      </c>
      <c r="I3563" s="1" t="s">
        <v>11473</v>
      </c>
      <c r="O3563" t="s">
        <v>22</v>
      </c>
    </row>
    <row r="3564" spans="1:15">
      <c r="A3564" t="s">
        <v>8272</v>
      </c>
      <c r="B3564" t="s">
        <v>8272</v>
      </c>
      <c r="C3564" t="s">
        <v>8145</v>
      </c>
      <c r="F3564">
        <v>1</v>
      </c>
      <c r="G3564" s="1" t="s">
        <v>3680</v>
      </c>
      <c r="I3564" s="1" t="s">
        <v>11473</v>
      </c>
      <c r="O3564" t="s">
        <v>22</v>
      </c>
    </row>
    <row r="3565" spans="1:15">
      <c r="A3565" t="s">
        <v>8921</v>
      </c>
      <c r="B3565" t="s">
        <v>8921</v>
      </c>
      <c r="C3565" t="s">
        <v>8922</v>
      </c>
      <c r="F3565">
        <v>1</v>
      </c>
      <c r="G3565" s="1" t="s">
        <v>3681</v>
      </c>
      <c r="I3565" s="1" t="s">
        <v>11473</v>
      </c>
      <c r="O3565" t="s">
        <v>22</v>
      </c>
    </row>
    <row r="3566" spans="1:15">
      <c r="A3566" t="s">
        <v>10788</v>
      </c>
      <c r="B3566" t="s">
        <v>10788</v>
      </c>
      <c r="C3566" t="s">
        <v>4442</v>
      </c>
      <c r="F3566">
        <v>1</v>
      </c>
      <c r="G3566" s="1" t="s">
        <v>3682</v>
      </c>
      <c r="I3566" s="1" t="s">
        <v>11473</v>
      </c>
      <c r="O3566" t="s">
        <v>22</v>
      </c>
    </row>
    <row r="3567" spans="1:15">
      <c r="A3567" t="s">
        <v>11317</v>
      </c>
      <c r="B3567" t="s">
        <v>11317</v>
      </c>
      <c r="C3567" t="s">
        <v>4442</v>
      </c>
      <c r="F3567">
        <v>1</v>
      </c>
      <c r="G3567" s="1" t="s">
        <v>3683</v>
      </c>
      <c r="I3567" s="1" t="s">
        <v>11473</v>
      </c>
      <c r="O3567" t="s">
        <v>22</v>
      </c>
    </row>
    <row r="3568" spans="1:15">
      <c r="A3568" t="s">
        <v>9767</v>
      </c>
      <c r="B3568" t="s">
        <v>9767</v>
      </c>
      <c r="C3568" t="s">
        <v>9768</v>
      </c>
      <c r="F3568">
        <v>1</v>
      </c>
      <c r="G3568" s="1" t="s">
        <v>3684</v>
      </c>
      <c r="I3568" s="1" t="s">
        <v>11473</v>
      </c>
      <c r="O3568" t="s">
        <v>22</v>
      </c>
    </row>
    <row r="3569" spans="1:15">
      <c r="A3569" t="s">
        <v>10984</v>
      </c>
      <c r="B3569" t="s">
        <v>10984</v>
      </c>
      <c r="C3569" t="s">
        <v>10985</v>
      </c>
      <c r="F3569">
        <v>1</v>
      </c>
      <c r="G3569" s="1" t="s">
        <v>3685</v>
      </c>
      <c r="I3569" s="1" t="s">
        <v>11473</v>
      </c>
      <c r="O3569" t="s">
        <v>22</v>
      </c>
    </row>
    <row r="3570" spans="1:15">
      <c r="A3570" t="s">
        <v>6749</v>
      </c>
      <c r="B3570" t="s">
        <v>6749</v>
      </c>
      <c r="C3570" t="s">
        <v>6750</v>
      </c>
      <c r="F3570">
        <v>1</v>
      </c>
      <c r="G3570" s="1" t="s">
        <v>3686</v>
      </c>
      <c r="I3570" s="1" t="s">
        <v>11473</v>
      </c>
      <c r="O3570" t="s">
        <v>22</v>
      </c>
    </row>
    <row r="3571" spans="1:15">
      <c r="A3571" t="s">
        <v>7789</v>
      </c>
      <c r="B3571" t="s">
        <v>7789</v>
      </c>
      <c r="C3571" t="s">
        <v>6750</v>
      </c>
      <c r="F3571">
        <v>1</v>
      </c>
      <c r="G3571" s="1" t="s">
        <v>3687</v>
      </c>
      <c r="I3571" s="1" t="s">
        <v>11473</v>
      </c>
      <c r="O3571" t="s">
        <v>22</v>
      </c>
    </row>
    <row r="3572" spans="1:15">
      <c r="A3572" t="s">
        <v>8168</v>
      </c>
      <c r="B3572" t="s">
        <v>8168</v>
      </c>
      <c r="C3572" t="s">
        <v>8169</v>
      </c>
      <c r="F3572">
        <v>1</v>
      </c>
      <c r="G3572" s="1" t="s">
        <v>3688</v>
      </c>
      <c r="I3572" s="1" t="s">
        <v>11473</v>
      </c>
      <c r="O3572" t="s">
        <v>22</v>
      </c>
    </row>
    <row r="3573" spans="1:15">
      <c r="A3573" t="s">
        <v>6858</v>
      </c>
      <c r="B3573" t="s">
        <v>6858</v>
      </c>
      <c r="C3573" t="s">
        <v>4642</v>
      </c>
      <c r="F3573">
        <v>1</v>
      </c>
      <c r="G3573" s="1" t="s">
        <v>3689</v>
      </c>
      <c r="I3573" s="1" t="s">
        <v>11473</v>
      </c>
      <c r="O3573" t="s">
        <v>22</v>
      </c>
    </row>
    <row r="3574" spans="1:15">
      <c r="A3574" t="s">
        <v>7944</v>
      </c>
      <c r="B3574" t="s">
        <v>7944</v>
      </c>
      <c r="C3574" t="s">
        <v>4642</v>
      </c>
      <c r="F3574">
        <v>1</v>
      </c>
      <c r="G3574" s="1" t="s">
        <v>3690</v>
      </c>
      <c r="I3574" s="1" t="s">
        <v>11473</v>
      </c>
      <c r="O3574" t="s">
        <v>22</v>
      </c>
    </row>
    <row r="3575" spans="1:15">
      <c r="A3575" t="s">
        <v>8124</v>
      </c>
      <c r="B3575" t="s">
        <v>8124</v>
      </c>
      <c r="C3575" t="s">
        <v>8125</v>
      </c>
      <c r="F3575">
        <v>1</v>
      </c>
      <c r="G3575" s="1" t="s">
        <v>3691</v>
      </c>
      <c r="I3575" s="1" t="s">
        <v>11473</v>
      </c>
      <c r="O3575" t="s">
        <v>22</v>
      </c>
    </row>
    <row r="3576" spans="1:15">
      <c r="A3576" t="s">
        <v>8146</v>
      </c>
      <c r="B3576" t="s">
        <v>8146</v>
      </c>
      <c r="C3576" t="s">
        <v>8125</v>
      </c>
      <c r="F3576">
        <v>1</v>
      </c>
      <c r="G3576" s="1" t="s">
        <v>3692</v>
      </c>
      <c r="I3576" s="1" t="s">
        <v>11473</v>
      </c>
      <c r="O3576" t="s">
        <v>22</v>
      </c>
    </row>
    <row r="3577" spans="1:15">
      <c r="A3577" t="s">
        <v>10349</v>
      </c>
      <c r="B3577" t="s">
        <v>10349</v>
      </c>
      <c r="C3577" t="s">
        <v>4301</v>
      </c>
      <c r="F3577">
        <v>1</v>
      </c>
      <c r="G3577" s="1" t="s">
        <v>3693</v>
      </c>
      <c r="I3577" s="1" t="s">
        <v>11473</v>
      </c>
      <c r="O3577" t="s">
        <v>22</v>
      </c>
    </row>
    <row r="3578" spans="1:15">
      <c r="A3578" t="s">
        <v>6015</v>
      </c>
      <c r="B3578" t="s">
        <v>6015</v>
      </c>
      <c r="C3578" t="s">
        <v>6016</v>
      </c>
      <c r="F3578">
        <v>1</v>
      </c>
      <c r="G3578" s="1" t="s">
        <v>3694</v>
      </c>
      <c r="I3578" s="1" t="s">
        <v>11473</v>
      </c>
      <c r="O3578" t="s">
        <v>22</v>
      </c>
    </row>
    <row r="3579" spans="1:15">
      <c r="A3579" t="s">
        <v>9721</v>
      </c>
      <c r="B3579" t="s">
        <v>9721</v>
      </c>
      <c r="C3579" t="s">
        <v>4913</v>
      </c>
      <c r="F3579">
        <v>1</v>
      </c>
      <c r="G3579" s="1" t="s">
        <v>3695</v>
      </c>
      <c r="I3579" s="1" t="s">
        <v>11473</v>
      </c>
      <c r="O3579" t="s">
        <v>22</v>
      </c>
    </row>
    <row r="3580" spans="1:15">
      <c r="A3580" t="s">
        <v>11313</v>
      </c>
      <c r="B3580" t="s">
        <v>11313</v>
      </c>
      <c r="C3580" t="s">
        <v>5260</v>
      </c>
      <c r="F3580">
        <v>1</v>
      </c>
      <c r="G3580" s="1" t="s">
        <v>3696</v>
      </c>
      <c r="I3580" s="1" t="s">
        <v>11473</v>
      </c>
      <c r="O3580" t="s">
        <v>22</v>
      </c>
    </row>
    <row r="3581" spans="1:15">
      <c r="A3581" t="s">
        <v>7188</v>
      </c>
      <c r="B3581" t="s">
        <v>7188</v>
      </c>
      <c r="C3581" t="s">
        <v>7189</v>
      </c>
      <c r="F3581">
        <v>1</v>
      </c>
      <c r="G3581" s="1" t="s">
        <v>3697</v>
      </c>
      <c r="I3581" s="1" t="s">
        <v>11473</v>
      </c>
      <c r="O3581" t="s">
        <v>22</v>
      </c>
    </row>
    <row r="3582" spans="1:15">
      <c r="A3582" t="s">
        <v>7177</v>
      </c>
      <c r="B3582" t="s">
        <v>7177</v>
      </c>
      <c r="C3582" t="s">
        <v>4406</v>
      </c>
      <c r="F3582">
        <v>1</v>
      </c>
      <c r="G3582" s="1" t="s">
        <v>3698</v>
      </c>
      <c r="I3582" s="1" t="s">
        <v>11473</v>
      </c>
      <c r="O3582" t="s">
        <v>22</v>
      </c>
    </row>
    <row r="3583" spans="1:15">
      <c r="A3583" t="s">
        <v>9763</v>
      </c>
      <c r="B3583" t="s">
        <v>9763</v>
      </c>
      <c r="C3583" t="s">
        <v>4406</v>
      </c>
      <c r="F3583">
        <v>1</v>
      </c>
      <c r="G3583" s="1" t="s">
        <v>3699</v>
      </c>
      <c r="I3583" s="1" t="s">
        <v>11473</v>
      </c>
      <c r="O3583" t="s">
        <v>22</v>
      </c>
    </row>
    <row r="3584" spans="1:15">
      <c r="A3584" t="s">
        <v>10227</v>
      </c>
      <c r="B3584" t="s">
        <v>10227</v>
      </c>
      <c r="C3584" t="s">
        <v>10228</v>
      </c>
      <c r="F3584">
        <v>1</v>
      </c>
      <c r="G3584" s="1" t="s">
        <v>3700</v>
      </c>
      <c r="I3584" s="1" t="s">
        <v>11473</v>
      </c>
      <c r="O3584" t="s">
        <v>22</v>
      </c>
    </row>
    <row r="3585" spans="1:15">
      <c r="A3585" t="s">
        <v>6795</v>
      </c>
      <c r="B3585" t="s">
        <v>6795</v>
      </c>
      <c r="C3585" t="s">
        <v>6796</v>
      </c>
      <c r="F3585">
        <v>1</v>
      </c>
      <c r="G3585" s="1" t="s">
        <v>3701</v>
      </c>
      <c r="I3585" s="1" t="s">
        <v>11473</v>
      </c>
      <c r="O3585" t="s">
        <v>22</v>
      </c>
    </row>
    <row r="3586" spans="1:15">
      <c r="A3586" t="s">
        <v>6797</v>
      </c>
      <c r="B3586" t="s">
        <v>6797</v>
      </c>
      <c r="C3586" t="s">
        <v>6798</v>
      </c>
      <c r="F3586">
        <v>1</v>
      </c>
      <c r="G3586" s="1" t="s">
        <v>3702</v>
      </c>
      <c r="I3586" s="1" t="s">
        <v>11473</v>
      </c>
      <c r="O3586" t="s">
        <v>22</v>
      </c>
    </row>
    <row r="3587" spans="1:15">
      <c r="A3587" t="s">
        <v>9897</v>
      </c>
      <c r="B3587" t="s">
        <v>9897</v>
      </c>
      <c r="C3587" t="s">
        <v>9898</v>
      </c>
      <c r="F3587">
        <v>1</v>
      </c>
      <c r="G3587" s="1" t="s">
        <v>3703</v>
      </c>
      <c r="I3587" s="1" t="s">
        <v>11473</v>
      </c>
      <c r="O3587" t="s">
        <v>22</v>
      </c>
    </row>
    <row r="3588" spans="1:15">
      <c r="A3588" t="s">
        <v>7925</v>
      </c>
      <c r="B3588" t="s">
        <v>7925</v>
      </c>
      <c r="C3588" t="s">
        <v>7926</v>
      </c>
      <c r="F3588">
        <v>1</v>
      </c>
      <c r="G3588" s="1" t="s">
        <v>3704</v>
      </c>
      <c r="I3588" s="1" t="s">
        <v>11473</v>
      </c>
      <c r="O3588" t="s">
        <v>22</v>
      </c>
    </row>
    <row r="3589" spans="1:15">
      <c r="A3589" t="s">
        <v>10070</v>
      </c>
      <c r="B3589" t="s">
        <v>10070</v>
      </c>
      <c r="C3589" t="s">
        <v>7926</v>
      </c>
      <c r="F3589">
        <v>1</v>
      </c>
      <c r="G3589" s="1" t="s">
        <v>3705</v>
      </c>
      <c r="I3589" s="1" t="s">
        <v>11473</v>
      </c>
      <c r="O3589" t="s">
        <v>22</v>
      </c>
    </row>
    <row r="3590" spans="1:15">
      <c r="A3590" t="s">
        <v>7026</v>
      </c>
      <c r="B3590" t="s">
        <v>7026</v>
      </c>
      <c r="C3590" t="s">
        <v>4340</v>
      </c>
      <c r="F3590">
        <v>1</v>
      </c>
      <c r="G3590" s="1" t="s">
        <v>3706</v>
      </c>
      <c r="I3590" s="1" t="s">
        <v>11473</v>
      </c>
      <c r="O3590" t="s">
        <v>22</v>
      </c>
    </row>
    <row r="3591" spans="1:15">
      <c r="A3591" t="s">
        <v>8761</v>
      </c>
      <c r="B3591" t="s">
        <v>8761</v>
      </c>
      <c r="C3591" t="s">
        <v>8762</v>
      </c>
      <c r="F3591">
        <v>1</v>
      </c>
      <c r="G3591" s="1" t="s">
        <v>3707</v>
      </c>
      <c r="I3591" s="1" t="s">
        <v>11473</v>
      </c>
      <c r="O3591" t="s">
        <v>22</v>
      </c>
    </row>
    <row r="3592" spans="1:15">
      <c r="A3592" t="s">
        <v>8137</v>
      </c>
      <c r="B3592" t="s">
        <v>8137</v>
      </c>
      <c r="C3592" t="s">
        <v>8138</v>
      </c>
      <c r="F3592">
        <v>1</v>
      </c>
      <c r="G3592" s="1" t="s">
        <v>3708</v>
      </c>
      <c r="I3592" s="1" t="s">
        <v>11473</v>
      </c>
      <c r="O3592" t="s">
        <v>22</v>
      </c>
    </row>
    <row r="3593" spans="1:15">
      <c r="A3593" t="s">
        <v>8515</v>
      </c>
      <c r="B3593" t="s">
        <v>8515</v>
      </c>
      <c r="C3593" t="s">
        <v>4435</v>
      </c>
      <c r="F3593">
        <v>1</v>
      </c>
      <c r="G3593" s="1" t="s">
        <v>3709</v>
      </c>
      <c r="I3593" s="1" t="s">
        <v>11473</v>
      </c>
      <c r="O3593" t="s">
        <v>22</v>
      </c>
    </row>
    <row r="3594" spans="1:15">
      <c r="A3594" t="s">
        <v>8756</v>
      </c>
      <c r="B3594" t="s">
        <v>8756</v>
      </c>
      <c r="C3594" t="s">
        <v>8757</v>
      </c>
      <c r="F3594">
        <v>1</v>
      </c>
      <c r="G3594" s="1" t="s">
        <v>3710</v>
      </c>
      <c r="I3594" s="1" t="s">
        <v>11473</v>
      </c>
      <c r="O3594" t="s">
        <v>22</v>
      </c>
    </row>
    <row r="3595" spans="1:15">
      <c r="A3595" t="s">
        <v>6790</v>
      </c>
      <c r="B3595" t="s">
        <v>6790</v>
      </c>
      <c r="C3595" t="s">
        <v>4026</v>
      </c>
      <c r="F3595">
        <v>1</v>
      </c>
      <c r="G3595" s="1" t="s">
        <v>3711</v>
      </c>
      <c r="I3595" s="1" t="s">
        <v>11473</v>
      </c>
      <c r="O3595" t="s">
        <v>22</v>
      </c>
    </row>
    <row r="3596" spans="1:15">
      <c r="A3596" t="s">
        <v>8737</v>
      </c>
      <c r="B3596" t="s">
        <v>8737</v>
      </c>
      <c r="C3596" t="s">
        <v>4532</v>
      </c>
      <c r="F3596">
        <v>1</v>
      </c>
      <c r="G3596" s="1" t="s">
        <v>3712</v>
      </c>
      <c r="I3596" s="1" t="s">
        <v>11473</v>
      </c>
      <c r="O3596" t="s">
        <v>22</v>
      </c>
    </row>
    <row r="3597" spans="1:15">
      <c r="A3597" t="s">
        <v>6576</v>
      </c>
      <c r="B3597" t="s">
        <v>6576</v>
      </c>
      <c r="C3597" t="s">
        <v>4331</v>
      </c>
      <c r="F3597">
        <v>1</v>
      </c>
      <c r="G3597" s="1" t="s">
        <v>3713</v>
      </c>
      <c r="I3597" s="1" t="s">
        <v>11473</v>
      </c>
      <c r="O3597" t="s">
        <v>22</v>
      </c>
    </row>
    <row r="3598" spans="1:15">
      <c r="A3598" t="s">
        <v>6743</v>
      </c>
      <c r="B3598" t="s">
        <v>6743</v>
      </c>
      <c r="C3598" t="s">
        <v>6744</v>
      </c>
      <c r="F3598">
        <v>1</v>
      </c>
      <c r="G3598" s="1" t="s">
        <v>3714</v>
      </c>
      <c r="I3598" s="1" t="s">
        <v>11473</v>
      </c>
      <c r="O3598" t="s">
        <v>22</v>
      </c>
    </row>
    <row r="3599" spans="1:15">
      <c r="A3599" t="s">
        <v>6741</v>
      </c>
      <c r="B3599" t="s">
        <v>6741</v>
      </c>
      <c r="C3599" t="s">
        <v>6742</v>
      </c>
      <c r="F3599">
        <v>1</v>
      </c>
      <c r="G3599" s="1" t="s">
        <v>3715</v>
      </c>
      <c r="I3599" s="1" t="s">
        <v>11473</v>
      </c>
      <c r="O3599" t="s">
        <v>22</v>
      </c>
    </row>
    <row r="3600" spans="1:15">
      <c r="A3600" t="s">
        <v>6804</v>
      </c>
      <c r="B3600" t="s">
        <v>6804</v>
      </c>
      <c r="C3600" t="s">
        <v>6805</v>
      </c>
      <c r="F3600">
        <v>1</v>
      </c>
      <c r="G3600" s="1" t="s">
        <v>3716</v>
      </c>
      <c r="I3600" s="1" t="s">
        <v>11473</v>
      </c>
      <c r="O3600" t="s">
        <v>22</v>
      </c>
    </row>
    <row r="3601" spans="1:15">
      <c r="A3601" t="s">
        <v>9713</v>
      </c>
      <c r="B3601" t="s">
        <v>9713</v>
      </c>
      <c r="C3601" t="s">
        <v>9714</v>
      </c>
      <c r="F3601">
        <v>1</v>
      </c>
      <c r="G3601" s="1" t="s">
        <v>3717</v>
      </c>
      <c r="I3601" s="1" t="s">
        <v>11473</v>
      </c>
      <c r="O3601" t="s">
        <v>22</v>
      </c>
    </row>
    <row r="3602" spans="1:15">
      <c r="A3602" t="s">
        <v>6318</v>
      </c>
      <c r="B3602" t="s">
        <v>6318</v>
      </c>
      <c r="C3602" t="s">
        <v>4428</v>
      </c>
      <c r="F3602">
        <v>1</v>
      </c>
      <c r="G3602" s="1" t="s">
        <v>3718</v>
      </c>
      <c r="I3602" s="1" t="s">
        <v>11473</v>
      </c>
      <c r="O3602" t="s">
        <v>22</v>
      </c>
    </row>
    <row r="3603" spans="1:15">
      <c r="A3603" t="s">
        <v>6535</v>
      </c>
      <c r="B3603" t="s">
        <v>6535</v>
      </c>
      <c r="C3603" t="s">
        <v>4343</v>
      </c>
      <c r="F3603">
        <v>1</v>
      </c>
      <c r="G3603" s="1" t="s">
        <v>3719</v>
      </c>
      <c r="I3603" s="1" t="s">
        <v>11473</v>
      </c>
      <c r="O3603" t="s">
        <v>22</v>
      </c>
    </row>
    <row r="3604" spans="1:15">
      <c r="A3604" t="s">
        <v>8521</v>
      </c>
      <c r="B3604" t="s">
        <v>8521</v>
      </c>
      <c r="C3604" t="s">
        <v>4343</v>
      </c>
      <c r="F3604">
        <v>1</v>
      </c>
      <c r="G3604" s="1" t="s">
        <v>3720</v>
      </c>
      <c r="I3604" s="1" t="s">
        <v>11473</v>
      </c>
      <c r="O3604" t="s">
        <v>22</v>
      </c>
    </row>
    <row r="3605" spans="1:15">
      <c r="A3605" t="s">
        <v>9115</v>
      </c>
      <c r="B3605" t="s">
        <v>9115</v>
      </c>
      <c r="C3605" t="s">
        <v>4343</v>
      </c>
      <c r="F3605">
        <v>1</v>
      </c>
      <c r="G3605" s="1" t="s">
        <v>3721</v>
      </c>
      <c r="I3605" s="1" t="s">
        <v>11473</v>
      </c>
      <c r="O3605" t="s">
        <v>22</v>
      </c>
    </row>
    <row r="3606" spans="1:15">
      <c r="A3606" t="s">
        <v>7328</v>
      </c>
      <c r="B3606" t="s">
        <v>7328</v>
      </c>
      <c r="C3606" t="s">
        <v>7329</v>
      </c>
      <c r="F3606">
        <v>1</v>
      </c>
      <c r="G3606" s="1" t="s">
        <v>3722</v>
      </c>
      <c r="I3606" s="1" t="s">
        <v>11473</v>
      </c>
      <c r="O3606" t="s">
        <v>22</v>
      </c>
    </row>
    <row r="3607" spans="1:15">
      <c r="A3607" t="s">
        <v>8758</v>
      </c>
      <c r="B3607" t="s">
        <v>8758</v>
      </c>
      <c r="C3607" t="s">
        <v>7329</v>
      </c>
      <c r="F3607">
        <v>1</v>
      </c>
      <c r="G3607" s="1" t="s">
        <v>3723</v>
      </c>
      <c r="I3607" s="1" t="s">
        <v>11473</v>
      </c>
      <c r="O3607" t="s">
        <v>22</v>
      </c>
    </row>
    <row r="3608" spans="1:15">
      <c r="A3608" t="s">
        <v>11336</v>
      </c>
      <c r="B3608" t="s">
        <v>11336</v>
      </c>
      <c r="C3608" t="s">
        <v>11337</v>
      </c>
      <c r="F3608">
        <v>1</v>
      </c>
      <c r="G3608" s="1" t="s">
        <v>3724</v>
      </c>
      <c r="I3608" s="1" t="s">
        <v>11473</v>
      </c>
      <c r="O3608" t="s">
        <v>22</v>
      </c>
    </row>
    <row r="3609" spans="1:15">
      <c r="A3609" t="s">
        <v>8769</v>
      </c>
      <c r="B3609" t="s">
        <v>8769</v>
      </c>
      <c r="C3609" t="s">
        <v>5008</v>
      </c>
      <c r="F3609">
        <v>1</v>
      </c>
      <c r="G3609" s="1" t="s">
        <v>3725</v>
      </c>
      <c r="I3609" s="1" t="s">
        <v>11473</v>
      </c>
      <c r="O3609" t="s">
        <v>22</v>
      </c>
    </row>
    <row r="3610" spans="1:15">
      <c r="A3610" t="s">
        <v>10283</v>
      </c>
      <c r="B3610" t="s">
        <v>10283</v>
      </c>
      <c r="C3610" t="s">
        <v>5008</v>
      </c>
      <c r="F3610">
        <v>1</v>
      </c>
      <c r="G3610" s="1" t="s">
        <v>3726</v>
      </c>
      <c r="I3610" s="1" t="s">
        <v>11473</v>
      </c>
      <c r="O3610" t="s">
        <v>22</v>
      </c>
    </row>
    <row r="3611" spans="1:15">
      <c r="A3611" t="s">
        <v>8480</v>
      </c>
      <c r="B3611" t="s">
        <v>8480</v>
      </c>
      <c r="C3611" t="s">
        <v>5364</v>
      </c>
      <c r="F3611">
        <v>1</v>
      </c>
      <c r="G3611" s="1" t="s">
        <v>3727</v>
      </c>
      <c r="I3611" s="1" t="s">
        <v>11473</v>
      </c>
      <c r="O3611" t="s">
        <v>22</v>
      </c>
    </row>
    <row r="3612" spans="1:15">
      <c r="A3612" t="s">
        <v>9716</v>
      </c>
      <c r="B3612" t="s">
        <v>9716</v>
      </c>
      <c r="C3612" t="s">
        <v>5364</v>
      </c>
      <c r="F3612">
        <v>1</v>
      </c>
      <c r="G3612" s="1" t="s">
        <v>3728</v>
      </c>
      <c r="I3612" s="1" t="s">
        <v>11473</v>
      </c>
      <c r="O3612" t="s">
        <v>22</v>
      </c>
    </row>
    <row r="3613" spans="1:15">
      <c r="A3613" t="s">
        <v>6764</v>
      </c>
      <c r="B3613" t="s">
        <v>6764</v>
      </c>
      <c r="C3613" t="s">
        <v>6765</v>
      </c>
      <c r="F3613">
        <v>1</v>
      </c>
      <c r="G3613" s="1" t="s">
        <v>3729</v>
      </c>
      <c r="I3613" s="1" t="s">
        <v>11473</v>
      </c>
      <c r="O3613" t="s">
        <v>22</v>
      </c>
    </row>
    <row r="3614" spans="1:15">
      <c r="A3614" t="s">
        <v>9933</v>
      </c>
      <c r="B3614" t="s">
        <v>9933</v>
      </c>
      <c r="C3614" t="s">
        <v>9934</v>
      </c>
      <c r="F3614">
        <v>1</v>
      </c>
      <c r="G3614" s="1" t="s">
        <v>3730</v>
      </c>
      <c r="I3614" s="1" t="s">
        <v>11473</v>
      </c>
      <c r="O3614" t="s">
        <v>22</v>
      </c>
    </row>
    <row r="3615" spans="1:15">
      <c r="A3615" t="s">
        <v>10373</v>
      </c>
      <c r="B3615" t="s">
        <v>10373</v>
      </c>
      <c r="C3615" t="s">
        <v>10374</v>
      </c>
      <c r="F3615">
        <v>1</v>
      </c>
      <c r="G3615" s="1" t="s">
        <v>3731</v>
      </c>
      <c r="I3615" s="1" t="s">
        <v>11473</v>
      </c>
      <c r="O3615" t="s">
        <v>22</v>
      </c>
    </row>
    <row r="3616" spans="1:15">
      <c r="A3616" t="s">
        <v>10224</v>
      </c>
      <c r="B3616" t="s">
        <v>10224</v>
      </c>
      <c r="C3616" t="s">
        <v>10225</v>
      </c>
      <c r="F3616">
        <v>1</v>
      </c>
      <c r="G3616" s="1" t="s">
        <v>3732</v>
      </c>
      <c r="I3616" s="1" t="s">
        <v>11473</v>
      </c>
      <c r="O3616" t="s">
        <v>22</v>
      </c>
    </row>
    <row r="3617" spans="1:15">
      <c r="A3617" t="s">
        <v>8377</v>
      </c>
      <c r="B3617" t="s">
        <v>8377</v>
      </c>
      <c r="C3617" t="s">
        <v>4195</v>
      </c>
      <c r="F3617">
        <v>1</v>
      </c>
      <c r="G3617" s="1" t="s">
        <v>3733</v>
      </c>
      <c r="I3617" s="1" t="s">
        <v>11473</v>
      </c>
      <c r="O3617" t="s">
        <v>22</v>
      </c>
    </row>
    <row r="3618" spans="1:15">
      <c r="A3618" t="s">
        <v>9074</v>
      </c>
      <c r="B3618" t="s">
        <v>9074</v>
      </c>
      <c r="C3618" t="s">
        <v>4195</v>
      </c>
      <c r="F3618">
        <v>1</v>
      </c>
      <c r="G3618" s="1" t="s">
        <v>3734</v>
      </c>
      <c r="I3618" s="1" t="s">
        <v>11473</v>
      </c>
      <c r="O3618" t="s">
        <v>22</v>
      </c>
    </row>
    <row r="3619" spans="1:15">
      <c r="A3619" t="s">
        <v>6559</v>
      </c>
      <c r="B3619" t="s">
        <v>6559</v>
      </c>
      <c r="C3619" t="s">
        <v>6560</v>
      </c>
      <c r="F3619">
        <v>1</v>
      </c>
      <c r="G3619" s="1" t="s">
        <v>3735</v>
      </c>
      <c r="I3619" s="1" t="s">
        <v>11473</v>
      </c>
      <c r="O3619" t="s">
        <v>22</v>
      </c>
    </row>
    <row r="3620" spans="1:15">
      <c r="A3620" t="s">
        <v>7769</v>
      </c>
      <c r="B3620" t="s">
        <v>7769</v>
      </c>
      <c r="C3620" t="s">
        <v>7770</v>
      </c>
      <c r="F3620">
        <v>1</v>
      </c>
      <c r="G3620" s="1" t="s">
        <v>3736</v>
      </c>
      <c r="I3620" s="1" t="s">
        <v>11473</v>
      </c>
      <c r="O3620" t="s">
        <v>22</v>
      </c>
    </row>
    <row r="3621" spans="1:15">
      <c r="A3621" t="s">
        <v>8491</v>
      </c>
      <c r="B3621" t="s">
        <v>8491</v>
      </c>
      <c r="C3621" t="s">
        <v>7770</v>
      </c>
      <c r="F3621">
        <v>1</v>
      </c>
      <c r="G3621" s="1" t="s">
        <v>3737</v>
      </c>
      <c r="I3621" s="1" t="s">
        <v>11473</v>
      </c>
      <c r="O3621" t="s">
        <v>22</v>
      </c>
    </row>
    <row r="3622" spans="1:15">
      <c r="A3622" t="s">
        <v>6534</v>
      </c>
      <c r="B3622" t="s">
        <v>6534</v>
      </c>
      <c r="C3622" t="s">
        <v>4961</v>
      </c>
      <c r="F3622">
        <v>1</v>
      </c>
      <c r="G3622" s="1" t="s">
        <v>3738</v>
      </c>
      <c r="I3622" s="1" t="s">
        <v>11473</v>
      </c>
      <c r="O3622" t="s">
        <v>22</v>
      </c>
    </row>
    <row r="3623" spans="1:15">
      <c r="A3623" t="s">
        <v>8201</v>
      </c>
      <c r="B3623" t="s">
        <v>8201</v>
      </c>
      <c r="C3623" t="s">
        <v>4352</v>
      </c>
      <c r="F3623">
        <v>1</v>
      </c>
      <c r="G3623" s="1" t="s">
        <v>3739</v>
      </c>
      <c r="I3623" s="1" t="s">
        <v>11473</v>
      </c>
      <c r="O3623" t="s">
        <v>22</v>
      </c>
    </row>
    <row r="3624" spans="1:15">
      <c r="A3624" t="s">
        <v>6326</v>
      </c>
      <c r="B3624" t="s">
        <v>6326</v>
      </c>
      <c r="C3624" t="s">
        <v>4338</v>
      </c>
      <c r="F3624">
        <v>1</v>
      </c>
      <c r="G3624" s="1" t="s">
        <v>3740</v>
      </c>
      <c r="I3624" s="1" t="s">
        <v>11473</v>
      </c>
      <c r="O3624" t="s">
        <v>22</v>
      </c>
    </row>
    <row r="3625" spans="1:15">
      <c r="A3625" t="s">
        <v>6760</v>
      </c>
      <c r="B3625" t="s">
        <v>6760</v>
      </c>
      <c r="C3625" t="s">
        <v>4338</v>
      </c>
      <c r="F3625">
        <v>1</v>
      </c>
      <c r="G3625" s="1" t="s">
        <v>3741</v>
      </c>
      <c r="I3625" s="1" t="s">
        <v>11473</v>
      </c>
      <c r="O3625" t="s">
        <v>22</v>
      </c>
    </row>
    <row r="3626" spans="1:15">
      <c r="A3626" t="s">
        <v>8307</v>
      </c>
      <c r="B3626" t="s">
        <v>8307</v>
      </c>
      <c r="C3626" t="s">
        <v>4338</v>
      </c>
      <c r="F3626">
        <v>1</v>
      </c>
      <c r="G3626" s="1" t="s">
        <v>3742</v>
      </c>
      <c r="I3626" s="1" t="s">
        <v>11473</v>
      </c>
      <c r="O3626" t="s">
        <v>22</v>
      </c>
    </row>
    <row r="3627" spans="1:15">
      <c r="A3627" t="s">
        <v>10695</v>
      </c>
      <c r="B3627" t="s">
        <v>10695</v>
      </c>
      <c r="C3627" t="s">
        <v>4338</v>
      </c>
      <c r="F3627">
        <v>1</v>
      </c>
      <c r="G3627" s="1" t="s">
        <v>3743</v>
      </c>
      <c r="I3627" s="1" t="s">
        <v>11473</v>
      </c>
      <c r="O3627" t="s">
        <v>22</v>
      </c>
    </row>
    <row r="3628" spans="1:15">
      <c r="A3628" t="s">
        <v>6568</v>
      </c>
      <c r="B3628" t="s">
        <v>6568</v>
      </c>
      <c r="C3628" t="s">
        <v>4263</v>
      </c>
      <c r="F3628">
        <v>1</v>
      </c>
      <c r="G3628" s="1" t="s">
        <v>3744</v>
      </c>
      <c r="I3628" s="1" t="s">
        <v>11473</v>
      </c>
      <c r="O3628" t="s">
        <v>22</v>
      </c>
    </row>
    <row r="3629" spans="1:15">
      <c r="A3629" t="s">
        <v>11194</v>
      </c>
      <c r="B3629" t="s">
        <v>11194</v>
      </c>
      <c r="C3629" t="s">
        <v>4263</v>
      </c>
      <c r="F3629">
        <v>1</v>
      </c>
      <c r="G3629" s="1" t="s">
        <v>3745</v>
      </c>
      <c r="I3629" s="1" t="s">
        <v>11473</v>
      </c>
      <c r="O3629" t="s">
        <v>22</v>
      </c>
    </row>
    <row r="3630" spans="1:15">
      <c r="A3630" t="s">
        <v>10425</v>
      </c>
      <c r="B3630" t="s">
        <v>10425</v>
      </c>
      <c r="C3630" t="s">
        <v>10426</v>
      </c>
      <c r="F3630">
        <v>1</v>
      </c>
      <c r="G3630" s="1" t="s">
        <v>3746</v>
      </c>
      <c r="I3630" s="1" t="s">
        <v>11473</v>
      </c>
      <c r="O3630" t="s">
        <v>22</v>
      </c>
    </row>
    <row r="3631" spans="1:15">
      <c r="A3631" t="s">
        <v>10716</v>
      </c>
      <c r="B3631" t="s">
        <v>10716</v>
      </c>
      <c r="C3631" t="s">
        <v>10426</v>
      </c>
      <c r="F3631">
        <v>1</v>
      </c>
      <c r="G3631" s="1" t="s">
        <v>3747</v>
      </c>
      <c r="I3631" s="1" t="s">
        <v>11473</v>
      </c>
      <c r="O3631" t="s">
        <v>22</v>
      </c>
    </row>
    <row r="3632" spans="1:15">
      <c r="A3632" t="s">
        <v>7286</v>
      </c>
      <c r="B3632" t="s">
        <v>7286</v>
      </c>
      <c r="C3632" t="s">
        <v>7287</v>
      </c>
      <c r="F3632">
        <v>1</v>
      </c>
      <c r="G3632" s="1" t="s">
        <v>3748</v>
      </c>
      <c r="I3632" s="1" t="s">
        <v>11473</v>
      </c>
      <c r="O3632" t="s">
        <v>22</v>
      </c>
    </row>
    <row r="3633" spans="1:15">
      <c r="A3633" t="s">
        <v>8738</v>
      </c>
      <c r="B3633" t="s">
        <v>8738</v>
      </c>
      <c r="C3633" t="s">
        <v>7287</v>
      </c>
      <c r="F3633">
        <v>1</v>
      </c>
      <c r="G3633" s="1" t="s">
        <v>3749</v>
      </c>
      <c r="I3633" s="1" t="s">
        <v>11473</v>
      </c>
      <c r="O3633" t="s">
        <v>22</v>
      </c>
    </row>
    <row r="3634" spans="1:15">
      <c r="A3634" t="s">
        <v>11149</v>
      </c>
      <c r="B3634" t="s">
        <v>11149</v>
      </c>
      <c r="C3634" t="s">
        <v>11150</v>
      </c>
      <c r="F3634">
        <v>1</v>
      </c>
      <c r="G3634" s="1" t="s">
        <v>3750</v>
      </c>
      <c r="I3634" s="1" t="s">
        <v>11473</v>
      </c>
      <c r="O3634" t="s">
        <v>22</v>
      </c>
    </row>
    <row r="3635" spans="1:15">
      <c r="A3635" t="s">
        <v>6371</v>
      </c>
      <c r="B3635" t="s">
        <v>6371</v>
      </c>
      <c r="C3635" t="s">
        <v>4123</v>
      </c>
      <c r="F3635">
        <v>1</v>
      </c>
      <c r="G3635" s="1" t="s">
        <v>3751</v>
      </c>
      <c r="I3635" s="1" t="s">
        <v>11473</v>
      </c>
      <c r="O3635" t="s">
        <v>22</v>
      </c>
    </row>
    <row r="3636" spans="1:15">
      <c r="A3636" t="s">
        <v>6561</v>
      </c>
      <c r="B3636" t="s">
        <v>6561</v>
      </c>
      <c r="C3636" t="s">
        <v>4123</v>
      </c>
      <c r="F3636">
        <v>1</v>
      </c>
      <c r="G3636" s="1" t="s">
        <v>3752</v>
      </c>
      <c r="I3636" s="1" t="s">
        <v>11473</v>
      </c>
      <c r="O3636" t="s">
        <v>22</v>
      </c>
    </row>
    <row r="3637" spans="1:15">
      <c r="A3637" t="s">
        <v>8118</v>
      </c>
      <c r="B3637" t="s">
        <v>8118</v>
      </c>
      <c r="C3637" t="s">
        <v>4123</v>
      </c>
      <c r="F3637">
        <v>1</v>
      </c>
      <c r="G3637" s="1" t="s">
        <v>3753</v>
      </c>
      <c r="I3637" s="1" t="s">
        <v>11473</v>
      </c>
      <c r="O3637" t="s">
        <v>22</v>
      </c>
    </row>
    <row r="3638" spans="1:15">
      <c r="A3638" t="s">
        <v>9734</v>
      </c>
      <c r="B3638" t="s">
        <v>9734</v>
      </c>
      <c r="C3638" t="s">
        <v>4123</v>
      </c>
      <c r="F3638">
        <v>1</v>
      </c>
      <c r="G3638" s="1" t="s">
        <v>3754</v>
      </c>
      <c r="I3638" s="1" t="s">
        <v>11473</v>
      </c>
      <c r="O3638" t="s">
        <v>22</v>
      </c>
    </row>
    <row r="3639" spans="1:15">
      <c r="A3639" t="s">
        <v>6778</v>
      </c>
      <c r="B3639" t="s">
        <v>6778</v>
      </c>
      <c r="C3639" t="s">
        <v>4455</v>
      </c>
      <c r="F3639">
        <v>1</v>
      </c>
      <c r="G3639" s="1" t="s">
        <v>3755</v>
      </c>
      <c r="I3639" s="1" t="s">
        <v>11473</v>
      </c>
      <c r="O3639" t="s">
        <v>22</v>
      </c>
    </row>
    <row r="3640" spans="1:15">
      <c r="A3640" t="s">
        <v>10251</v>
      </c>
      <c r="B3640" t="s">
        <v>10251</v>
      </c>
      <c r="C3640" t="s">
        <v>4455</v>
      </c>
      <c r="F3640">
        <v>1</v>
      </c>
      <c r="G3640" s="1" t="s">
        <v>3756</v>
      </c>
      <c r="I3640" s="1" t="s">
        <v>11473</v>
      </c>
      <c r="O3640" t="s">
        <v>22</v>
      </c>
    </row>
    <row r="3641" spans="1:15">
      <c r="A3641" t="s">
        <v>8202</v>
      </c>
      <c r="B3641" t="s">
        <v>8202</v>
      </c>
      <c r="C3641" t="s">
        <v>8203</v>
      </c>
      <c r="F3641">
        <v>1</v>
      </c>
      <c r="G3641" s="1" t="s">
        <v>3757</v>
      </c>
      <c r="I3641" s="1" t="s">
        <v>11473</v>
      </c>
      <c r="O3641" t="s">
        <v>22</v>
      </c>
    </row>
    <row r="3642" spans="1:15">
      <c r="A3642" t="s">
        <v>9755</v>
      </c>
      <c r="B3642" t="s">
        <v>9755</v>
      </c>
      <c r="C3642" t="s">
        <v>4811</v>
      </c>
      <c r="F3642">
        <v>1</v>
      </c>
      <c r="G3642" s="1" t="s">
        <v>3758</v>
      </c>
      <c r="I3642" s="1" t="s">
        <v>11473</v>
      </c>
      <c r="O3642" t="s">
        <v>22</v>
      </c>
    </row>
    <row r="3643" spans="1:15">
      <c r="A3643" t="s">
        <v>7146</v>
      </c>
      <c r="B3643" t="s">
        <v>7146</v>
      </c>
      <c r="C3643" t="s">
        <v>4413</v>
      </c>
      <c r="F3643">
        <v>1</v>
      </c>
      <c r="G3643" s="1" t="s">
        <v>3759</v>
      </c>
      <c r="I3643" s="1" t="s">
        <v>11473</v>
      </c>
      <c r="O3643" t="s">
        <v>22</v>
      </c>
    </row>
    <row r="3644" spans="1:15">
      <c r="A3644" t="s">
        <v>9304</v>
      </c>
      <c r="B3644" t="s">
        <v>9304</v>
      </c>
      <c r="C3644" t="s">
        <v>4413</v>
      </c>
      <c r="F3644">
        <v>1</v>
      </c>
      <c r="G3644" s="1" t="s">
        <v>3760</v>
      </c>
      <c r="I3644" s="1" t="s">
        <v>11473</v>
      </c>
      <c r="O3644" t="s">
        <v>22</v>
      </c>
    </row>
    <row r="3645" spans="1:15">
      <c r="A3645" t="s">
        <v>8163</v>
      </c>
      <c r="B3645" t="s">
        <v>8163</v>
      </c>
      <c r="C3645" t="s">
        <v>8164</v>
      </c>
      <c r="F3645">
        <v>1</v>
      </c>
      <c r="G3645" s="1" t="s">
        <v>3761</v>
      </c>
      <c r="I3645" s="1" t="s">
        <v>11473</v>
      </c>
      <c r="O3645" t="s">
        <v>22</v>
      </c>
    </row>
    <row r="3646" spans="1:15">
      <c r="A3646" t="s">
        <v>8304</v>
      </c>
      <c r="B3646" t="s">
        <v>8304</v>
      </c>
      <c r="C3646" t="s">
        <v>8164</v>
      </c>
      <c r="F3646">
        <v>1</v>
      </c>
      <c r="G3646" s="1" t="s">
        <v>3762</v>
      </c>
      <c r="I3646" s="1" t="s">
        <v>11473</v>
      </c>
      <c r="O3646" t="s">
        <v>22</v>
      </c>
    </row>
    <row r="3647" spans="1:15">
      <c r="A3647" t="s">
        <v>8700</v>
      </c>
      <c r="B3647" t="s">
        <v>8700</v>
      </c>
      <c r="C3647" t="s">
        <v>4029</v>
      </c>
      <c r="F3647">
        <v>1</v>
      </c>
      <c r="G3647" s="1" t="s">
        <v>3763</v>
      </c>
      <c r="I3647" s="1" t="s">
        <v>11473</v>
      </c>
      <c r="O3647" t="s">
        <v>22</v>
      </c>
    </row>
    <row r="3648" spans="1:15">
      <c r="A3648" t="s">
        <v>10014</v>
      </c>
      <c r="B3648" t="s">
        <v>10014</v>
      </c>
      <c r="C3648" t="s">
        <v>4029</v>
      </c>
      <c r="F3648">
        <v>1</v>
      </c>
      <c r="G3648" s="1" t="s">
        <v>3764</v>
      </c>
      <c r="I3648" s="1" t="s">
        <v>11473</v>
      </c>
      <c r="O3648" t="s">
        <v>22</v>
      </c>
    </row>
    <row r="3649" spans="1:15">
      <c r="A3649" t="s">
        <v>10338</v>
      </c>
      <c r="B3649" t="s">
        <v>10338</v>
      </c>
      <c r="C3649" t="s">
        <v>4029</v>
      </c>
      <c r="F3649">
        <v>1</v>
      </c>
      <c r="G3649" s="1" t="s">
        <v>3765</v>
      </c>
      <c r="I3649" s="1" t="s">
        <v>11473</v>
      </c>
      <c r="O3649" t="s">
        <v>22</v>
      </c>
    </row>
    <row r="3650" spans="1:15">
      <c r="A3650" t="s">
        <v>6571</v>
      </c>
      <c r="B3650" t="s">
        <v>6571</v>
      </c>
      <c r="C3650" t="s">
        <v>6572</v>
      </c>
      <c r="F3650">
        <v>1</v>
      </c>
      <c r="G3650" s="1" t="s">
        <v>3766</v>
      </c>
      <c r="I3650" s="1" t="s">
        <v>11473</v>
      </c>
      <c r="O3650" t="s">
        <v>22</v>
      </c>
    </row>
    <row r="3651" spans="1:15">
      <c r="A3651" t="s">
        <v>8522</v>
      </c>
      <c r="B3651" t="s">
        <v>8522</v>
      </c>
      <c r="C3651" t="s">
        <v>8523</v>
      </c>
      <c r="F3651">
        <v>1</v>
      </c>
      <c r="G3651" s="1" t="s">
        <v>3767</v>
      </c>
      <c r="I3651" s="1" t="s">
        <v>11473</v>
      </c>
      <c r="O3651" t="s">
        <v>22</v>
      </c>
    </row>
    <row r="3652" spans="1:15">
      <c r="A3652" t="s">
        <v>6527</v>
      </c>
      <c r="B3652" t="s">
        <v>6527</v>
      </c>
      <c r="C3652" t="s">
        <v>5261</v>
      </c>
      <c r="F3652">
        <v>1</v>
      </c>
      <c r="G3652" s="1" t="s">
        <v>3768</v>
      </c>
      <c r="I3652" s="1" t="s">
        <v>11473</v>
      </c>
      <c r="O3652" t="s">
        <v>22</v>
      </c>
    </row>
    <row r="3653" spans="1:15">
      <c r="A3653" t="s">
        <v>7208</v>
      </c>
      <c r="B3653" t="s">
        <v>7208</v>
      </c>
      <c r="C3653" t="s">
        <v>4911</v>
      </c>
      <c r="F3653">
        <v>1</v>
      </c>
      <c r="G3653" s="1" t="s">
        <v>3769</v>
      </c>
      <c r="I3653" s="1" t="s">
        <v>11473</v>
      </c>
      <c r="O3653" t="s">
        <v>22</v>
      </c>
    </row>
    <row r="3654" spans="1:15">
      <c r="A3654" t="s">
        <v>6770</v>
      </c>
      <c r="B3654" t="s">
        <v>6770</v>
      </c>
      <c r="C3654" t="s">
        <v>4939</v>
      </c>
      <c r="F3654">
        <v>1</v>
      </c>
      <c r="G3654" s="1" t="s">
        <v>3770</v>
      </c>
      <c r="I3654" s="1" t="s">
        <v>11473</v>
      </c>
      <c r="O3654" t="s">
        <v>22</v>
      </c>
    </row>
    <row r="3655" spans="1:15">
      <c r="A3655" t="s">
        <v>7039</v>
      </c>
      <c r="B3655" t="s">
        <v>7039</v>
      </c>
      <c r="C3655" t="s">
        <v>4939</v>
      </c>
      <c r="F3655">
        <v>1</v>
      </c>
      <c r="G3655" s="1" t="s">
        <v>3771</v>
      </c>
      <c r="I3655" s="1" t="s">
        <v>11473</v>
      </c>
      <c r="O3655" t="s">
        <v>22</v>
      </c>
    </row>
    <row r="3656" spans="1:15">
      <c r="A3656" t="s">
        <v>8301</v>
      </c>
      <c r="B3656" t="s">
        <v>8301</v>
      </c>
      <c r="C3656" t="s">
        <v>4939</v>
      </c>
      <c r="F3656">
        <v>1</v>
      </c>
      <c r="G3656" s="1" t="s">
        <v>3772</v>
      </c>
      <c r="I3656" s="1" t="s">
        <v>11473</v>
      </c>
      <c r="O3656" t="s">
        <v>22</v>
      </c>
    </row>
    <row r="3657" spans="1:15">
      <c r="A3657" t="s">
        <v>6569</v>
      </c>
      <c r="B3657" t="s">
        <v>6569</v>
      </c>
      <c r="C3657" t="s">
        <v>6570</v>
      </c>
      <c r="F3657">
        <v>1</v>
      </c>
      <c r="G3657" s="1" t="s">
        <v>3773</v>
      </c>
      <c r="I3657" s="1" t="s">
        <v>11473</v>
      </c>
      <c r="O3657" t="s">
        <v>22</v>
      </c>
    </row>
    <row r="3658" spans="1:15">
      <c r="A3658" t="s">
        <v>6052</v>
      </c>
      <c r="B3658" t="s">
        <v>6052</v>
      </c>
      <c r="C3658" t="s">
        <v>4678</v>
      </c>
      <c r="F3658">
        <v>1</v>
      </c>
      <c r="G3658" s="1" t="s">
        <v>3774</v>
      </c>
      <c r="I3658" s="1" t="s">
        <v>11473</v>
      </c>
      <c r="O3658" t="s">
        <v>22</v>
      </c>
    </row>
    <row r="3659" spans="1:15">
      <c r="A3659" t="s">
        <v>6575</v>
      </c>
      <c r="B3659" t="s">
        <v>6575</v>
      </c>
      <c r="C3659" t="s">
        <v>4678</v>
      </c>
      <c r="F3659">
        <v>1</v>
      </c>
      <c r="G3659" s="1" t="s">
        <v>3775</v>
      </c>
      <c r="I3659" s="1" t="s">
        <v>11473</v>
      </c>
      <c r="O3659" t="s">
        <v>22</v>
      </c>
    </row>
    <row r="3660" spans="1:15">
      <c r="A3660" t="s">
        <v>8139</v>
      </c>
      <c r="B3660" t="s">
        <v>8139</v>
      </c>
      <c r="C3660" t="s">
        <v>4678</v>
      </c>
      <c r="F3660">
        <v>1</v>
      </c>
      <c r="G3660" s="1" t="s">
        <v>3776</v>
      </c>
      <c r="I3660" s="1" t="s">
        <v>11473</v>
      </c>
      <c r="O3660" t="s">
        <v>22</v>
      </c>
    </row>
    <row r="3661" spans="1:15">
      <c r="A3661" t="s">
        <v>8489</v>
      </c>
      <c r="B3661" t="s">
        <v>8489</v>
      </c>
      <c r="C3661" t="s">
        <v>4678</v>
      </c>
      <c r="F3661">
        <v>1</v>
      </c>
      <c r="G3661" s="1" t="s">
        <v>3777</v>
      </c>
      <c r="I3661" s="1" t="s">
        <v>11473</v>
      </c>
      <c r="O3661" t="s">
        <v>22</v>
      </c>
    </row>
    <row r="3662" spans="1:15">
      <c r="A3662" t="s">
        <v>8754</v>
      </c>
      <c r="B3662" t="s">
        <v>8754</v>
      </c>
      <c r="C3662" t="s">
        <v>4678</v>
      </c>
      <c r="F3662">
        <v>1</v>
      </c>
      <c r="G3662" s="1" t="s">
        <v>3778</v>
      </c>
      <c r="I3662" s="1" t="s">
        <v>11473</v>
      </c>
      <c r="O3662" t="s">
        <v>22</v>
      </c>
    </row>
    <row r="3663" spans="1:15">
      <c r="A3663" t="s">
        <v>6799</v>
      </c>
      <c r="B3663" t="s">
        <v>6799</v>
      </c>
      <c r="C3663" t="s">
        <v>6800</v>
      </c>
      <c r="F3663">
        <v>1</v>
      </c>
      <c r="G3663" s="1" t="s">
        <v>3779</v>
      </c>
      <c r="I3663" s="1" t="s">
        <v>11473</v>
      </c>
      <c r="O3663" t="s">
        <v>22</v>
      </c>
    </row>
    <row r="3664" spans="1:15">
      <c r="A3664" t="s">
        <v>8366</v>
      </c>
      <c r="B3664" t="s">
        <v>8366</v>
      </c>
      <c r="C3664" t="s">
        <v>6800</v>
      </c>
      <c r="F3664">
        <v>1</v>
      </c>
      <c r="G3664" s="1" t="s">
        <v>3780</v>
      </c>
      <c r="I3664" s="1" t="s">
        <v>11473</v>
      </c>
      <c r="O3664" t="s">
        <v>22</v>
      </c>
    </row>
    <row r="3665" spans="1:15">
      <c r="A3665" t="s">
        <v>11353</v>
      </c>
      <c r="B3665" t="s">
        <v>11353</v>
      </c>
      <c r="C3665" t="s">
        <v>4456</v>
      </c>
      <c r="F3665">
        <v>1</v>
      </c>
      <c r="G3665" s="1" t="s">
        <v>3781</v>
      </c>
      <c r="I3665" s="1" t="s">
        <v>11473</v>
      </c>
      <c r="O3665" t="s">
        <v>22</v>
      </c>
    </row>
    <row r="3666" spans="1:15">
      <c r="A3666" t="s">
        <v>6552</v>
      </c>
      <c r="B3666" t="s">
        <v>6552</v>
      </c>
      <c r="C3666" t="s">
        <v>6553</v>
      </c>
      <c r="F3666">
        <v>1</v>
      </c>
      <c r="G3666" s="1" t="s">
        <v>3782</v>
      </c>
      <c r="I3666" s="1" t="s">
        <v>11473</v>
      </c>
      <c r="O3666" t="s">
        <v>22</v>
      </c>
    </row>
    <row r="3667" spans="1:15">
      <c r="A3667" t="s">
        <v>6523</v>
      </c>
      <c r="B3667" t="s">
        <v>6523</v>
      </c>
      <c r="C3667" t="s">
        <v>6524</v>
      </c>
      <c r="F3667">
        <v>1</v>
      </c>
      <c r="G3667" s="1" t="s">
        <v>3783</v>
      </c>
      <c r="I3667" s="1" t="s">
        <v>11473</v>
      </c>
      <c r="O3667" t="s">
        <v>22</v>
      </c>
    </row>
    <row r="3668" spans="1:15">
      <c r="A3668" t="s">
        <v>9472</v>
      </c>
      <c r="B3668" t="s">
        <v>9472</v>
      </c>
      <c r="C3668" t="s">
        <v>6524</v>
      </c>
      <c r="F3668">
        <v>1</v>
      </c>
      <c r="G3668" s="1" t="s">
        <v>3784</v>
      </c>
      <c r="I3668" s="1" t="s">
        <v>11473</v>
      </c>
      <c r="O3668" t="s">
        <v>22</v>
      </c>
    </row>
    <row r="3669" spans="1:15">
      <c r="A3669" t="s">
        <v>8196</v>
      </c>
      <c r="B3669" t="s">
        <v>8196</v>
      </c>
      <c r="C3669" t="s">
        <v>4351</v>
      </c>
      <c r="F3669">
        <v>1</v>
      </c>
      <c r="G3669" s="1" t="s">
        <v>3785</v>
      </c>
      <c r="I3669" s="1" t="s">
        <v>11473</v>
      </c>
      <c r="O3669" t="s">
        <v>22</v>
      </c>
    </row>
    <row r="3670" spans="1:15">
      <c r="A3670" t="s">
        <v>8747</v>
      </c>
      <c r="B3670" t="s">
        <v>8747</v>
      </c>
      <c r="C3670" t="s">
        <v>4351</v>
      </c>
      <c r="F3670">
        <v>1</v>
      </c>
      <c r="G3670" s="1" t="s">
        <v>3786</v>
      </c>
      <c r="I3670" s="1" t="s">
        <v>11473</v>
      </c>
      <c r="O3670" t="s">
        <v>22</v>
      </c>
    </row>
    <row r="3671" spans="1:15">
      <c r="A3671" t="s">
        <v>6753</v>
      </c>
      <c r="B3671" t="s">
        <v>6753</v>
      </c>
      <c r="C3671" t="s">
        <v>6754</v>
      </c>
      <c r="F3671">
        <v>1</v>
      </c>
      <c r="G3671" s="1" t="s">
        <v>3787</v>
      </c>
      <c r="I3671" s="1" t="s">
        <v>11473</v>
      </c>
      <c r="O3671" t="s">
        <v>22</v>
      </c>
    </row>
    <row r="3672" spans="1:15">
      <c r="A3672" t="s">
        <v>9717</v>
      </c>
      <c r="B3672" t="s">
        <v>9717</v>
      </c>
      <c r="C3672" t="s">
        <v>9718</v>
      </c>
      <c r="F3672">
        <v>1</v>
      </c>
      <c r="G3672" s="1" t="s">
        <v>3788</v>
      </c>
      <c r="I3672" s="1" t="s">
        <v>11473</v>
      </c>
      <c r="O3672" t="s">
        <v>22</v>
      </c>
    </row>
    <row r="3673" spans="1:15">
      <c r="A3673" t="s">
        <v>11234</v>
      </c>
      <c r="B3673" t="s">
        <v>11234</v>
      </c>
      <c r="C3673" t="s">
        <v>11235</v>
      </c>
      <c r="F3673">
        <v>1</v>
      </c>
      <c r="G3673" s="1" t="s">
        <v>3789</v>
      </c>
      <c r="I3673" s="1" t="s">
        <v>11473</v>
      </c>
      <c r="O3673" t="s">
        <v>22</v>
      </c>
    </row>
    <row r="3674" spans="1:15">
      <c r="A3674" t="s">
        <v>8773</v>
      </c>
      <c r="B3674" t="s">
        <v>8773</v>
      </c>
      <c r="C3674" t="s">
        <v>8774</v>
      </c>
      <c r="F3674">
        <v>1</v>
      </c>
      <c r="G3674" s="1" t="s">
        <v>3790</v>
      </c>
      <c r="I3674" s="1" t="s">
        <v>11473</v>
      </c>
      <c r="O3674" t="s">
        <v>22</v>
      </c>
    </row>
    <row r="3675" spans="1:15">
      <c r="A3675" t="s">
        <v>10274</v>
      </c>
      <c r="B3675" t="s">
        <v>10274</v>
      </c>
      <c r="C3675" t="s">
        <v>8774</v>
      </c>
      <c r="F3675">
        <v>1</v>
      </c>
      <c r="G3675" s="1" t="s">
        <v>3791</v>
      </c>
      <c r="I3675" s="1" t="s">
        <v>11473</v>
      </c>
      <c r="O3675" t="s">
        <v>22</v>
      </c>
    </row>
    <row r="3676" spans="1:15">
      <c r="A3676" t="s">
        <v>6759</v>
      </c>
      <c r="B3676" t="s">
        <v>6759</v>
      </c>
      <c r="C3676" t="s">
        <v>4930</v>
      </c>
      <c r="F3676">
        <v>1</v>
      </c>
      <c r="G3676" s="1" t="s">
        <v>3792</v>
      </c>
      <c r="I3676" s="1" t="s">
        <v>11473</v>
      </c>
      <c r="O3676" t="s">
        <v>22</v>
      </c>
    </row>
    <row r="3677" spans="1:15">
      <c r="A3677" t="s">
        <v>9130</v>
      </c>
      <c r="B3677" t="s">
        <v>9130</v>
      </c>
      <c r="C3677" t="s">
        <v>4930</v>
      </c>
      <c r="F3677">
        <v>1</v>
      </c>
      <c r="G3677" s="1" t="s">
        <v>3793</v>
      </c>
      <c r="I3677" s="1" t="s">
        <v>11473</v>
      </c>
      <c r="O3677" t="s">
        <v>22</v>
      </c>
    </row>
    <row r="3678" spans="1:15">
      <c r="A3678" t="s">
        <v>6537</v>
      </c>
      <c r="B3678" t="s">
        <v>6537</v>
      </c>
      <c r="C3678" t="s">
        <v>6538</v>
      </c>
      <c r="F3678">
        <v>1</v>
      </c>
      <c r="G3678" s="1" t="s">
        <v>3794</v>
      </c>
      <c r="I3678" s="1" t="s">
        <v>11473</v>
      </c>
      <c r="O3678" t="s">
        <v>22</v>
      </c>
    </row>
    <row r="3679" spans="1:15">
      <c r="A3679" t="s">
        <v>8123</v>
      </c>
      <c r="B3679" t="s">
        <v>8123</v>
      </c>
      <c r="C3679" t="s">
        <v>4836</v>
      </c>
      <c r="F3679">
        <v>1</v>
      </c>
      <c r="G3679" s="1" t="s">
        <v>3795</v>
      </c>
      <c r="I3679" s="1" t="s">
        <v>11473</v>
      </c>
      <c r="O3679" t="s">
        <v>22</v>
      </c>
    </row>
    <row r="3680" spans="1:15">
      <c r="A3680" t="s">
        <v>9722</v>
      </c>
      <c r="B3680" t="s">
        <v>9722</v>
      </c>
      <c r="C3680" t="s">
        <v>9723</v>
      </c>
      <c r="F3680">
        <v>1</v>
      </c>
      <c r="G3680" s="1" t="s">
        <v>3796</v>
      </c>
      <c r="I3680" s="1" t="s">
        <v>11473</v>
      </c>
      <c r="O3680" t="s">
        <v>22</v>
      </c>
    </row>
    <row r="3681" spans="1:15">
      <c r="A3681" t="s">
        <v>9876</v>
      </c>
      <c r="B3681" t="s">
        <v>9876</v>
      </c>
      <c r="C3681" t="s">
        <v>9877</v>
      </c>
      <c r="F3681">
        <v>1</v>
      </c>
      <c r="G3681" s="1" t="s">
        <v>3797</v>
      </c>
      <c r="I3681" s="1" t="s">
        <v>11473</v>
      </c>
      <c r="O3681" t="s">
        <v>22</v>
      </c>
    </row>
    <row r="3682" spans="1:15">
      <c r="A3682" t="s">
        <v>6153</v>
      </c>
      <c r="B3682" t="s">
        <v>6153</v>
      </c>
      <c r="C3682" t="s">
        <v>6154</v>
      </c>
      <c r="F3682">
        <v>1</v>
      </c>
      <c r="G3682" s="1" t="s">
        <v>3798</v>
      </c>
      <c r="I3682" s="1" t="s">
        <v>11473</v>
      </c>
      <c r="O3682" t="s">
        <v>22</v>
      </c>
    </row>
    <row r="3683" spans="1:15">
      <c r="A3683" t="s">
        <v>9710</v>
      </c>
      <c r="B3683" t="s">
        <v>9710</v>
      </c>
      <c r="C3683" t="s">
        <v>6154</v>
      </c>
      <c r="F3683">
        <v>1</v>
      </c>
      <c r="G3683" s="1" t="s">
        <v>3799</v>
      </c>
      <c r="I3683" s="1" t="s">
        <v>11473</v>
      </c>
      <c r="O3683" t="s">
        <v>22</v>
      </c>
    </row>
    <row r="3684" spans="1:15">
      <c r="A3684" t="s">
        <v>6586</v>
      </c>
      <c r="B3684" t="s">
        <v>6586</v>
      </c>
      <c r="C3684" t="s">
        <v>4024</v>
      </c>
      <c r="F3684">
        <v>1</v>
      </c>
      <c r="G3684" s="1" t="s">
        <v>3800</v>
      </c>
      <c r="I3684" s="1" t="s">
        <v>11473</v>
      </c>
      <c r="O3684" t="s">
        <v>22</v>
      </c>
    </row>
    <row r="3685" spans="1:15">
      <c r="A3685" t="s">
        <v>6788</v>
      </c>
      <c r="B3685" t="s">
        <v>6788</v>
      </c>
      <c r="C3685" t="s">
        <v>4024</v>
      </c>
      <c r="F3685">
        <v>1</v>
      </c>
      <c r="G3685" s="1" t="s">
        <v>3801</v>
      </c>
      <c r="I3685" s="1" t="s">
        <v>11473</v>
      </c>
      <c r="O3685" t="s">
        <v>22</v>
      </c>
    </row>
    <row r="3686" spans="1:15">
      <c r="A3686" t="s">
        <v>9790</v>
      </c>
      <c r="B3686" t="s">
        <v>9790</v>
      </c>
      <c r="C3686" t="s">
        <v>4024</v>
      </c>
      <c r="F3686">
        <v>1</v>
      </c>
      <c r="G3686" s="1" t="s">
        <v>3802</v>
      </c>
      <c r="I3686" s="1" t="s">
        <v>11473</v>
      </c>
      <c r="O3686" t="s">
        <v>22</v>
      </c>
    </row>
    <row r="3687" spans="1:15">
      <c r="A3687" t="s">
        <v>6771</v>
      </c>
      <c r="B3687" t="s">
        <v>6771</v>
      </c>
      <c r="C3687" t="s">
        <v>5278</v>
      </c>
      <c r="F3687">
        <v>1</v>
      </c>
      <c r="G3687" s="1" t="s">
        <v>3803</v>
      </c>
      <c r="I3687" s="1" t="s">
        <v>11473</v>
      </c>
      <c r="O3687" t="s">
        <v>22</v>
      </c>
    </row>
    <row r="3688" spans="1:15">
      <c r="A3688" t="s">
        <v>5694</v>
      </c>
      <c r="B3688" t="s">
        <v>5694</v>
      </c>
      <c r="C3688" t="s">
        <v>5695</v>
      </c>
      <c r="F3688">
        <v>1</v>
      </c>
      <c r="G3688" s="1" t="s">
        <v>3804</v>
      </c>
      <c r="I3688" s="1" t="s">
        <v>11473</v>
      </c>
      <c r="O3688" t="s">
        <v>22</v>
      </c>
    </row>
    <row r="3689" spans="1:15">
      <c r="A3689" t="s">
        <v>9264</v>
      </c>
      <c r="B3689" t="s">
        <v>9264</v>
      </c>
      <c r="C3689" t="s">
        <v>9265</v>
      </c>
      <c r="F3689">
        <v>1</v>
      </c>
      <c r="G3689" s="1" t="s">
        <v>3805</v>
      </c>
      <c r="I3689" s="1" t="s">
        <v>11473</v>
      </c>
      <c r="O3689" t="s">
        <v>22</v>
      </c>
    </row>
    <row r="3690" spans="1:15">
      <c r="A3690" t="s">
        <v>10140</v>
      </c>
      <c r="B3690" t="s">
        <v>10140</v>
      </c>
      <c r="C3690" t="s">
        <v>10141</v>
      </c>
      <c r="F3690">
        <v>1</v>
      </c>
      <c r="G3690" s="1" t="s">
        <v>3806</v>
      </c>
      <c r="I3690" s="1" t="s">
        <v>11473</v>
      </c>
      <c r="O3690" t="s">
        <v>22</v>
      </c>
    </row>
    <row r="3691" spans="1:15">
      <c r="A3691" t="s">
        <v>6755</v>
      </c>
      <c r="B3691" t="s">
        <v>6755</v>
      </c>
      <c r="C3691" t="s">
        <v>6756</v>
      </c>
      <c r="F3691">
        <v>1</v>
      </c>
      <c r="G3691" s="1" t="s">
        <v>3807</v>
      </c>
      <c r="I3691" s="1" t="s">
        <v>11473</v>
      </c>
      <c r="O3691" t="s">
        <v>22</v>
      </c>
    </row>
    <row r="3692" spans="1:15">
      <c r="A3692" t="s">
        <v>11164</v>
      </c>
      <c r="B3692" t="s">
        <v>11164</v>
      </c>
      <c r="C3692" t="s">
        <v>11165</v>
      </c>
      <c r="F3692">
        <v>1</v>
      </c>
      <c r="G3692" s="1" t="s">
        <v>3808</v>
      </c>
      <c r="I3692" s="1" t="s">
        <v>11473</v>
      </c>
      <c r="O3692" t="s">
        <v>22</v>
      </c>
    </row>
    <row r="3693" spans="1:15">
      <c r="A3693" t="s">
        <v>9816</v>
      </c>
      <c r="B3693" t="s">
        <v>9816</v>
      </c>
      <c r="C3693" t="s">
        <v>9817</v>
      </c>
      <c r="F3693">
        <v>1</v>
      </c>
      <c r="G3693" s="1" t="s">
        <v>3809</v>
      </c>
      <c r="I3693" s="1" t="s">
        <v>11473</v>
      </c>
      <c r="O3693" t="s">
        <v>22</v>
      </c>
    </row>
    <row r="3694" spans="1:15">
      <c r="A3694" t="s">
        <v>6803</v>
      </c>
      <c r="B3694" t="s">
        <v>6803</v>
      </c>
      <c r="C3694" t="s">
        <v>5344</v>
      </c>
      <c r="F3694">
        <v>1</v>
      </c>
      <c r="G3694" s="1" t="s">
        <v>3810</v>
      </c>
      <c r="I3694" s="1" t="s">
        <v>11473</v>
      </c>
      <c r="O3694" t="s">
        <v>22</v>
      </c>
    </row>
    <row r="3695" spans="1:15">
      <c r="A3695" t="s">
        <v>7030</v>
      </c>
      <c r="B3695" t="s">
        <v>7030</v>
      </c>
      <c r="C3695" t="s">
        <v>4415</v>
      </c>
      <c r="F3695">
        <v>1</v>
      </c>
      <c r="G3695" s="1" t="s">
        <v>3811</v>
      </c>
      <c r="I3695" s="1" t="s">
        <v>11473</v>
      </c>
      <c r="O3695" t="s">
        <v>22</v>
      </c>
    </row>
    <row r="3696" spans="1:15">
      <c r="A3696" t="s">
        <v>6327</v>
      </c>
      <c r="B3696" t="s">
        <v>6327</v>
      </c>
      <c r="C3696" t="s">
        <v>6328</v>
      </c>
      <c r="F3696">
        <v>1</v>
      </c>
      <c r="G3696" s="1" t="s">
        <v>3812</v>
      </c>
      <c r="I3696" s="1" t="s">
        <v>11473</v>
      </c>
      <c r="O3696" t="s">
        <v>22</v>
      </c>
    </row>
    <row r="3697" spans="1:15">
      <c r="A3697" t="s">
        <v>9607</v>
      </c>
      <c r="B3697" t="s">
        <v>9607</v>
      </c>
      <c r="C3697" t="s">
        <v>4447</v>
      </c>
      <c r="F3697">
        <v>1</v>
      </c>
      <c r="G3697" s="1" t="s">
        <v>3813</v>
      </c>
      <c r="I3697" s="1" t="s">
        <v>11473</v>
      </c>
      <c r="O3697" t="s">
        <v>22</v>
      </c>
    </row>
    <row r="3698" spans="1:15">
      <c r="A3698" t="s">
        <v>5937</v>
      </c>
      <c r="B3698" t="s">
        <v>5937</v>
      </c>
      <c r="C3698" t="s">
        <v>4707</v>
      </c>
      <c r="F3698">
        <v>1</v>
      </c>
      <c r="G3698" s="1" t="s">
        <v>3814</v>
      </c>
      <c r="I3698" s="1" t="s">
        <v>11473</v>
      </c>
      <c r="O3698" t="s">
        <v>22</v>
      </c>
    </row>
    <row r="3699" spans="1:15">
      <c r="A3699" t="s">
        <v>8152</v>
      </c>
      <c r="B3699" t="s">
        <v>8152</v>
      </c>
      <c r="C3699" t="s">
        <v>4426</v>
      </c>
      <c r="F3699">
        <v>1</v>
      </c>
      <c r="G3699" s="1" t="s">
        <v>3815</v>
      </c>
      <c r="I3699" s="1" t="s">
        <v>11473</v>
      </c>
      <c r="O3699" t="s">
        <v>22</v>
      </c>
    </row>
    <row r="3700" spans="1:15">
      <c r="A3700" t="s">
        <v>9131</v>
      </c>
      <c r="B3700" t="s">
        <v>9131</v>
      </c>
      <c r="C3700" t="s">
        <v>9132</v>
      </c>
      <c r="F3700">
        <v>1</v>
      </c>
      <c r="G3700" s="1" t="s">
        <v>3816</v>
      </c>
      <c r="I3700" s="1" t="s">
        <v>11473</v>
      </c>
      <c r="O3700" t="s">
        <v>22</v>
      </c>
    </row>
    <row r="3701" spans="1:15">
      <c r="A3701" t="s">
        <v>6564</v>
      </c>
      <c r="B3701" t="s">
        <v>6564</v>
      </c>
      <c r="C3701" t="s">
        <v>6565</v>
      </c>
      <c r="F3701">
        <v>1</v>
      </c>
      <c r="G3701" s="1" t="s">
        <v>3817</v>
      </c>
      <c r="I3701" s="1" t="s">
        <v>11473</v>
      </c>
      <c r="O3701" t="s">
        <v>22</v>
      </c>
    </row>
    <row r="3702" spans="1:15">
      <c r="A3702" t="s">
        <v>6528</v>
      </c>
      <c r="B3702" t="s">
        <v>6528</v>
      </c>
      <c r="C3702" t="s">
        <v>5125</v>
      </c>
      <c r="F3702">
        <v>1</v>
      </c>
      <c r="G3702" s="1" t="s">
        <v>3818</v>
      </c>
      <c r="I3702" s="1" t="s">
        <v>11473</v>
      </c>
      <c r="O3702" t="s">
        <v>22</v>
      </c>
    </row>
    <row r="3703" spans="1:15">
      <c r="A3703" t="s">
        <v>6792</v>
      </c>
      <c r="B3703" t="s">
        <v>6792</v>
      </c>
      <c r="C3703" t="s">
        <v>5125</v>
      </c>
      <c r="F3703">
        <v>1</v>
      </c>
      <c r="G3703" s="1" t="s">
        <v>3819</v>
      </c>
      <c r="I3703" s="1" t="s">
        <v>11473</v>
      </c>
      <c r="O3703" t="s">
        <v>22</v>
      </c>
    </row>
    <row r="3704" spans="1:15">
      <c r="A3704" t="s">
        <v>8178</v>
      </c>
      <c r="B3704" t="s">
        <v>8178</v>
      </c>
      <c r="C3704" t="s">
        <v>8179</v>
      </c>
      <c r="F3704">
        <v>1</v>
      </c>
      <c r="G3704" s="1" t="s">
        <v>3820</v>
      </c>
      <c r="I3704" s="1" t="s">
        <v>11473</v>
      </c>
      <c r="O3704" t="s">
        <v>22</v>
      </c>
    </row>
    <row r="3705" spans="1:15">
      <c r="A3705" t="s">
        <v>5692</v>
      </c>
      <c r="B3705" t="s">
        <v>5692</v>
      </c>
      <c r="C3705" t="s">
        <v>4334</v>
      </c>
      <c r="F3705">
        <v>1</v>
      </c>
      <c r="G3705" s="1" t="s">
        <v>3821</v>
      </c>
      <c r="I3705" s="1" t="s">
        <v>11473</v>
      </c>
      <c r="O3705" t="s">
        <v>22</v>
      </c>
    </row>
    <row r="3706" spans="1:15">
      <c r="A3706" t="s">
        <v>8745</v>
      </c>
      <c r="B3706" t="s">
        <v>8745</v>
      </c>
      <c r="C3706" t="s">
        <v>8746</v>
      </c>
      <c r="F3706">
        <v>1</v>
      </c>
      <c r="G3706" s="1" t="s">
        <v>3822</v>
      </c>
      <c r="I3706" s="1" t="s">
        <v>11473</v>
      </c>
      <c r="O3706" t="s">
        <v>22</v>
      </c>
    </row>
    <row r="3707" spans="1:15">
      <c r="A3707" t="s">
        <v>6178</v>
      </c>
      <c r="B3707" t="s">
        <v>6178</v>
      </c>
      <c r="C3707" t="s">
        <v>4769</v>
      </c>
      <c r="F3707">
        <v>1</v>
      </c>
      <c r="G3707" s="1" t="s">
        <v>3823</v>
      </c>
      <c r="I3707" s="1" t="s">
        <v>11473</v>
      </c>
      <c r="O3707" t="s">
        <v>22</v>
      </c>
    </row>
    <row r="3708" spans="1:15">
      <c r="A3708" t="s">
        <v>7297</v>
      </c>
      <c r="B3708" t="s">
        <v>7297</v>
      </c>
      <c r="C3708" t="s">
        <v>7298</v>
      </c>
      <c r="F3708">
        <v>1</v>
      </c>
      <c r="G3708" s="1" t="s">
        <v>3824</v>
      </c>
      <c r="I3708" s="1" t="s">
        <v>11473</v>
      </c>
      <c r="O3708" t="s">
        <v>22</v>
      </c>
    </row>
    <row r="3709" spans="1:15">
      <c r="A3709" t="s">
        <v>11305</v>
      </c>
      <c r="B3709" t="s">
        <v>11305</v>
      </c>
      <c r="C3709" t="s">
        <v>11306</v>
      </c>
      <c r="F3709">
        <v>1</v>
      </c>
      <c r="G3709" s="1" t="s">
        <v>3825</v>
      </c>
      <c r="I3709" s="1" t="s">
        <v>11473</v>
      </c>
      <c r="O3709" t="s">
        <v>22</v>
      </c>
    </row>
    <row r="3710" spans="1:15">
      <c r="A3710" t="s">
        <v>7324</v>
      </c>
      <c r="B3710" t="s">
        <v>7324</v>
      </c>
      <c r="C3710" t="s">
        <v>7325</v>
      </c>
      <c r="F3710">
        <v>1</v>
      </c>
      <c r="G3710" s="1" t="s">
        <v>3826</v>
      </c>
      <c r="I3710" s="1" t="s">
        <v>11473</v>
      </c>
      <c r="O3710" t="s">
        <v>22</v>
      </c>
    </row>
    <row r="3711" spans="1:15">
      <c r="A3711" t="s">
        <v>7056</v>
      </c>
      <c r="B3711" t="s">
        <v>7056</v>
      </c>
      <c r="C3711" t="s">
        <v>7057</v>
      </c>
      <c r="F3711">
        <v>1</v>
      </c>
      <c r="G3711" s="1" t="s">
        <v>3827</v>
      </c>
      <c r="I3711" s="1" t="s">
        <v>11473</v>
      </c>
      <c r="O3711" t="s">
        <v>22</v>
      </c>
    </row>
    <row r="3712" spans="1:15">
      <c r="A3712" t="s">
        <v>6355</v>
      </c>
      <c r="B3712" t="s">
        <v>6355</v>
      </c>
      <c r="C3712" t="s">
        <v>6356</v>
      </c>
      <c r="F3712">
        <v>1</v>
      </c>
      <c r="G3712" s="1" t="s">
        <v>3828</v>
      </c>
      <c r="I3712" s="1" t="s">
        <v>11473</v>
      </c>
      <c r="O3712" t="s">
        <v>22</v>
      </c>
    </row>
    <row r="3713" spans="1:15">
      <c r="A3713" t="s">
        <v>10640</v>
      </c>
      <c r="B3713" t="s">
        <v>10640</v>
      </c>
      <c r="C3713" t="s">
        <v>6356</v>
      </c>
      <c r="F3713">
        <v>1</v>
      </c>
      <c r="G3713" s="1" t="s">
        <v>3829</v>
      </c>
      <c r="I3713" s="1" t="s">
        <v>11473</v>
      </c>
      <c r="O3713" t="s">
        <v>22</v>
      </c>
    </row>
    <row r="3714" spans="1:15">
      <c r="A3714" t="s">
        <v>8388</v>
      </c>
      <c r="B3714" t="s">
        <v>8388</v>
      </c>
      <c r="C3714" t="s">
        <v>8389</v>
      </c>
      <c r="F3714">
        <v>1</v>
      </c>
      <c r="G3714" s="1" t="s">
        <v>3830</v>
      </c>
      <c r="I3714" s="1" t="s">
        <v>11473</v>
      </c>
      <c r="O3714" t="s">
        <v>22</v>
      </c>
    </row>
    <row r="3715" spans="1:15">
      <c r="A3715" t="s">
        <v>8525</v>
      </c>
      <c r="B3715" t="s">
        <v>8525</v>
      </c>
      <c r="C3715" t="s">
        <v>8389</v>
      </c>
      <c r="F3715">
        <v>1</v>
      </c>
      <c r="G3715" s="1" t="s">
        <v>3831</v>
      </c>
      <c r="I3715" s="1" t="s">
        <v>11473</v>
      </c>
      <c r="O3715" t="s">
        <v>22</v>
      </c>
    </row>
    <row r="3716" spans="1:15">
      <c r="A3716" t="s">
        <v>7353</v>
      </c>
      <c r="B3716" t="s">
        <v>7353</v>
      </c>
      <c r="C3716" t="s">
        <v>7354</v>
      </c>
      <c r="F3716">
        <v>1</v>
      </c>
      <c r="G3716" s="1" t="s">
        <v>3832</v>
      </c>
      <c r="I3716" s="1" t="s">
        <v>11473</v>
      </c>
      <c r="O3716" t="s">
        <v>22</v>
      </c>
    </row>
    <row r="3717" spans="1:15">
      <c r="A3717" t="s">
        <v>6547</v>
      </c>
      <c r="B3717" t="s">
        <v>6547</v>
      </c>
      <c r="C3717" t="s">
        <v>6548</v>
      </c>
      <c r="F3717">
        <v>1</v>
      </c>
      <c r="G3717" s="1" t="s">
        <v>3833</v>
      </c>
      <c r="I3717" s="1" t="s">
        <v>11473</v>
      </c>
      <c r="O3717" t="s">
        <v>22</v>
      </c>
    </row>
    <row r="3718" spans="1:15">
      <c r="A3718" t="s">
        <v>6818</v>
      </c>
      <c r="B3718" t="s">
        <v>6818</v>
      </c>
      <c r="C3718" t="s">
        <v>6819</v>
      </c>
      <c r="F3718">
        <v>1</v>
      </c>
      <c r="G3718" s="1" t="s">
        <v>3834</v>
      </c>
      <c r="I3718" s="1" t="s">
        <v>11473</v>
      </c>
      <c r="O3718" t="s">
        <v>22</v>
      </c>
    </row>
    <row r="3719" spans="1:15">
      <c r="A3719" t="s">
        <v>8158</v>
      </c>
      <c r="B3719" t="s">
        <v>8158</v>
      </c>
      <c r="C3719" t="s">
        <v>8159</v>
      </c>
      <c r="F3719">
        <v>1</v>
      </c>
      <c r="G3719" s="1" t="s">
        <v>3835</v>
      </c>
      <c r="I3719" s="1" t="s">
        <v>11473</v>
      </c>
      <c r="O3719" t="s">
        <v>22</v>
      </c>
    </row>
    <row r="3720" spans="1:15">
      <c r="A3720" t="s">
        <v>10504</v>
      </c>
      <c r="B3720" t="s">
        <v>10504</v>
      </c>
      <c r="C3720" t="s">
        <v>10505</v>
      </c>
      <c r="F3720">
        <v>1</v>
      </c>
      <c r="G3720" s="1" t="s">
        <v>3836</v>
      </c>
      <c r="I3720" s="1" t="s">
        <v>11473</v>
      </c>
      <c r="O3720" t="s">
        <v>22</v>
      </c>
    </row>
    <row r="3721" spans="1:15">
      <c r="A3721" t="s">
        <v>6195</v>
      </c>
      <c r="B3721" t="s">
        <v>6195</v>
      </c>
      <c r="C3721" t="s">
        <v>6196</v>
      </c>
      <c r="F3721">
        <v>1</v>
      </c>
      <c r="G3721" s="1" t="s">
        <v>3837</v>
      </c>
      <c r="I3721" s="1" t="s">
        <v>11473</v>
      </c>
      <c r="O3721" t="s">
        <v>22</v>
      </c>
    </row>
    <row r="3722" spans="1:15">
      <c r="A3722" t="s">
        <v>9498</v>
      </c>
      <c r="B3722" t="s">
        <v>9498</v>
      </c>
      <c r="C3722" t="s">
        <v>9499</v>
      </c>
      <c r="F3722">
        <v>1</v>
      </c>
      <c r="G3722" s="1" t="s">
        <v>3838</v>
      </c>
      <c r="I3722" s="1" t="s">
        <v>11473</v>
      </c>
      <c r="O3722" t="s">
        <v>22</v>
      </c>
    </row>
    <row r="3723" spans="1:15">
      <c r="A3723" t="s">
        <v>6584</v>
      </c>
      <c r="B3723" t="s">
        <v>6584</v>
      </c>
      <c r="C3723" t="s">
        <v>6585</v>
      </c>
      <c r="F3723">
        <v>1</v>
      </c>
      <c r="G3723" s="1" t="s">
        <v>3839</v>
      </c>
      <c r="I3723" s="1" t="s">
        <v>11473</v>
      </c>
      <c r="O3723" t="s">
        <v>22</v>
      </c>
    </row>
    <row r="3724" spans="1:15">
      <c r="A3724" t="s">
        <v>9161</v>
      </c>
      <c r="B3724" t="s">
        <v>9161</v>
      </c>
      <c r="C3724" t="s">
        <v>9162</v>
      </c>
      <c r="F3724">
        <v>1</v>
      </c>
      <c r="G3724" s="1" t="s">
        <v>3840</v>
      </c>
      <c r="I3724" s="1" t="s">
        <v>11473</v>
      </c>
      <c r="O3724" t="s">
        <v>22</v>
      </c>
    </row>
    <row r="3725" spans="1:15">
      <c r="A3725" t="s">
        <v>7022</v>
      </c>
      <c r="B3725" t="s">
        <v>7022</v>
      </c>
      <c r="C3725" t="s">
        <v>7023</v>
      </c>
      <c r="F3725">
        <v>1</v>
      </c>
      <c r="G3725" s="1" t="s">
        <v>3841</v>
      </c>
      <c r="I3725" s="1" t="s">
        <v>11473</v>
      </c>
      <c r="O3725" t="s">
        <v>22</v>
      </c>
    </row>
    <row r="3726" spans="1:15">
      <c r="A3726" t="s">
        <v>8150</v>
      </c>
      <c r="B3726" t="s">
        <v>8150</v>
      </c>
      <c r="C3726" t="s">
        <v>8151</v>
      </c>
      <c r="F3726">
        <v>1</v>
      </c>
      <c r="G3726" s="1" t="s">
        <v>3842</v>
      </c>
      <c r="I3726" s="1" t="s">
        <v>11473</v>
      </c>
      <c r="O3726" t="s">
        <v>22</v>
      </c>
    </row>
    <row r="3727" spans="1:15">
      <c r="A3727" t="s">
        <v>10891</v>
      </c>
      <c r="B3727" t="s">
        <v>10891</v>
      </c>
      <c r="C3727" t="s">
        <v>10892</v>
      </c>
      <c r="F3727">
        <v>1</v>
      </c>
      <c r="G3727" s="1" t="s">
        <v>3843</v>
      </c>
      <c r="I3727" s="1" t="s">
        <v>11473</v>
      </c>
      <c r="O3727" t="s">
        <v>22</v>
      </c>
    </row>
    <row r="3728" spans="1:15">
      <c r="A3728" t="s">
        <v>9137</v>
      </c>
      <c r="B3728" t="s">
        <v>9137</v>
      </c>
      <c r="C3728" t="s">
        <v>9138</v>
      </c>
      <c r="F3728">
        <v>1</v>
      </c>
      <c r="G3728" s="1" t="s">
        <v>3844</v>
      </c>
      <c r="I3728" s="1" t="s">
        <v>11473</v>
      </c>
      <c r="O3728" t="s">
        <v>22</v>
      </c>
    </row>
    <row r="3729" spans="1:15">
      <c r="A3729" t="s">
        <v>10516</v>
      </c>
      <c r="B3729" t="s">
        <v>10516</v>
      </c>
      <c r="C3729" t="s">
        <v>10517</v>
      </c>
      <c r="F3729">
        <v>1</v>
      </c>
      <c r="G3729" s="1" t="s">
        <v>3845</v>
      </c>
      <c r="I3729" s="1" t="s">
        <v>11473</v>
      </c>
      <c r="O3729" t="s">
        <v>22</v>
      </c>
    </row>
    <row r="3730" spans="1:15">
      <c r="A3730" t="s">
        <v>10194</v>
      </c>
      <c r="B3730" t="s">
        <v>10194</v>
      </c>
      <c r="C3730" t="s">
        <v>10195</v>
      </c>
      <c r="F3730">
        <v>1</v>
      </c>
      <c r="G3730" s="1" t="s">
        <v>3846</v>
      </c>
      <c r="I3730" s="1" t="s">
        <v>11473</v>
      </c>
      <c r="O3730" t="s">
        <v>22</v>
      </c>
    </row>
    <row r="3731" spans="1:15">
      <c r="A3731" t="s">
        <v>5504</v>
      </c>
      <c r="B3731" t="s">
        <v>5504</v>
      </c>
      <c r="C3731" t="s">
        <v>5505</v>
      </c>
      <c r="F3731">
        <v>1</v>
      </c>
      <c r="G3731" s="1" t="s">
        <v>3847</v>
      </c>
      <c r="I3731" s="1" t="s">
        <v>11473</v>
      </c>
      <c r="O3731" t="s">
        <v>22</v>
      </c>
    </row>
    <row r="3732" spans="1:15">
      <c r="A3732" t="s">
        <v>6806</v>
      </c>
      <c r="B3732" t="s">
        <v>6806</v>
      </c>
      <c r="C3732" t="s">
        <v>6807</v>
      </c>
      <c r="F3732">
        <v>1</v>
      </c>
      <c r="G3732" s="1" t="s">
        <v>3848</v>
      </c>
      <c r="I3732" s="1" t="s">
        <v>11473</v>
      </c>
      <c r="O3732" t="s">
        <v>22</v>
      </c>
    </row>
    <row r="3733" spans="1:15">
      <c r="A3733" t="s">
        <v>9759</v>
      </c>
      <c r="B3733" t="s">
        <v>9759</v>
      </c>
      <c r="C3733" t="s">
        <v>9760</v>
      </c>
      <c r="F3733">
        <v>1</v>
      </c>
      <c r="G3733" s="1" t="s">
        <v>3849</v>
      </c>
      <c r="I3733" s="1" t="s">
        <v>11473</v>
      </c>
      <c r="O3733" t="s">
        <v>22</v>
      </c>
    </row>
    <row r="3734" spans="1:15">
      <c r="A3734" t="s">
        <v>8187</v>
      </c>
      <c r="B3734" t="s">
        <v>8187</v>
      </c>
      <c r="C3734" t="s">
        <v>8188</v>
      </c>
      <c r="F3734">
        <v>1</v>
      </c>
      <c r="G3734" s="1" t="s">
        <v>3850</v>
      </c>
      <c r="I3734" s="1" t="s">
        <v>11473</v>
      </c>
      <c r="O3734" t="s">
        <v>22</v>
      </c>
    </row>
    <row r="3735" spans="1:15">
      <c r="A3735" t="s">
        <v>8161</v>
      </c>
      <c r="B3735" t="s">
        <v>8161</v>
      </c>
      <c r="C3735" t="s">
        <v>8162</v>
      </c>
      <c r="F3735">
        <v>1</v>
      </c>
      <c r="G3735" s="1" t="s">
        <v>3851</v>
      </c>
      <c r="I3735" s="1" t="s">
        <v>11473</v>
      </c>
      <c r="O3735" t="s">
        <v>22</v>
      </c>
    </row>
    <row r="3736" spans="1:15">
      <c r="A3736" t="s">
        <v>8273</v>
      </c>
      <c r="B3736" t="s">
        <v>8273</v>
      </c>
      <c r="C3736" t="s">
        <v>4028</v>
      </c>
      <c r="F3736">
        <v>1</v>
      </c>
      <c r="G3736" s="1" t="s">
        <v>3852</v>
      </c>
      <c r="I3736" s="1" t="s">
        <v>11473</v>
      </c>
      <c r="O3736" t="s">
        <v>22</v>
      </c>
    </row>
    <row r="3737" spans="1:15">
      <c r="A3737" t="s">
        <v>8365</v>
      </c>
      <c r="B3737" t="s">
        <v>8365</v>
      </c>
      <c r="C3737" t="s">
        <v>4028</v>
      </c>
      <c r="F3737">
        <v>1</v>
      </c>
      <c r="G3737" s="1" t="s">
        <v>3853</v>
      </c>
      <c r="I3737" s="1" t="s">
        <v>11473</v>
      </c>
      <c r="O3737" t="s">
        <v>22</v>
      </c>
    </row>
    <row r="3738" spans="1:15">
      <c r="A3738" t="s">
        <v>8749</v>
      </c>
      <c r="B3738" t="s">
        <v>8749</v>
      </c>
      <c r="C3738" t="s">
        <v>8750</v>
      </c>
      <c r="F3738">
        <v>1</v>
      </c>
      <c r="G3738" s="1" t="s">
        <v>3854</v>
      </c>
      <c r="I3738" s="1" t="s">
        <v>11473</v>
      </c>
      <c r="O3738" t="s">
        <v>22</v>
      </c>
    </row>
    <row r="3739" spans="1:15">
      <c r="A3739" t="s">
        <v>6517</v>
      </c>
      <c r="B3739" t="s">
        <v>6517</v>
      </c>
      <c r="C3739" t="s">
        <v>4899</v>
      </c>
      <c r="F3739">
        <v>1</v>
      </c>
      <c r="G3739" s="1" t="s">
        <v>3855</v>
      </c>
      <c r="I3739" s="1" t="s">
        <v>11473</v>
      </c>
      <c r="O3739" t="s">
        <v>22</v>
      </c>
    </row>
    <row r="3740" spans="1:15">
      <c r="A3740" t="s">
        <v>8768</v>
      </c>
      <c r="B3740" t="s">
        <v>8768</v>
      </c>
      <c r="C3740" t="s">
        <v>4405</v>
      </c>
      <c r="F3740">
        <v>1</v>
      </c>
      <c r="G3740" s="1" t="s">
        <v>3856</v>
      </c>
      <c r="I3740" s="1" t="s">
        <v>11473</v>
      </c>
      <c r="O3740" t="s">
        <v>22</v>
      </c>
    </row>
    <row r="3741" spans="1:15">
      <c r="A3741" t="s">
        <v>7186</v>
      </c>
      <c r="B3741" t="s">
        <v>7186</v>
      </c>
      <c r="C3741" t="s">
        <v>7187</v>
      </c>
      <c r="F3741">
        <v>1</v>
      </c>
      <c r="G3741" s="1" t="s">
        <v>3857</v>
      </c>
      <c r="I3741" s="1" t="s">
        <v>11473</v>
      </c>
      <c r="O3741" t="s">
        <v>22</v>
      </c>
    </row>
    <row r="3742" spans="1:15">
      <c r="A3742" t="s">
        <v>11188</v>
      </c>
      <c r="B3742" t="s">
        <v>11188</v>
      </c>
      <c r="C3742" t="s">
        <v>7187</v>
      </c>
      <c r="F3742">
        <v>1</v>
      </c>
      <c r="G3742" s="1" t="s">
        <v>3858</v>
      </c>
      <c r="I3742" s="1" t="s">
        <v>11473</v>
      </c>
      <c r="O3742" t="s">
        <v>22</v>
      </c>
    </row>
    <row r="3743" spans="1:15">
      <c r="A3743" t="s">
        <v>9761</v>
      </c>
      <c r="B3743" t="s">
        <v>9761</v>
      </c>
      <c r="C3743" t="s">
        <v>9762</v>
      </c>
      <c r="F3743">
        <v>1</v>
      </c>
      <c r="G3743" s="1" t="s">
        <v>3859</v>
      </c>
      <c r="I3743" s="1" t="s">
        <v>11473</v>
      </c>
      <c r="O3743" t="s">
        <v>22</v>
      </c>
    </row>
    <row r="3744" spans="1:15">
      <c r="A3744" t="s">
        <v>11440</v>
      </c>
      <c r="B3744" t="s">
        <v>11440</v>
      </c>
      <c r="C3744" t="s">
        <v>4914</v>
      </c>
      <c r="F3744">
        <v>1</v>
      </c>
      <c r="G3744" s="1" t="s">
        <v>3860</v>
      </c>
      <c r="I3744" s="1" t="s">
        <v>11473</v>
      </c>
      <c r="O3744" t="s">
        <v>22</v>
      </c>
    </row>
    <row r="3745" spans="1:15">
      <c r="A3745" t="s">
        <v>6887</v>
      </c>
      <c r="B3745" t="s">
        <v>6887</v>
      </c>
      <c r="C3745" t="s">
        <v>4979</v>
      </c>
      <c r="F3745">
        <v>1</v>
      </c>
      <c r="G3745" s="1" t="s">
        <v>3861</v>
      </c>
      <c r="I3745" s="1" t="s">
        <v>11473</v>
      </c>
      <c r="O3745" t="s">
        <v>22</v>
      </c>
    </row>
    <row r="3746" spans="1:15">
      <c r="A3746" t="s">
        <v>6156</v>
      </c>
      <c r="B3746" t="s">
        <v>6156</v>
      </c>
      <c r="C3746" t="s">
        <v>4333</v>
      </c>
      <c r="F3746">
        <v>1</v>
      </c>
      <c r="G3746" s="1" t="s">
        <v>3862</v>
      </c>
      <c r="I3746" s="1" t="s">
        <v>11473</v>
      </c>
      <c r="O3746" t="s">
        <v>22</v>
      </c>
    </row>
    <row r="3747" spans="1:15">
      <c r="A3747" t="s">
        <v>9155</v>
      </c>
      <c r="B3747" t="s">
        <v>9155</v>
      </c>
      <c r="C3747" t="s">
        <v>9156</v>
      </c>
      <c r="F3747">
        <v>1</v>
      </c>
      <c r="G3747" s="1" t="s">
        <v>3863</v>
      </c>
      <c r="I3747" s="1" t="s">
        <v>11473</v>
      </c>
      <c r="O3747" t="s">
        <v>22</v>
      </c>
    </row>
    <row r="3748" spans="1:15">
      <c r="A3748" t="s">
        <v>11195</v>
      </c>
      <c r="B3748" t="s">
        <v>11195</v>
      </c>
      <c r="C3748" t="s">
        <v>4837</v>
      </c>
      <c r="F3748">
        <v>1</v>
      </c>
      <c r="G3748" s="1" t="s">
        <v>3864</v>
      </c>
      <c r="I3748" s="1" t="s">
        <v>11473</v>
      </c>
      <c r="O3748" t="s">
        <v>22</v>
      </c>
    </row>
    <row r="3749" spans="1:15">
      <c r="A3749" t="s">
        <v>6372</v>
      </c>
      <c r="B3749" t="s">
        <v>6372</v>
      </c>
      <c r="C3749" t="s">
        <v>6373</v>
      </c>
      <c r="F3749">
        <v>1</v>
      </c>
      <c r="G3749" s="1" t="s">
        <v>3865</v>
      </c>
      <c r="I3749" s="1" t="s">
        <v>11473</v>
      </c>
      <c r="O3749" t="s">
        <v>22</v>
      </c>
    </row>
    <row r="3750" spans="1:15">
      <c r="A3750" t="s">
        <v>10507</v>
      </c>
      <c r="B3750" t="s">
        <v>10507</v>
      </c>
      <c r="C3750" t="s">
        <v>6373</v>
      </c>
      <c r="F3750">
        <v>1</v>
      </c>
      <c r="G3750" s="1" t="s">
        <v>3866</v>
      </c>
      <c r="I3750" s="1" t="s">
        <v>11473</v>
      </c>
      <c r="O3750" t="s">
        <v>22</v>
      </c>
    </row>
    <row r="3751" spans="1:15">
      <c r="A3751" t="s">
        <v>9753</v>
      </c>
      <c r="B3751" t="s">
        <v>9753</v>
      </c>
      <c r="C3751" t="s">
        <v>9754</v>
      </c>
      <c r="F3751">
        <v>1</v>
      </c>
      <c r="G3751" s="1" t="s">
        <v>3867</v>
      </c>
      <c r="I3751" s="1" t="s">
        <v>11473</v>
      </c>
      <c r="O3751" t="s">
        <v>22</v>
      </c>
    </row>
    <row r="3752" spans="1:15">
      <c r="A3752" t="s">
        <v>10453</v>
      </c>
      <c r="B3752" t="s">
        <v>10453</v>
      </c>
      <c r="C3752" t="s">
        <v>9754</v>
      </c>
      <c r="F3752">
        <v>1</v>
      </c>
      <c r="G3752" s="1" t="s">
        <v>3868</v>
      </c>
      <c r="I3752" s="1" t="s">
        <v>11473</v>
      </c>
      <c r="O3752" t="s">
        <v>22</v>
      </c>
    </row>
    <row r="3753" spans="1:15">
      <c r="A3753" t="s">
        <v>9615</v>
      </c>
      <c r="B3753" t="s">
        <v>9615</v>
      </c>
      <c r="C3753" t="s">
        <v>4445</v>
      </c>
      <c r="F3753">
        <v>1</v>
      </c>
      <c r="G3753" s="1" t="s">
        <v>3869</v>
      </c>
      <c r="I3753" s="1" t="s">
        <v>11473</v>
      </c>
      <c r="O3753" t="s">
        <v>22</v>
      </c>
    </row>
    <row r="3754" spans="1:15">
      <c r="A3754" t="s">
        <v>10452</v>
      </c>
      <c r="B3754" t="s">
        <v>10452</v>
      </c>
      <c r="C3754" t="s">
        <v>5323</v>
      </c>
      <c r="F3754">
        <v>1</v>
      </c>
      <c r="G3754" s="1" t="s">
        <v>3870</v>
      </c>
      <c r="I3754" s="1" t="s">
        <v>11473</v>
      </c>
      <c r="O3754" t="s">
        <v>22</v>
      </c>
    </row>
    <row r="3755" spans="1:15">
      <c r="A3755" t="s">
        <v>6768</v>
      </c>
      <c r="B3755" t="s">
        <v>6768</v>
      </c>
      <c r="C3755" t="s">
        <v>6769</v>
      </c>
      <c r="F3755">
        <v>1</v>
      </c>
      <c r="G3755" s="1" t="s">
        <v>3871</v>
      </c>
      <c r="I3755" s="1" t="s">
        <v>11473</v>
      </c>
      <c r="O3755" t="s">
        <v>22</v>
      </c>
    </row>
    <row r="3756" spans="1:15">
      <c r="A3756" t="s">
        <v>9756</v>
      </c>
      <c r="B3756" t="s">
        <v>9756</v>
      </c>
      <c r="C3756" t="s">
        <v>6769</v>
      </c>
      <c r="F3756">
        <v>1</v>
      </c>
      <c r="G3756" s="1" t="s">
        <v>3872</v>
      </c>
      <c r="I3756" s="1" t="s">
        <v>11473</v>
      </c>
      <c r="O3756" t="s">
        <v>22</v>
      </c>
    </row>
    <row r="3757" spans="1:15">
      <c r="A3757" t="s">
        <v>7000</v>
      </c>
      <c r="B3757" t="s">
        <v>7000</v>
      </c>
      <c r="C3757" t="s">
        <v>4962</v>
      </c>
      <c r="F3757">
        <v>1</v>
      </c>
      <c r="G3757" s="1" t="s">
        <v>3873</v>
      </c>
      <c r="I3757" s="1" t="s">
        <v>11473</v>
      </c>
      <c r="O3757" t="s">
        <v>22</v>
      </c>
    </row>
    <row r="3758" spans="1:15">
      <c r="A3758" t="s">
        <v>7359</v>
      </c>
      <c r="B3758" t="s">
        <v>7359</v>
      </c>
      <c r="C3758" t="s">
        <v>4962</v>
      </c>
      <c r="F3758">
        <v>1</v>
      </c>
      <c r="G3758" s="1" t="s">
        <v>3874</v>
      </c>
      <c r="I3758" s="1" t="s">
        <v>11473</v>
      </c>
      <c r="O3758" t="s">
        <v>22</v>
      </c>
    </row>
    <row r="3759" spans="1:15">
      <c r="A3759" t="s">
        <v>8147</v>
      </c>
      <c r="B3759" t="s">
        <v>8147</v>
      </c>
      <c r="C3759" t="s">
        <v>4962</v>
      </c>
      <c r="F3759">
        <v>1</v>
      </c>
      <c r="G3759" s="1" t="s">
        <v>3875</v>
      </c>
      <c r="I3759" s="1" t="s">
        <v>11473</v>
      </c>
      <c r="O3759" t="s">
        <v>22</v>
      </c>
    </row>
    <row r="3760" spans="1:15">
      <c r="A3760" t="s">
        <v>8504</v>
      </c>
      <c r="B3760" t="s">
        <v>8504</v>
      </c>
      <c r="C3760" t="s">
        <v>8505</v>
      </c>
      <c r="F3760">
        <v>1</v>
      </c>
      <c r="G3760" s="1" t="s">
        <v>3876</v>
      </c>
      <c r="I3760" s="1" t="s">
        <v>11473</v>
      </c>
      <c r="O3760" t="s">
        <v>22</v>
      </c>
    </row>
    <row r="3761" spans="1:15">
      <c r="A3761" t="s">
        <v>9739</v>
      </c>
      <c r="B3761" t="s">
        <v>9739</v>
      </c>
      <c r="C3761" t="s">
        <v>8505</v>
      </c>
      <c r="F3761">
        <v>1</v>
      </c>
      <c r="G3761" s="1" t="s">
        <v>3877</v>
      </c>
      <c r="I3761" s="1" t="s">
        <v>11473</v>
      </c>
      <c r="O3761" t="s">
        <v>22</v>
      </c>
    </row>
    <row r="3762" spans="1:15">
      <c r="A3762" t="s">
        <v>8185</v>
      </c>
      <c r="B3762" t="s">
        <v>8185</v>
      </c>
      <c r="C3762" t="s">
        <v>8186</v>
      </c>
      <c r="F3762">
        <v>1</v>
      </c>
      <c r="G3762" s="1" t="s">
        <v>3878</v>
      </c>
      <c r="I3762" s="1" t="s">
        <v>11473</v>
      </c>
      <c r="O3762" t="s">
        <v>22</v>
      </c>
    </row>
    <row r="3763" spans="1:15">
      <c r="A3763" t="s">
        <v>6563</v>
      </c>
      <c r="B3763" t="s">
        <v>6563</v>
      </c>
      <c r="C3763" t="s">
        <v>4414</v>
      </c>
      <c r="F3763">
        <v>1</v>
      </c>
      <c r="G3763" s="1" t="s">
        <v>3879</v>
      </c>
      <c r="I3763" s="1" t="s">
        <v>11473</v>
      </c>
      <c r="O3763" t="s">
        <v>22</v>
      </c>
    </row>
    <row r="3764" spans="1:15">
      <c r="A3764" t="s">
        <v>9584</v>
      </c>
      <c r="B3764" t="s">
        <v>9584</v>
      </c>
      <c r="C3764" t="s">
        <v>4414</v>
      </c>
      <c r="F3764">
        <v>1</v>
      </c>
      <c r="G3764" s="1" t="s">
        <v>3880</v>
      </c>
      <c r="I3764" s="1" t="s">
        <v>11473</v>
      </c>
      <c r="O3764" t="s">
        <v>22</v>
      </c>
    </row>
    <row r="3765" spans="1:15">
      <c r="A3765" t="s">
        <v>8116</v>
      </c>
      <c r="B3765" t="s">
        <v>8116</v>
      </c>
      <c r="C3765" t="s">
        <v>5362</v>
      </c>
      <c r="F3765">
        <v>1</v>
      </c>
      <c r="G3765" s="1" t="s">
        <v>3881</v>
      </c>
      <c r="I3765" s="1" t="s">
        <v>11473</v>
      </c>
      <c r="O3765" t="s">
        <v>22</v>
      </c>
    </row>
    <row r="3766" spans="1:15">
      <c r="A3766" t="s">
        <v>9974</v>
      </c>
      <c r="B3766" t="s">
        <v>9974</v>
      </c>
      <c r="C3766" t="s">
        <v>5362</v>
      </c>
      <c r="F3766">
        <v>1</v>
      </c>
      <c r="G3766" s="1" t="s">
        <v>3882</v>
      </c>
      <c r="I3766" s="1" t="s">
        <v>11473</v>
      </c>
      <c r="O3766" t="s">
        <v>22</v>
      </c>
    </row>
    <row r="3767" spans="1:15">
      <c r="A3767" t="s">
        <v>6545</v>
      </c>
      <c r="B3767" t="s">
        <v>6545</v>
      </c>
      <c r="C3767" t="s">
        <v>6546</v>
      </c>
      <c r="F3767">
        <v>1</v>
      </c>
      <c r="G3767" s="1" t="s">
        <v>3883</v>
      </c>
      <c r="I3767" s="1" t="s">
        <v>11473</v>
      </c>
      <c r="O3767" t="s">
        <v>22</v>
      </c>
    </row>
    <row r="3768" spans="1:15">
      <c r="A3768" t="s">
        <v>7004</v>
      </c>
      <c r="B3768" t="s">
        <v>7004</v>
      </c>
      <c r="C3768" t="s">
        <v>7005</v>
      </c>
      <c r="F3768">
        <v>1</v>
      </c>
      <c r="G3768" s="1" t="s">
        <v>3884</v>
      </c>
      <c r="I3768" s="1" t="s">
        <v>11473</v>
      </c>
      <c r="O3768" t="s">
        <v>22</v>
      </c>
    </row>
    <row r="3769" spans="1:15">
      <c r="A3769" t="s">
        <v>8578</v>
      </c>
      <c r="B3769" t="s">
        <v>8578</v>
      </c>
      <c r="C3769" t="s">
        <v>8579</v>
      </c>
      <c r="F3769">
        <v>1</v>
      </c>
      <c r="G3769" s="1" t="s">
        <v>3885</v>
      </c>
      <c r="I3769" s="1" t="s">
        <v>11473</v>
      </c>
      <c r="O3769" t="s">
        <v>22</v>
      </c>
    </row>
    <row r="3770" spans="1:15">
      <c r="A3770" t="s">
        <v>10498</v>
      </c>
      <c r="B3770" t="s">
        <v>10498</v>
      </c>
      <c r="C3770" t="s">
        <v>10499</v>
      </c>
      <c r="F3770">
        <v>1</v>
      </c>
      <c r="G3770" s="1" t="s">
        <v>3886</v>
      </c>
      <c r="I3770" s="1" t="s">
        <v>11473</v>
      </c>
      <c r="O3770" t="s">
        <v>22</v>
      </c>
    </row>
    <row r="3771" spans="1:15">
      <c r="A3771" t="s">
        <v>6909</v>
      </c>
      <c r="B3771" t="s">
        <v>6909</v>
      </c>
      <c r="C3771" t="s">
        <v>4278</v>
      </c>
      <c r="F3771">
        <v>1</v>
      </c>
      <c r="G3771" s="1" t="s">
        <v>3887</v>
      </c>
      <c r="I3771" s="1" t="s">
        <v>11473</v>
      </c>
      <c r="O3771" t="s">
        <v>22</v>
      </c>
    </row>
    <row r="3772" spans="1:15">
      <c r="A3772" t="s">
        <v>11311</v>
      </c>
      <c r="B3772" t="s">
        <v>11311</v>
      </c>
      <c r="C3772" t="s">
        <v>11312</v>
      </c>
      <c r="F3772">
        <v>1</v>
      </c>
      <c r="G3772" s="1" t="s">
        <v>3888</v>
      </c>
      <c r="I3772" s="1" t="s">
        <v>11473</v>
      </c>
      <c r="O3772" t="s">
        <v>22</v>
      </c>
    </row>
    <row r="3773" spans="1:15">
      <c r="A3773" t="s">
        <v>8191</v>
      </c>
      <c r="B3773" t="s">
        <v>8191</v>
      </c>
      <c r="C3773" t="s">
        <v>8192</v>
      </c>
      <c r="F3773">
        <v>1</v>
      </c>
      <c r="G3773" s="1" t="s">
        <v>3889</v>
      </c>
      <c r="I3773" s="1" t="s">
        <v>11473</v>
      </c>
      <c r="O3773" t="s">
        <v>22</v>
      </c>
    </row>
    <row r="3774" spans="1:15">
      <c r="A3774" t="s">
        <v>6990</v>
      </c>
      <c r="B3774" t="s">
        <v>6990</v>
      </c>
      <c r="C3774" t="s">
        <v>6991</v>
      </c>
      <c r="F3774">
        <v>1</v>
      </c>
      <c r="G3774" s="1" t="s">
        <v>3890</v>
      </c>
      <c r="I3774" s="1" t="s">
        <v>11473</v>
      </c>
      <c r="O3774" t="s">
        <v>22</v>
      </c>
    </row>
    <row r="3775" spans="1:15">
      <c r="A3775" t="s">
        <v>9063</v>
      </c>
      <c r="B3775" t="s">
        <v>9063</v>
      </c>
      <c r="C3775" t="s">
        <v>6991</v>
      </c>
      <c r="F3775">
        <v>1</v>
      </c>
      <c r="G3775" s="1" t="s">
        <v>3891</v>
      </c>
      <c r="I3775" s="1" t="s">
        <v>11473</v>
      </c>
      <c r="O3775" t="s">
        <v>22</v>
      </c>
    </row>
    <row r="3776" spans="1:15">
      <c r="A3776" t="s">
        <v>6168</v>
      </c>
      <c r="B3776" t="s">
        <v>6168</v>
      </c>
      <c r="C3776" t="s">
        <v>4440</v>
      </c>
      <c r="F3776">
        <v>1</v>
      </c>
      <c r="G3776" s="1" t="s">
        <v>3892</v>
      </c>
      <c r="I3776" s="1" t="s">
        <v>11473</v>
      </c>
      <c r="O3776" t="s">
        <v>22</v>
      </c>
    </row>
    <row r="3777" spans="1:15">
      <c r="A3777" t="s">
        <v>8438</v>
      </c>
      <c r="B3777" t="s">
        <v>8438</v>
      </c>
      <c r="C3777" t="s">
        <v>4440</v>
      </c>
      <c r="F3777">
        <v>1</v>
      </c>
      <c r="G3777" s="1" t="s">
        <v>3893</v>
      </c>
      <c r="I3777" s="1" t="s">
        <v>11473</v>
      </c>
      <c r="O3777" t="s">
        <v>22</v>
      </c>
    </row>
    <row r="3778" spans="1:15">
      <c r="A3778" t="s">
        <v>9049</v>
      </c>
      <c r="B3778" t="s">
        <v>9049</v>
      </c>
      <c r="C3778" t="s">
        <v>4440</v>
      </c>
      <c r="F3778">
        <v>1</v>
      </c>
      <c r="G3778" s="1" t="s">
        <v>3894</v>
      </c>
      <c r="I3778" s="1" t="s">
        <v>11473</v>
      </c>
      <c r="O3778" t="s">
        <v>22</v>
      </c>
    </row>
    <row r="3779" spans="1:15">
      <c r="A3779" t="s">
        <v>7167</v>
      </c>
      <c r="B3779" t="s">
        <v>7167</v>
      </c>
      <c r="C3779" t="s">
        <v>5208</v>
      </c>
      <c r="F3779">
        <v>1</v>
      </c>
      <c r="G3779" s="1" t="s">
        <v>3895</v>
      </c>
      <c r="I3779" s="1" t="s">
        <v>11473</v>
      </c>
      <c r="O3779" t="s">
        <v>22</v>
      </c>
    </row>
    <row r="3780" spans="1:15">
      <c r="A3780" t="s">
        <v>8984</v>
      </c>
      <c r="B3780" t="s">
        <v>8984</v>
      </c>
      <c r="C3780" t="s">
        <v>5208</v>
      </c>
      <c r="F3780">
        <v>1</v>
      </c>
      <c r="G3780" s="1" t="s">
        <v>3896</v>
      </c>
      <c r="I3780" s="1" t="s">
        <v>11473</v>
      </c>
      <c r="O3780" t="s">
        <v>22</v>
      </c>
    </row>
    <row r="3781" spans="1:15">
      <c r="A3781" t="s">
        <v>7044</v>
      </c>
      <c r="B3781" t="s">
        <v>7044</v>
      </c>
      <c r="C3781" t="s">
        <v>4922</v>
      </c>
      <c r="F3781">
        <v>1</v>
      </c>
      <c r="G3781" s="1" t="s">
        <v>3897</v>
      </c>
      <c r="I3781" s="1" t="s">
        <v>11473</v>
      </c>
      <c r="O3781" t="s">
        <v>22</v>
      </c>
    </row>
    <row r="3782" spans="1:15">
      <c r="A3782" t="s">
        <v>9715</v>
      </c>
      <c r="B3782" t="s">
        <v>9715</v>
      </c>
      <c r="C3782" t="s">
        <v>4922</v>
      </c>
      <c r="F3782">
        <v>1</v>
      </c>
      <c r="G3782" s="1" t="s">
        <v>3898</v>
      </c>
      <c r="I3782" s="1" t="s">
        <v>11473</v>
      </c>
      <c r="O3782" t="s">
        <v>22</v>
      </c>
    </row>
    <row r="3783" spans="1:15">
      <c r="A3783" t="s">
        <v>6748</v>
      </c>
      <c r="B3783" t="s">
        <v>6748</v>
      </c>
      <c r="C3783" t="s">
        <v>4204</v>
      </c>
      <c r="F3783">
        <v>1</v>
      </c>
      <c r="G3783" s="1" t="s">
        <v>3899</v>
      </c>
      <c r="I3783" s="1" t="s">
        <v>11473</v>
      </c>
      <c r="O3783" t="s">
        <v>22</v>
      </c>
    </row>
    <row r="3784" spans="1:15">
      <c r="A3784" t="s">
        <v>6747</v>
      </c>
      <c r="B3784" t="s">
        <v>6747</v>
      </c>
      <c r="C3784" t="s">
        <v>5160</v>
      </c>
      <c r="F3784">
        <v>1</v>
      </c>
      <c r="G3784" s="1" t="s">
        <v>3900</v>
      </c>
      <c r="I3784" s="1" t="s">
        <v>11473</v>
      </c>
      <c r="O3784" t="s">
        <v>22</v>
      </c>
    </row>
    <row r="3785" spans="1:15">
      <c r="A3785" t="s">
        <v>11200</v>
      </c>
      <c r="B3785" t="s">
        <v>11200</v>
      </c>
      <c r="C3785" t="s">
        <v>5163</v>
      </c>
      <c r="F3785">
        <v>1</v>
      </c>
      <c r="G3785" s="1" t="s">
        <v>3901</v>
      </c>
      <c r="I3785" s="1" t="s">
        <v>11473</v>
      </c>
      <c r="O3785" t="s">
        <v>22</v>
      </c>
    </row>
    <row r="3786" spans="1:15">
      <c r="A3786" t="s">
        <v>10479</v>
      </c>
      <c r="B3786" t="s">
        <v>10479</v>
      </c>
      <c r="C3786" t="s">
        <v>4912</v>
      </c>
      <c r="F3786">
        <v>1</v>
      </c>
      <c r="G3786" s="1" t="s">
        <v>3902</v>
      </c>
      <c r="I3786" s="1" t="s">
        <v>11473</v>
      </c>
      <c r="O3786" t="s">
        <v>22</v>
      </c>
    </row>
    <row r="3787" spans="1:15">
      <c r="A3787" t="s">
        <v>10204</v>
      </c>
      <c r="B3787" t="s">
        <v>10204</v>
      </c>
      <c r="C3787" t="s">
        <v>5363</v>
      </c>
      <c r="F3787">
        <v>1</v>
      </c>
      <c r="G3787" s="1" t="s">
        <v>3903</v>
      </c>
      <c r="I3787" s="1" t="s">
        <v>11473</v>
      </c>
      <c r="O3787" t="s">
        <v>22</v>
      </c>
    </row>
    <row r="3788" spans="1:15">
      <c r="A3788" t="s">
        <v>7157</v>
      </c>
      <c r="B3788" t="s">
        <v>7157</v>
      </c>
      <c r="C3788" t="s">
        <v>7158</v>
      </c>
      <c r="F3788">
        <v>1</v>
      </c>
      <c r="G3788" s="1" t="s">
        <v>3904</v>
      </c>
      <c r="I3788" s="1" t="s">
        <v>11473</v>
      </c>
      <c r="O3788" t="s">
        <v>22</v>
      </c>
    </row>
    <row r="3789" spans="1:15">
      <c r="A3789" t="s">
        <v>8765</v>
      </c>
      <c r="B3789" t="s">
        <v>8765</v>
      </c>
      <c r="C3789" t="s">
        <v>7158</v>
      </c>
      <c r="F3789">
        <v>1</v>
      </c>
      <c r="G3789" s="1" t="s">
        <v>3905</v>
      </c>
      <c r="I3789" s="1" t="s">
        <v>11473</v>
      </c>
      <c r="O3789" t="s">
        <v>22</v>
      </c>
    </row>
    <row r="3790" spans="1:15">
      <c r="A3790" t="s">
        <v>8739</v>
      </c>
      <c r="B3790" t="s">
        <v>8739</v>
      </c>
      <c r="C3790" t="s">
        <v>8740</v>
      </c>
      <c r="F3790">
        <v>1</v>
      </c>
      <c r="G3790" s="1" t="s">
        <v>3906</v>
      </c>
      <c r="I3790" s="1" t="s">
        <v>11473</v>
      </c>
      <c r="O3790" t="s">
        <v>22</v>
      </c>
    </row>
    <row r="3791" spans="1:15">
      <c r="A3791" t="s">
        <v>9057</v>
      </c>
      <c r="B3791" t="s">
        <v>9057</v>
      </c>
      <c r="C3791" t="s">
        <v>9058</v>
      </c>
      <c r="F3791">
        <v>1</v>
      </c>
      <c r="G3791" s="1" t="s">
        <v>3907</v>
      </c>
      <c r="I3791" s="1" t="s">
        <v>11473</v>
      </c>
      <c r="O3791" t="s">
        <v>22</v>
      </c>
    </row>
    <row r="3792" spans="1:15">
      <c r="A3792" t="s">
        <v>6582</v>
      </c>
      <c r="B3792" t="s">
        <v>6582</v>
      </c>
      <c r="C3792" t="s">
        <v>6583</v>
      </c>
      <c r="F3792">
        <v>1</v>
      </c>
      <c r="G3792" s="1" t="s">
        <v>3908</v>
      </c>
      <c r="I3792" s="1" t="s">
        <v>11473</v>
      </c>
      <c r="O3792" t="s">
        <v>22</v>
      </c>
    </row>
    <row r="3793" spans="1:15">
      <c r="A3793" t="s">
        <v>7156</v>
      </c>
      <c r="B3793" t="s">
        <v>7156</v>
      </c>
      <c r="C3793" t="s">
        <v>6583</v>
      </c>
      <c r="F3793">
        <v>1</v>
      </c>
      <c r="G3793" s="1" t="s">
        <v>3909</v>
      </c>
      <c r="I3793" s="1" t="s">
        <v>11473</v>
      </c>
      <c r="O3793" t="s">
        <v>22</v>
      </c>
    </row>
    <row r="3794" spans="1:15">
      <c r="A3794" t="s">
        <v>7206</v>
      </c>
      <c r="B3794" t="s">
        <v>7206</v>
      </c>
      <c r="C3794" t="s">
        <v>6583</v>
      </c>
      <c r="F3794">
        <v>1</v>
      </c>
      <c r="G3794" s="1" t="s">
        <v>3910</v>
      </c>
      <c r="I3794" s="1" t="s">
        <v>11473</v>
      </c>
      <c r="O3794" t="s">
        <v>22</v>
      </c>
    </row>
    <row r="3795" spans="1:15">
      <c r="A3795" t="s">
        <v>6526</v>
      </c>
      <c r="B3795" t="s">
        <v>6526</v>
      </c>
      <c r="C3795" t="s">
        <v>4778</v>
      </c>
      <c r="F3795">
        <v>1</v>
      </c>
      <c r="G3795" s="1" t="s">
        <v>3911</v>
      </c>
      <c r="I3795" s="1" t="s">
        <v>11473</v>
      </c>
      <c r="O3795" t="s">
        <v>22</v>
      </c>
    </row>
    <row r="3796" spans="1:15">
      <c r="A3796" t="s">
        <v>8670</v>
      </c>
      <c r="B3796" t="s">
        <v>8670</v>
      </c>
      <c r="C3796" t="s">
        <v>8671</v>
      </c>
      <c r="F3796">
        <v>1</v>
      </c>
      <c r="G3796" s="1" t="s">
        <v>3912</v>
      </c>
      <c r="I3796" s="1" t="s">
        <v>11473</v>
      </c>
      <c r="O3796" t="s">
        <v>22</v>
      </c>
    </row>
    <row r="3797" spans="1:15">
      <c r="A3797" t="s">
        <v>8414</v>
      </c>
      <c r="B3797" t="s">
        <v>8414</v>
      </c>
      <c r="C3797" t="s">
        <v>8415</v>
      </c>
      <c r="F3797">
        <v>1</v>
      </c>
      <c r="G3797" s="1" t="s">
        <v>3913</v>
      </c>
      <c r="I3797" s="1" t="s">
        <v>11473</v>
      </c>
      <c r="O3797" t="s">
        <v>22</v>
      </c>
    </row>
    <row r="3798" spans="1:15">
      <c r="A3798" t="s">
        <v>6745</v>
      </c>
      <c r="B3798" t="s">
        <v>6745</v>
      </c>
      <c r="C3798" t="s">
        <v>6746</v>
      </c>
      <c r="F3798">
        <v>1</v>
      </c>
      <c r="G3798" s="1" t="s">
        <v>3914</v>
      </c>
      <c r="I3798" s="1" t="s">
        <v>11473</v>
      </c>
      <c r="O3798" t="s">
        <v>22</v>
      </c>
    </row>
    <row r="3799" spans="1:15">
      <c r="A3799" t="s">
        <v>5676</v>
      </c>
      <c r="B3799" t="s">
        <v>5676</v>
      </c>
      <c r="C3799" t="s">
        <v>5677</v>
      </c>
      <c r="F3799">
        <v>1</v>
      </c>
      <c r="G3799" s="1" t="s">
        <v>3915</v>
      </c>
      <c r="I3799" s="1" t="s">
        <v>11473</v>
      </c>
      <c r="O3799" t="s">
        <v>22</v>
      </c>
    </row>
    <row r="3800" spans="1:15">
      <c r="A3800" t="s">
        <v>8763</v>
      </c>
      <c r="B3800" t="s">
        <v>8763</v>
      </c>
      <c r="C3800" t="s">
        <v>8764</v>
      </c>
      <c r="F3800">
        <v>1</v>
      </c>
      <c r="G3800" s="1" t="s">
        <v>3916</v>
      </c>
      <c r="I3800" s="1" t="s">
        <v>11473</v>
      </c>
      <c r="O3800" t="s">
        <v>22</v>
      </c>
    </row>
    <row r="3801" spans="1:15">
      <c r="A3801" t="s">
        <v>9740</v>
      </c>
      <c r="B3801" t="s">
        <v>9740</v>
      </c>
      <c r="C3801" t="s">
        <v>8764</v>
      </c>
      <c r="F3801">
        <v>1</v>
      </c>
      <c r="G3801" s="1" t="s">
        <v>3917</v>
      </c>
      <c r="I3801" s="1" t="s">
        <v>11473</v>
      </c>
      <c r="O3801" t="s">
        <v>22</v>
      </c>
    </row>
    <row r="3802" spans="1:15">
      <c r="A3802" t="s">
        <v>9730</v>
      </c>
      <c r="B3802" t="s">
        <v>9730</v>
      </c>
      <c r="C3802" t="s">
        <v>9731</v>
      </c>
      <c r="F3802">
        <v>1</v>
      </c>
      <c r="G3802" s="1" t="s">
        <v>3918</v>
      </c>
      <c r="I3802" s="1" t="s">
        <v>11473</v>
      </c>
      <c r="O3802" t="s">
        <v>22</v>
      </c>
    </row>
    <row r="3803" spans="1:15">
      <c r="A3803" t="s">
        <v>9850</v>
      </c>
      <c r="B3803" t="s">
        <v>9850</v>
      </c>
      <c r="C3803" t="s">
        <v>9731</v>
      </c>
      <c r="F3803">
        <v>1</v>
      </c>
      <c r="G3803" s="1" t="s">
        <v>3919</v>
      </c>
      <c r="I3803" s="1" t="s">
        <v>11473</v>
      </c>
      <c r="O3803" t="s">
        <v>22</v>
      </c>
    </row>
    <row r="3804" spans="1:15">
      <c r="A3804" t="s">
        <v>6964</v>
      </c>
      <c r="B3804" t="s">
        <v>6964</v>
      </c>
      <c r="C3804" t="s">
        <v>6965</v>
      </c>
      <c r="F3804">
        <v>1</v>
      </c>
      <c r="G3804" s="1" t="s">
        <v>3920</v>
      </c>
      <c r="I3804" s="1" t="s">
        <v>11473</v>
      </c>
      <c r="O3804" t="s">
        <v>22</v>
      </c>
    </row>
    <row r="3805" spans="1:15">
      <c r="A3805" t="s">
        <v>9593</v>
      </c>
      <c r="B3805" t="s">
        <v>9593</v>
      </c>
      <c r="C3805" t="s">
        <v>9594</v>
      </c>
      <c r="F3805">
        <v>1</v>
      </c>
      <c r="G3805" s="1" t="s">
        <v>3921</v>
      </c>
      <c r="I3805" s="1" t="s">
        <v>11473</v>
      </c>
      <c r="O3805" t="s">
        <v>22</v>
      </c>
    </row>
    <row r="3806" spans="1:15">
      <c r="A3806" t="s">
        <v>6516</v>
      </c>
      <c r="B3806" t="s">
        <v>6516</v>
      </c>
      <c r="C3806" t="s">
        <v>5343</v>
      </c>
      <c r="F3806">
        <v>1</v>
      </c>
      <c r="G3806" s="1" t="s">
        <v>3922</v>
      </c>
      <c r="I3806" s="1" t="s">
        <v>11473</v>
      </c>
      <c r="O3806" t="s">
        <v>22</v>
      </c>
    </row>
    <row r="3807" spans="1:15">
      <c r="A3807" t="s">
        <v>8291</v>
      </c>
      <c r="B3807" t="s">
        <v>8291</v>
      </c>
      <c r="C3807" t="s">
        <v>5343</v>
      </c>
      <c r="F3807">
        <v>1</v>
      </c>
      <c r="G3807" s="1" t="s">
        <v>3923</v>
      </c>
      <c r="I3807" s="1" t="s">
        <v>11473</v>
      </c>
      <c r="O3807" t="s">
        <v>22</v>
      </c>
    </row>
    <row r="3808" spans="1:15">
      <c r="A3808" t="s">
        <v>6514</v>
      </c>
      <c r="B3808" t="s">
        <v>6514</v>
      </c>
      <c r="C3808" t="s">
        <v>6515</v>
      </c>
      <c r="F3808">
        <v>1</v>
      </c>
      <c r="G3808" s="1" t="s">
        <v>3924</v>
      </c>
      <c r="I3808" s="1" t="s">
        <v>11473</v>
      </c>
      <c r="O3808" t="s">
        <v>22</v>
      </c>
    </row>
    <row r="3809" spans="1:15">
      <c r="A3809" t="s">
        <v>8474</v>
      </c>
      <c r="B3809" t="s">
        <v>8474</v>
      </c>
      <c r="C3809" t="s">
        <v>8475</v>
      </c>
      <c r="F3809">
        <v>1</v>
      </c>
      <c r="G3809" s="1" t="s">
        <v>3925</v>
      </c>
      <c r="I3809" s="1" t="s">
        <v>11473</v>
      </c>
      <c r="O3809" t="s">
        <v>22</v>
      </c>
    </row>
    <row r="3810" spans="1:15">
      <c r="A3810" t="s">
        <v>8142</v>
      </c>
      <c r="B3810" t="s">
        <v>8142</v>
      </c>
      <c r="C3810" t="s">
        <v>8143</v>
      </c>
      <c r="F3810">
        <v>1</v>
      </c>
      <c r="G3810" s="1" t="s">
        <v>3926</v>
      </c>
      <c r="I3810" s="1" t="s">
        <v>11473</v>
      </c>
      <c r="O3810" t="s">
        <v>22</v>
      </c>
    </row>
    <row r="3811" spans="1:15">
      <c r="A3811" t="s">
        <v>9725</v>
      </c>
      <c r="B3811" t="s">
        <v>9725</v>
      </c>
      <c r="C3811" t="s">
        <v>8143</v>
      </c>
      <c r="F3811">
        <v>1</v>
      </c>
      <c r="G3811" s="1" t="s">
        <v>3927</v>
      </c>
      <c r="I3811" s="1" t="s">
        <v>11473</v>
      </c>
      <c r="O3811" t="s">
        <v>22</v>
      </c>
    </row>
    <row r="3812" spans="1:15">
      <c r="A3812" t="s">
        <v>6513</v>
      </c>
      <c r="B3812" t="s">
        <v>6513</v>
      </c>
      <c r="C3812" t="s">
        <v>4450</v>
      </c>
      <c r="F3812">
        <v>1</v>
      </c>
      <c r="G3812" s="1" t="s">
        <v>3928</v>
      </c>
      <c r="I3812" s="1" t="s">
        <v>11473</v>
      </c>
      <c r="O3812" t="s">
        <v>22</v>
      </c>
    </row>
    <row r="3813" spans="1:15">
      <c r="A3813" t="s">
        <v>8744</v>
      </c>
      <c r="B3813" t="s">
        <v>8744</v>
      </c>
      <c r="C3813" t="s">
        <v>4450</v>
      </c>
      <c r="F3813">
        <v>1</v>
      </c>
      <c r="G3813" s="1" t="s">
        <v>3929</v>
      </c>
      <c r="I3813" s="1" t="s">
        <v>11473</v>
      </c>
      <c r="O3813" t="s">
        <v>22</v>
      </c>
    </row>
    <row r="3814" spans="1:15">
      <c r="A3814" t="s">
        <v>7024</v>
      </c>
      <c r="B3814" t="s">
        <v>7024</v>
      </c>
      <c r="C3814" t="s">
        <v>4852</v>
      </c>
      <c r="F3814">
        <v>1</v>
      </c>
      <c r="G3814" s="1" t="s">
        <v>3930</v>
      </c>
      <c r="I3814" s="1" t="s">
        <v>11473</v>
      </c>
      <c r="O3814" t="s">
        <v>22</v>
      </c>
    </row>
    <row r="3815" spans="1:15">
      <c r="A3815" t="s">
        <v>10144</v>
      </c>
      <c r="B3815" t="s">
        <v>10144</v>
      </c>
      <c r="C3815" t="s">
        <v>4403</v>
      </c>
      <c r="F3815">
        <v>1</v>
      </c>
      <c r="G3815" s="1" t="s">
        <v>3931</v>
      </c>
      <c r="I3815" s="1" t="s">
        <v>11473</v>
      </c>
      <c r="O3815" t="s">
        <v>22</v>
      </c>
    </row>
    <row r="3816" spans="1:15">
      <c r="A3816" t="s">
        <v>10828</v>
      </c>
      <c r="B3816" t="s">
        <v>10828</v>
      </c>
      <c r="C3816" t="s">
        <v>4403</v>
      </c>
      <c r="F3816">
        <v>1</v>
      </c>
      <c r="G3816" s="1" t="s">
        <v>3932</v>
      </c>
      <c r="I3816" s="1" t="s">
        <v>11473</v>
      </c>
      <c r="O3816" t="s">
        <v>22</v>
      </c>
    </row>
    <row r="3817" spans="1:15">
      <c r="A3817" t="s">
        <v>10431</v>
      </c>
      <c r="B3817" t="s">
        <v>10431</v>
      </c>
      <c r="C3817" t="s">
        <v>10432</v>
      </c>
      <c r="F3817">
        <v>1</v>
      </c>
      <c r="G3817" s="1" t="s">
        <v>3933</v>
      </c>
      <c r="I3817" s="1" t="s">
        <v>11473</v>
      </c>
      <c r="O3817" t="s">
        <v>22</v>
      </c>
    </row>
    <row r="3818" spans="1:15">
      <c r="A3818" t="s">
        <v>9736</v>
      </c>
      <c r="B3818" t="s">
        <v>9736</v>
      </c>
      <c r="C3818" t="s">
        <v>4063</v>
      </c>
      <c r="F3818">
        <v>1</v>
      </c>
      <c r="G3818" s="1" t="s">
        <v>3934</v>
      </c>
      <c r="I3818" s="1" t="s">
        <v>11473</v>
      </c>
      <c r="O3818" t="s">
        <v>22</v>
      </c>
    </row>
    <row r="3819" spans="1:15">
      <c r="A3819" t="s">
        <v>8919</v>
      </c>
      <c r="B3819" t="s">
        <v>8919</v>
      </c>
      <c r="C3819" t="s">
        <v>4404</v>
      </c>
      <c r="F3819">
        <v>1</v>
      </c>
      <c r="G3819" s="1" t="s">
        <v>3935</v>
      </c>
      <c r="I3819" s="1" t="s">
        <v>11473</v>
      </c>
      <c r="O3819" t="s">
        <v>22</v>
      </c>
    </row>
    <row r="3820" spans="1:15">
      <c r="A3820" t="s">
        <v>7368</v>
      </c>
      <c r="B3820" t="s">
        <v>7368</v>
      </c>
      <c r="C3820" t="s">
        <v>7369</v>
      </c>
      <c r="F3820">
        <v>1</v>
      </c>
      <c r="G3820" s="1" t="s">
        <v>3936</v>
      </c>
      <c r="I3820" s="1" t="s">
        <v>11473</v>
      </c>
      <c r="O3820" t="s">
        <v>22</v>
      </c>
    </row>
    <row r="3821" spans="1:15">
      <c r="A3821" t="s">
        <v>8487</v>
      </c>
      <c r="B3821" t="s">
        <v>8487</v>
      </c>
      <c r="C3821" t="s">
        <v>7369</v>
      </c>
      <c r="F3821">
        <v>1</v>
      </c>
      <c r="G3821" s="1" t="s">
        <v>3937</v>
      </c>
      <c r="I3821" s="1" t="s">
        <v>11473</v>
      </c>
      <c r="O3821" t="s">
        <v>22</v>
      </c>
    </row>
    <row r="3822" spans="1:15">
      <c r="A3822" t="s">
        <v>8770</v>
      </c>
      <c r="B3822" t="s">
        <v>8770</v>
      </c>
      <c r="C3822" t="s">
        <v>7369</v>
      </c>
      <c r="F3822">
        <v>1</v>
      </c>
      <c r="G3822" s="1" t="s">
        <v>3938</v>
      </c>
      <c r="I3822" s="1" t="s">
        <v>11473</v>
      </c>
      <c r="O3822" t="s">
        <v>22</v>
      </c>
    </row>
    <row r="3823" spans="1:15">
      <c r="A3823" t="s">
        <v>8195</v>
      </c>
      <c r="B3823" t="s">
        <v>8195</v>
      </c>
      <c r="C3823" t="s">
        <v>4339</v>
      </c>
      <c r="F3823">
        <v>1</v>
      </c>
      <c r="G3823" s="1" t="s">
        <v>3939</v>
      </c>
      <c r="I3823" s="1" t="s">
        <v>11473</v>
      </c>
      <c r="O3823" t="s">
        <v>22</v>
      </c>
    </row>
    <row r="3824" spans="1:15">
      <c r="A3824" t="s">
        <v>10660</v>
      </c>
      <c r="B3824" t="s">
        <v>10660</v>
      </c>
      <c r="C3824" t="s">
        <v>4339</v>
      </c>
      <c r="F3824">
        <v>1</v>
      </c>
      <c r="G3824" s="1" t="s">
        <v>3940</v>
      </c>
      <c r="I3824" s="1" t="s">
        <v>11473</v>
      </c>
      <c r="O3824" t="s">
        <v>22</v>
      </c>
    </row>
    <row r="3825" spans="1:15">
      <c r="A3825" t="s">
        <v>8712</v>
      </c>
      <c r="B3825" t="s">
        <v>8712</v>
      </c>
      <c r="C3825" t="s">
        <v>8713</v>
      </c>
      <c r="F3825">
        <v>1</v>
      </c>
      <c r="G3825" s="1" t="s">
        <v>3941</v>
      </c>
      <c r="I3825" s="1" t="s">
        <v>11473</v>
      </c>
      <c r="O3825" t="s">
        <v>22</v>
      </c>
    </row>
    <row r="3826" spans="1:15">
      <c r="A3826" t="s">
        <v>9572</v>
      </c>
      <c r="B3826" t="s">
        <v>9572</v>
      </c>
      <c r="C3826" t="s">
        <v>9573</v>
      </c>
      <c r="F3826">
        <v>1</v>
      </c>
      <c r="G3826" s="1" t="s">
        <v>3942</v>
      </c>
      <c r="I3826" s="1" t="s">
        <v>11473</v>
      </c>
      <c r="O3826" t="s">
        <v>22</v>
      </c>
    </row>
    <row r="3827" spans="1:15">
      <c r="A3827" t="s">
        <v>9719</v>
      </c>
      <c r="B3827" t="s">
        <v>9719</v>
      </c>
      <c r="C3827" t="s">
        <v>9720</v>
      </c>
      <c r="F3827">
        <v>1</v>
      </c>
      <c r="G3827" s="1" t="s">
        <v>3943</v>
      </c>
      <c r="I3827" s="1" t="s">
        <v>11473</v>
      </c>
      <c r="O3827" t="s">
        <v>22</v>
      </c>
    </row>
    <row r="3828" spans="1:15">
      <c r="A3828" t="s">
        <v>6783</v>
      </c>
      <c r="B3828" t="s">
        <v>6783</v>
      </c>
      <c r="C3828" t="s">
        <v>6784</v>
      </c>
      <c r="F3828">
        <v>1</v>
      </c>
      <c r="G3828" s="1" t="s">
        <v>3944</v>
      </c>
      <c r="I3828" s="1" t="s">
        <v>11473</v>
      </c>
      <c r="O3828" t="s">
        <v>22</v>
      </c>
    </row>
    <row r="3829" spans="1:15">
      <c r="A3829" t="s">
        <v>8190</v>
      </c>
      <c r="B3829" t="s">
        <v>8190</v>
      </c>
      <c r="C3829" t="s">
        <v>4225</v>
      </c>
      <c r="F3829">
        <v>1</v>
      </c>
      <c r="G3829" s="1" t="s">
        <v>3945</v>
      </c>
      <c r="I3829" s="1" t="s">
        <v>11473</v>
      </c>
      <c r="O3829" t="s">
        <v>22</v>
      </c>
    </row>
    <row r="3830" spans="1:15">
      <c r="A3830" t="s">
        <v>7935</v>
      </c>
      <c r="B3830" t="s">
        <v>7935</v>
      </c>
      <c r="C3830" t="s">
        <v>7936</v>
      </c>
      <c r="F3830">
        <v>1</v>
      </c>
      <c r="G3830" s="1" t="s">
        <v>3946</v>
      </c>
      <c r="I3830" s="1" t="s">
        <v>11473</v>
      </c>
      <c r="O3830" t="s">
        <v>22</v>
      </c>
    </row>
    <row r="3831" spans="1:15">
      <c r="A3831" t="s">
        <v>9741</v>
      </c>
      <c r="B3831" t="s">
        <v>9741</v>
      </c>
      <c r="C3831" t="s">
        <v>9742</v>
      </c>
      <c r="F3831">
        <v>1</v>
      </c>
      <c r="G3831" s="1" t="s">
        <v>3947</v>
      </c>
      <c r="I3831" s="1" t="s">
        <v>11473</v>
      </c>
      <c r="O3831" t="s">
        <v>22</v>
      </c>
    </row>
    <row r="3832" spans="1:15">
      <c r="A3832" t="s">
        <v>11196</v>
      </c>
      <c r="B3832" t="s">
        <v>11196</v>
      </c>
      <c r="C3832" t="s">
        <v>11197</v>
      </c>
      <c r="F3832">
        <v>1</v>
      </c>
      <c r="G3832" s="1" t="s">
        <v>3948</v>
      </c>
      <c r="I3832" s="1" t="s">
        <v>11473</v>
      </c>
      <c r="O3832" t="s">
        <v>22</v>
      </c>
    </row>
    <row r="3833" spans="1:15">
      <c r="A3833" t="s">
        <v>10467</v>
      </c>
      <c r="B3833" t="s">
        <v>10467</v>
      </c>
      <c r="C3833" t="s">
        <v>10468</v>
      </c>
      <c r="F3833">
        <v>1</v>
      </c>
      <c r="G3833" s="1" t="s">
        <v>3949</v>
      </c>
      <c r="I3833" s="1" t="s">
        <v>11473</v>
      </c>
      <c r="O3833" t="s">
        <v>22</v>
      </c>
    </row>
    <row r="3834" spans="1:15">
      <c r="A3834" t="s">
        <v>9783</v>
      </c>
      <c r="B3834" t="s">
        <v>9783</v>
      </c>
      <c r="C3834" t="s">
        <v>9784</v>
      </c>
      <c r="F3834">
        <v>1</v>
      </c>
      <c r="G3834" s="1" t="s">
        <v>3950</v>
      </c>
      <c r="I3834" s="1" t="s">
        <v>11473</v>
      </c>
      <c r="O3834" t="s">
        <v>22</v>
      </c>
    </row>
    <row r="3835" spans="1:15">
      <c r="A3835" t="s">
        <v>10508</v>
      </c>
      <c r="B3835" t="s">
        <v>10508</v>
      </c>
      <c r="C3835" t="s">
        <v>10509</v>
      </c>
      <c r="F3835">
        <v>1</v>
      </c>
      <c r="G3835" s="1" t="s">
        <v>3951</v>
      </c>
      <c r="I3835" s="1" t="s">
        <v>11473</v>
      </c>
      <c r="O3835" t="s">
        <v>22</v>
      </c>
    </row>
    <row r="3836" spans="1:15">
      <c r="A3836" t="s">
        <v>7020</v>
      </c>
      <c r="B3836" t="s">
        <v>7020</v>
      </c>
      <c r="C3836" t="s">
        <v>7021</v>
      </c>
      <c r="F3836">
        <v>1</v>
      </c>
      <c r="G3836" s="1" t="s">
        <v>3952</v>
      </c>
      <c r="I3836" s="1" t="s">
        <v>11473</v>
      </c>
      <c r="O3836" t="s">
        <v>22</v>
      </c>
    </row>
    <row r="3837" spans="1:15">
      <c r="A3837" t="s">
        <v>9728</v>
      </c>
      <c r="B3837" t="s">
        <v>9728</v>
      </c>
      <c r="C3837" t="s">
        <v>9729</v>
      </c>
      <c r="F3837">
        <v>1</v>
      </c>
      <c r="G3837" s="1" t="s">
        <v>3953</v>
      </c>
      <c r="I3837" s="1" t="s">
        <v>11473</v>
      </c>
      <c r="O3837" t="s">
        <v>22</v>
      </c>
    </row>
    <row r="3838" spans="1:15">
      <c r="A3838" t="s">
        <v>8766</v>
      </c>
      <c r="B3838" t="s">
        <v>8766</v>
      </c>
      <c r="C3838" t="s">
        <v>8767</v>
      </c>
      <c r="F3838">
        <v>1</v>
      </c>
      <c r="G3838" s="1" t="s">
        <v>3954</v>
      </c>
      <c r="I3838" s="1" t="s">
        <v>11473</v>
      </c>
      <c r="O3838" t="s">
        <v>22</v>
      </c>
    </row>
    <row r="3839" spans="1:15">
      <c r="A3839" t="s">
        <v>7323</v>
      </c>
      <c r="B3839" t="s">
        <v>7323</v>
      </c>
      <c r="C3839" t="s">
        <v>4883</v>
      </c>
      <c r="F3839">
        <v>1</v>
      </c>
      <c r="G3839" s="1" t="s">
        <v>3955</v>
      </c>
      <c r="I3839" s="1" t="s">
        <v>11473</v>
      </c>
      <c r="O3839" t="s">
        <v>22</v>
      </c>
    </row>
    <row r="3840" spans="1:15">
      <c r="A3840" t="s">
        <v>9732</v>
      </c>
      <c r="B3840" t="s">
        <v>9732</v>
      </c>
      <c r="C3840" t="s">
        <v>4883</v>
      </c>
      <c r="F3840">
        <v>1</v>
      </c>
      <c r="G3840" s="1" t="s">
        <v>3956</v>
      </c>
      <c r="I3840" s="1" t="s">
        <v>11473</v>
      </c>
      <c r="O3840" t="s">
        <v>22</v>
      </c>
    </row>
    <row r="3841" spans="1:15">
      <c r="A3841" t="s">
        <v>10844</v>
      </c>
      <c r="B3841" t="s">
        <v>10844</v>
      </c>
      <c r="C3841" t="s">
        <v>4883</v>
      </c>
      <c r="F3841">
        <v>1</v>
      </c>
      <c r="G3841" s="1" t="s">
        <v>3957</v>
      </c>
      <c r="I3841" s="1" t="s">
        <v>11473</v>
      </c>
      <c r="O3841" t="s">
        <v>22</v>
      </c>
    </row>
    <row r="3842" spans="1:15">
      <c r="A3842" t="s">
        <v>6801</v>
      </c>
      <c r="B3842" t="s">
        <v>6801</v>
      </c>
      <c r="C3842" t="s">
        <v>5385</v>
      </c>
      <c r="F3842">
        <v>1</v>
      </c>
      <c r="G3842" s="1" t="s">
        <v>3958</v>
      </c>
      <c r="I3842" s="1" t="s">
        <v>11473</v>
      </c>
      <c r="O3842" t="s">
        <v>22</v>
      </c>
    </row>
    <row r="3843" spans="1:15">
      <c r="A3843" t="s">
        <v>7040</v>
      </c>
      <c r="B3843" t="s">
        <v>7040</v>
      </c>
      <c r="C3843" t="s">
        <v>5385</v>
      </c>
      <c r="F3843">
        <v>1</v>
      </c>
      <c r="G3843" s="1" t="s">
        <v>3959</v>
      </c>
      <c r="I3843" s="1" t="s">
        <v>11473</v>
      </c>
      <c r="O3843" t="s">
        <v>22</v>
      </c>
    </row>
    <row r="3844" spans="1:15">
      <c r="A3844" t="s">
        <v>8690</v>
      </c>
      <c r="B3844" t="s">
        <v>8690</v>
      </c>
      <c r="C3844" t="s">
        <v>5385</v>
      </c>
      <c r="F3844">
        <v>1</v>
      </c>
      <c r="G3844" s="1" t="s">
        <v>3960</v>
      </c>
      <c r="I3844" s="1" t="s">
        <v>11473</v>
      </c>
      <c r="O3844" t="s">
        <v>22</v>
      </c>
    </row>
    <row r="3845" spans="1:15">
      <c r="A3845" t="s">
        <v>9745</v>
      </c>
      <c r="B3845" t="s">
        <v>9745</v>
      </c>
      <c r="C3845" t="s">
        <v>5385</v>
      </c>
      <c r="F3845">
        <v>1</v>
      </c>
      <c r="G3845" s="1" t="s">
        <v>3961</v>
      </c>
      <c r="I3845" s="1" t="s">
        <v>11473</v>
      </c>
      <c r="O3845" t="s">
        <v>22</v>
      </c>
    </row>
    <row r="3846" spans="1:15">
      <c r="A3846" t="s">
        <v>6557</v>
      </c>
      <c r="B3846" t="s">
        <v>6557</v>
      </c>
      <c r="C3846" t="s">
        <v>4408</v>
      </c>
      <c r="F3846">
        <v>1</v>
      </c>
      <c r="G3846" s="1" t="s">
        <v>3962</v>
      </c>
      <c r="I3846" s="1" t="s">
        <v>11473</v>
      </c>
      <c r="O3846" t="s">
        <v>22</v>
      </c>
    </row>
    <row r="3847" spans="1:15">
      <c r="A3847" t="s">
        <v>6574</v>
      </c>
      <c r="B3847" t="s">
        <v>6574</v>
      </c>
      <c r="C3847" t="s">
        <v>4408</v>
      </c>
      <c r="F3847">
        <v>1</v>
      </c>
      <c r="G3847" s="1" t="s">
        <v>3963</v>
      </c>
      <c r="I3847" s="1" t="s">
        <v>11473</v>
      </c>
      <c r="O3847" t="s">
        <v>22</v>
      </c>
    </row>
    <row r="3848" spans="1:15">
      <c r="A3848" t="s">
        <v>8771</v>
      </c>
      <c r="B3848" t="s">
        <v>8771</v>
      </c>
      <c r="C3848" t="s">
        <v>4408</v>
      </c>
      <c r="F3848">
        <v>1</v>
      </c>
      <c r="G3848" s="1" t="s">
        <v>3964</v>
      </c>
      <c r="I3848" s="1" t="s">
        <v>11473</v>
      </c>
      <c r="O3848" t="s">
        <v>22</v>
      </c>
    </row>
    <row r="3849" spans="1:15">
      <c r="A3849" t="s">
        <v>8803</v>
      </c>
      <c r="B3849" t="s">
        <v>8803</v>
      </c>
      <c r="C3849" t="s">
        <v>4408</v>
      </c>
      <c r="F3849">
        <v>1</v>
      </c>
      <c r="G3849" s="1" t="s">
        <v>3965</v>
      </c>
      <c r="I3849" s="1" t="s">
        <v>11473</v>
      </c>
      <c r="O3849" t="s">
        <v>22</v>
      </c>
    </row>
    <row r="3850" spans="1:15">
      <c r="A3850" t="s">
        <v>11295</v>
      </c>
      <c r="B3850" t="s">
        <v>11295</v>
      </c>
      <c r="C3850" t="s">
        <v>4408</v>
      </c>
      <c r="F3850">
        <v>1</v>
      </c>
      <c r="G3850" s="1" t="s">
        <v>3966</v>
      </c>
      <c r="I3850" s="1" t="s">
        <v>11473</v>
      </c>
      <c r="O3850" t="s">
        <v>22</v>
      </c>
    </row>
    <row r="3851" spans="1:15">
      <c r="A3851" t="s">
        <v>5842</v>
      </c>
      <c r="B3851" t="s">
        <v>5842</v>
      </c>
      <c r="C3851" t="s">
        <v>5342</v>
      </c>
      <c r="F3851">
        <v>1</v>
      </c>
      <c r="G3851" s="1" t="s">
        <v>3967</v>
      </c>
      <c r="I3851" s="1" t="s">
        <v>11473</v>
      </c>
      <c r="O3851" t="s">
        <v>22</v>
      </c>
    </row>
    <row r="3852" spans="1:15">
      <c r="A3852" t="s">
        <v>8661</v>
      </c>
      <c r="B3852" t="s">
        <v>8661</v>
      </c>
      <c r="C3852" t="s">
        <v>5342</v>
      </c>
      <c r="F3852">
        <v>1</v>
      </c>
      <c r="G3852" s="1" t="s">
        <v>3968</v>
      </c>
      <c r="I3852" s="1" t="s">
        <v>11473</v>
      </c>
      <c r="O3852" t="s">
        <v>22</v>
      </c>
    </row>
    <row r="3853" spans="1:15">
      <c r="A3853" t="s">
        <v>10515</v>
      </c>
      <c r="B3853" t="s">
        <v>10515</v>
      </c>
      <c r="C3853" t="s">
        <v>5342</v>
      </c>
      <c r="F3853">
        <v>1</v>
      </c>
      <c r="G3853" s="1" t="s">
        <v>3969</v>
      </c>
      <c r="I3853" s="1" t="s">
        <v>11473</v>
      </c>
      <c r="O3853" t="s">
        <v>22</v>
      </c>
    </row>
    <row r="3854" spans="1:15">
      <c r="A3854" t="s">
        <v>6169</v>
      </c>
      <c r="B3854" t="s">
        <v>6169</v>
      </c>
      <c r="C3854" t="s">
        <v>4792</v>
      </c>
      <c r="F3854">
        <v>1</v>
      </c>
      <c r="G3854" s="1" t="s">
        <v>3970</v>
      </c>
      <c r="I3854" s="1" t="s">
        <v>11473</v>
      </c>
      <c r="O3854" t="s">
        <v>22</v>
      </c>
    </row>
    <row r="3855" spans="1:15">
      <c r="A3855" t="s">
        <v>8182</v>
      </c>
      <c r="B3855" t="s">
        <v>8182</v>
      </c>
      <c r="C3855" t="s">
        <v>4792</v>
      </c>
      <c r="F3855">
        <v>1</v>
      </c>
      <c r="G3855" s="1" t="s">
        <v>3971</v>
      </c>
      <c r="I3855" s="1" t="s">
        <v>11473</v>
      </c>
      <c r="O3855" t="s">
        <v>22</v>
      </c>
    </row>
    <row r="3856" spans="1:15">
      <c r="A3856" t="s">
        <v>9166</v>
      </c>
      <c r="B3856" t="s">
        <v>9166</v>
      </c>
      <c r="C3856" t="s">
        <v>4792</v>
      </c>
      <c r="F3856">
        <v>1</v>
      </c>
      <c r="G3856" s="1" t="s">
        <v>3972</v>
      </c>
      <c r="I3856" s="1" t="s">
        <v>11473</v>
      </c>
      <c r="O3856" t="s">
        <v>22</v>
      </c>
    </row>
    <row r="3857" spans="1:15">
      <c r="A3857" t="s">
        <v>9726</v>
      </c>
      <c r="B3857" t="s">
        <v>9726</v>
      </c>
      <c r="C3857" t="s">
        <v>4792</v>
      </c>
      <c r="F3857">
        <v>1</v>
      </c>
      <c r="G3857" s="1" t="s">
        <v>3973</v>
      </c>
      <c r="I3857" s="1" t="s">
        <v>11473</v>
      </c>
      <c r="O3857" t="s">
        <v>22</v>
      </c>
    </row>
    <row r="3858" spans="1:15">
      <c r="A3858" t="s">
        <v>10187</v>
      </c>
      <c r="B3858" t="s">
        <v>10187</v>
      </c>
      <c r="C3858" t="s">
        <v>4792</v>
      </c>
      <c r="F3858">
        <v>1</v>
      </c>
      <c r="G3858" s="1" t="s">
        <v>3974</v>
      </c>
      <c r="I3858" s="1" t="s">
        <v>11473</v>
      </c>
      <c r="O3858" t="s">
        <v>22</v>
      </c>
    </row>
    <row r="3859" spans="1:15">
      <c r="A3859" t="s">
        <v>7219</v>
      </c>
      <c r="B3859" t="s">
        <v>7219</v>
      </c>
      <c r="C3859" t="s">
        <v>4437</v>
      </c>
      <c r="F3859">
        <v>1</v>
      </c>
      <c r="G3859" s="1" t="s">
        <v>3975</v>
      </c>
      <c r="I3859" s="1" t="s">
        <v>11473</v>
      </c>
      <c r="O3859" t="s">
        <v>22</v>
      </c>
    </row>
    <row r="3860" spans="1:15">
      <c r="A3860" t="s">
        <v>5435</v>
      </c>
      <c r="B3860" t="s">
        <v>5435</v>
      </c>
      <c r="C3860" t="s">
        <v>4353</v>
      </c>
      <c r="F3860">
        <v>1</v>
      </c>
      <c r="G3860" s="1" t="s">
        <v>3976</v>
      </c>
      <c r="I3860" s="1" t="s">
        <v>11473</v>
      </c>
      <c r="O3860" t="s">
        <v>22</v>
      </c>
    </row>
    <row r="3861" spans="1:15">
      <c r="A3861" t="s">
        <v>8293</v>
      </c>
      <c r="B3861" t="s">
        <v>8293</v>
      </c>
      <c r="C3861" t="s">
        <v>4353</v>
      </c>
      <c r="F3861">
        <v>1</v>
      </c>
      <c r="G3861" s="1" t="s">
        <v>3977</v>
      </c>
      <c r="I3861" s="1" t="s">
        <v>11473</v>
      </c>
      <c r="O3861" t="s">
        <v>22</v>
      </c>
    </row>
    <row r="3862" spans="1:15">
      <c r="A3862" t="s">
        <v>9579</v>
      </c>
      <c r="B3862" t="s">
        <v>9579</v>
      </c>
      <c r="C3862" t="s">
        <v>4353</v>
      </c>
      <c r="F3862">
        <v>1</v>
      </c>
      <c r="G3862" s="1" t="s">
        <v>3978</v>
      </c>
      <c r="I3862" s="1" t="s">
        <v>11473</v>
      </c>
      <c r="O3862" t="s">
        <v>22</v>
      </c>
    </row>
    <row r="3863" spans="1:15">
      <c r="A3863" t="s">
        <v>8759</v>
      </c>
      <c r="B3863" t="s">
        <v>8759</v>
      </c>
      <c r="C3863" t="s">
        <v>5269</v>
      </c>
      <c r="F3863">
        <v>1</v>
      </c>
      <c r="G3863" s="1" t="s">
        <v>3979</v>
      </c>
      <c r="I3863" s="1" t="s">
        <v>11473</v>
      </c>
      <c r="O3863" t="s">
        <v>22</v>
      </c>
    </row>
    <row r="3864" spans="1:15">
      <c r="A3864" t="s">
        <v>7169</v>
      </c>
      <c r="B3864" t="s">
        <v>7169</v>
      </c>
      <c r="C3864" t="s">
        <v>7170</v>
      </c>
      <c r="F3864">
        <v>1</v>
      </c>
      <c r="G3864" s="1" t="s">
        <v>3980</v>
      </c>
      <c r="I3864" s="1" t="s">
        <v>11473</v>
      </c>
      <c r="O3864" t="s">
        <v>22</v>
      </c>
    </row>
    <row r="3865" spans="1:15">
      <c r="A3865" t="s">
        <v>9464</v>
      </c>
      <c r="B3865" t="s">
        <v>9464</v>
      </c>
      <c r="C3865" t="s">
        <v>9465</v>
      </c>
      <c r="F3865">
        <v>1</v>
      </c>
      <c r="G3865" s="1" t="s">
        <v>3981</v>
      </c>
      <c r="I3865" s="1" t="s">
        <v>11473</v>
      </c>
      <c r="O3865" t="s">
        <v>22</v>
      </c>
    </row>
    <row r="3866" spans="1:15">
      <c r="A3866" t="s">
        <v>8482</v>
      </c>
      <c r="B3866" t="s">
        <v>8482</v>
      </c>
      <c r="C3866" t="s">
        <v>8483</v>
      </c>
      <c r="F3866">
        <v>1</v>
      </c>
      <c r="G3866" s="1" t="s">
        <v>3982</v>
      </c>
      <c r="I3866" s="1" t="s">
        <v>11473</v>
      </c>
      <c r="O3866" t="s">
        <v>22</v>
      </c>
    </row>
    <row r="3867" spans="1:15">
      <c r="A3867" t="s">
        <v>11203</v>
      </c>
      <c r="B3867" t="s">
        <v>11203</v>
      </c>
      <c r="C3867" t="s">
        <v>4963</v>
      </c>
      <c r="F3867">
        <v>1</v>
      </c>
      <c r="G3867" s="1" t="s">
        <v>3983</v>
      </c>
      <c r="I3867" s="1" t="s">
        <v>11473</v>
      </c>
      <c r="O3867" t="s">
        <v>22</v>
      </c>
    </row>
    <row r="3868" spans="1:15">
      <c r="A3868" t="s">
        <v>10567</v>
      </c>
      <c r="B3868" t="s">
        <v>10567</v>
      </c>
      <c r="C3868" t="s">
        <v>4431</v>
      </c>
      <c r="F3868">
        <v>1</v>
      </c>
      <c r="G3868" s="1" t="s">
        <v>3984</v>
      </c>
      <c r="I3868" s="1" t="s">
        <v>11473</v>
      </c>
      <c r="O3868" t="s">
        <v>22</v>
      </c>
    </row>
    <row r="3869" spans="1:15">
      <c r="A3869" t="s">
        <v>9595</v>
      </c>
      <c r="B3869" t="s">
        <v>9595</v>
      </c>
      <c r="C3869" t="s">
        <v>9596</v>
      </c>
      <c r="F3869">
        <v>1</v>
      </c>
      <c r="G3869" s="1" t="s">
        <v>3985</v>
      </c>
      <c r="I3869" s="1" t="s">
        <v>11473</v>
      </c>
      <c r="O3869" t="s">
        <v>22</v>
      </c>
    </row>
    <row r="3870" spans="1:15">
      <c r="A3870" t="s">
        <v>8479</v>
      </c>
      <c r="B3870" t="s">
        <v>8479</v>
      </c>
      <c r="C3870" t="s">
        <v>4438</v>
      </c>
      <c r="F3870">
        <v>1</v>
      </c>
      <c r="G3870" s="1" t="s">
        <v>3986</v>
      </c>
      <c r="I3870" s="1" t="s">
        <v>11473</v>
      </c>
      <c r="O3870" t="s">
        <v>22</v>
      </c>
    </row>
    <row r="3871" spans="1:15">
      <c r="A3871" t="s">
        <v>7009</v>
      </c>
      <c r="B3871" t="s">
        <v>7009</v>
      </c>
      <c r="C3871" t="s">
        <v>7010</v>
      </c>
      <c r="F3871">
        <v>1</v>
      </c>
      <c r="G3871" s="1" t="s">
        <v>3987</v>
      </c>
      <c r="I3871" s="1" t="s">
        <v>11473</v>
      </c>
      <c r="O3871" t="s">
        <v>22</v>
      </c>
    </row>
    <row r="3872" spans="1:15">
      <c r="A3872" t="s">
        <v>5938</v>
      </c>
      <c r="B3872" t="s">
        <v>5938</v>
      </c>
      <c r="C3872" t="s">
        <v>5259</v>
      </c>
      <c r="F3872">
        <v>1</v>
      </c>
      <c r="G3872" s="1" t="s">
        <v>3988</v>
      </c>
      <c r="I3872" s="1" t="s">
        <v>11473</v>
      </c>
      <c r="O3872" t="s">
        <v>22</v>
      </c>
    </row>
    <row r="3873" spans="1:15">
      <c r="A3873" t="s">
        <v>6820</v>
      </c>
      <c r="B3873" t="s">
        <v>6820</v>
      </c>
      <c r="C3873" t="s">
        <v>5259</v>
      </c>
      <c r="F3873">
        <v>1</v>
      </c>
      <c r="G3873" s="1" t="s">
        <v>3989</v>
      </c>
      <c r="I3873" s="1" t="s">
        <v>11473</v>
      </c>
      <c r="O3873" t="s">
        <v>22</v>
      </c>
    </row>
    <row r="3874" spans="1:15">
      <c r="A3874" t="s">
        <v>9511</v>
      </c>
      <c r="B3874" t="s">
        <v>9511</v>
      </c>
      <c r="C3874" t="s">
        <v>5259</v>
      </c>
      <c r="F3874">
        <v>1</v>
      </c>
      <c r="G3874" s="1" t="s">
        <v>3990</v>
      </c>
      <c r="I3874" s="1" t="s">
        <v>11473</v>
      </c>
      <c r="O3874" t="s">
        <v>22</v>
      </c>
    </row>
    <row r="3875" spans="1:15">
      <c r="A3875" t="s">
        <v>6908</v>
      </c>
      <c r="B3875" t="s">
        <v>6908</v>
      </c>
      <c r="C3875" t="s">
        <v>4350</v>
      </c>
      <c r="F3875">
        <v>1</v>
      </c>
      <c r="G3875" s="1" t="s">
        <v>3991</v>
      </c>
      <c r="I3875" s="1" t="s">
        <v>11473</v>
      </c>
      <c r="O3875" t="s">
        <v>22</v>
      </c>
    </row>
    <row r="3876" spans="1:15">
      <c r="A3876" t="s">
        <v>10518</v>
      </c>
      <c r="B3876" t="s">
        <v>10518</v>
      </c>
      <c r="C3876" t="s">
        <v>4350</v>
      </c>
      <c r="F3876">
        <v>1</v>
      </c>
      <c r="G3876" s="1" t="s">
        <v>3992</v>
      </c>
      <c r="I3876" s="1" t="s">
        <v>11473</v>
      </c>
      <c r="O3876" t="s">
        <v>22</v>
      </c>
    </row>
    <row r="3877" spans="1:15">
      <c r="A3877" t="s">
        <v>7344</v>
      </c>
      <c r="B3877" t="s">
        <v>7344</v>
      </c>
      <c r="C3877" t="s">
        <v>7345</v>
      </c>
      <c r="F3877">
        <v>1</v>
      </c>
      <c r="G3877" s="1" t="s">
        <v>3993</v>
      </c>
      <c r="I3877" s="1" t="s">
        <v>11473</v>
      </c>
      <c r="O3877" t="s">
        <v>22</v>
      </c>
    </row>
    <row r="3878" spans="1:15">
      <c r="A3878" t="s">
        <v>10005</v>
      </c>
      <c r="B3878" t="s">
        <v>10005</v>
      </c>
      <c r="C3878" t="s">
        <v>4409</v>
      </c>
      <c r="F3878">
        <v>1</v>
      </c>
      <c r="G3878" s="1" t="s">
        <v>3994</v>
      </c>
      <c r="I3878" s="1" t="s">
        <v>11473</v>
      </c>
      <c r="O3878" t="s">
        <v>22</v>
      </c>
    </row>
    <row r="3879" spans="1:15">
      <c r="A3879" t="s">
        <v>7309</v>
      </c>
      <c r="B3879" t="s">
        <v>7309</v>
      </c>
      <c r="C3879" t="s">
        <v>7310</v>
      </c>
      <c r="F3879">
        <v>1</v>
      </c>
      <c r="G3879" s="1" t="s">
        <v>3995</v>
      </c>
      <c r="I3879" s="1" t="s">
        <v>11473</v>
      </c>
      <c r="O3879" t="s">
        <v>22</v>
      </c>
    </row>
    <row r="3880" spans="1:15">
      <c r="A3880" t="s">
        <v>6815</v>
      </c>
      <c r="B3880" t="s">
        <v>6815</v>
      </c>
      <c r="C3880" t="s">
        <v>4446</v>
      </c>
      <c r="F3880">
        <v>1</v>
      </c>
      <c r="G3880" s="1" t="s">
        <v>3996</v>
      </c>
      <c r="I3880" s="1" t="s">
        <v>11473</v>
      </c>
      <c r="O3880" t="s">
        <v>22</v>
      </c>
    </row>
    <row r="3881" spans="1:15">
      <c r="A3881" t="s">
        <v>9422</v>
      </c>
      <c r="B3881" t="s">
        <v>9422</v>
      </c>
      <c r="C3881" t="s">
        <v>4137</v>
      </c>
      <c r="F3881">
        <v>1</v>
      </c>
      <c r="G3881" s="1" t="s">
        <v>3997</v>
      </c>
      <c r="I3881" s="1" t="s">
        <v>11473</v>
      </c>
      <c r="O3881" t="s">
        <v>22</v>
      </c>
    </row>
    <row r="3882" spans="1:15">
      <c r="A3882" t="s">
        <v>9603</v>
      </c>
      <c r="B3882" t="s">
        <v>9603</v>
      </c>
      <c r="C3882" t="s">
        <v>4137</v>
      </c>
      <c r="F3882">
        <v>1</v>
      </c>
      <c r="G3882" s="1" t="s">
        <v>3998</v>
      </c>
      <c r="I3882" s="1" t="s">
        <v>11473</v>
      </c>
      <c r="O3882" t="s">
        <v>22</v>
      </c>
    </row>
    <row r="3883" spans="1:15">
      <c r="A3883" t="s">
        <v>9766</v>
      </c>
      <c r="B3883" t="s">
        <v>9766</v>
      </c>
      <c r="C3883" t="s">
        <v>4137</v>
      </c>
      <c r="F3883">
        <v>1</v>
      </c>
      <c r="G3883" s="1" t="s">
        <v>3999</v>
      </c>
      <c r="I3883" s="1" t="s">
        <v>11473</v>
      </c>
      <c r="O3883" t="s">
        <v>22</v>
      </c>
    </row>
    <row r="3884" spans="1:15">
      <c r="A3884" t="s">
        <v>10666</v>
      </c>
      <c r="B3884" t="s">
        <v>10666</v>
      </c>
      <c r="C3884" t="s">
        <v>10667</v>
      </c>
      <c r="F3884">
        <v>1</v>
      </c>
      <c r="G3884" s="1" t="s">
        <v>4000</v>
      </c>
      <c r="I3884" s="1" t="s">
        <v>11473</v>
      </c>
      <c r="O3884" t="s">
        <v>22</v>
      </c>
    </row>
    <row r="3885" spans="1:15">
      <c r="A3885" t="s">
        <v>7159</v>
      </c>
      <c r="B3885" t="s">
        <v>7159</v>
      </c>
      <c r="C3885" t="s">
        <v>4459</v>
      </c>
      <c r="F3885">
        <v>1</v>
      </c>
      <c r="G3885" s="1" t="s">
        <v>4001</v>
      </c>
      <c r="I3885" s="1" t="s">
        <v>11473</v>
      </c>
      <c r="O3885" t="s">
        <v>22</v>
      </c>
    </row>
    <row r="3886" spans="1:15">
      <c r="A3886" t="s">
        <v>9485</v>
      </c>
      <c r="B3886" t="s">
        <v>9485</v>
      </c>
      <c r="C3886" t="s">
        <v>4459</v>
      </c>
      <c r="F3886">
        <v>1</v>
      </c>
      <c r="G3886" s="1" t="s">
        <v>4002</v>
      </c>
      <c r="I3886" s="1" t="s">
        <v>11473</v>
      </c>
      <c r="O3886" t="s">
        <v>22</v>
      </c>
    </row>
    <row r="3887" spans="1:15">
      <c r="A3887" t="s">
        <v>8710</v>
      </c>
      <c r="B3887" t="s">
        <v>8710</v>
      </c>
      <c r="C3887" t="s">
        <v>8711</v>
      </c>
      <c r="F3887">
        <v>1</v>
      </c>
      <c r="G3887" s="1" t="s">
        <v>4003</v>
      </c>
      <c r="I3887" s="1" t="s">
        <v>11473</v>
      </c>
      <c r="O3887" t="s">
        <v>22</v>
      </c>
    </row>
    <row r="3888" spans="1:15">
      <c r="A3888" t="s">
        <v>6518</v>
      </c>
      <c r="B3888" t="s">
        <v>6518</v>
      </c>
      <c r="C3888" t="s">
        <v>5158</v>
      </c>
      <c r="F3888">
        <v>1</v>
      </c>
      <c r="G3888" s="1" t="s">
        <v>4004</v>
      </c>
      <c r="I3888" s="1" t="s">
        <v>11473</v>
      </c>
      <c r="O3888" t="s">
        <v>22</v>
      </c>
    </row>
    <row r="3889" spans="1:15">
      <c r="A3889" t="s">
        <v>7352</v>
      </c>
      <c r="B3889" t="s">
        <v>7352</v>
      </c>
      <c r="C3889" t="s">
        <v>5158</v>
      </c>
      <c r="F3889">
        <v>1</v>
      </c>
      <c r="G3889" s="1" t="s">
        <v>4005</v>
      </c>
      <c r="I3889" s="1" t="s">
        <v>11473</v>
      </c>
      <c r="O3889" t="s">
        <v>22</v>
      </c>
    </row>
    <row r="3890" spans="1:15">
      <c r="A3890" t="s">
        <v>6971</v>
      </c>
      <c r="B3890" t="s">
        <v>6971</v>
      </c>
      <c r="C3890" t="s">
        <v>6972</v>
      </c>
      <c r="F3890">
        <v>1</v>
      </c>
      <c r="G3890" s="1" t="s">
        <v>4006</v>
      </c>
      <c r="I3890" s="1" t="s">
        <v>11473</v>
      </c>
      <c r="O3890" t="s">
        <v>22</v>
      </c>
    </row>
    <row r="3891" spans="1:15">
      <c r="A3891" t="s">
        <v>10052</v>
      </c>
      <c r="B3891" t="s">
        <v>10052</v>
      </c>
      <c r="C3891" t="s">
        <v>6972</v>
      </c>
      <c r="F3891">
        <v>1</v>
      </c>
      <c r="G3891" s="1" t="s">
        <v>4007</v>
      </c>
      <c r="I3891" s="1" t="s">
        <v>11473</v>
      </c>
      <c r="O3891" t="s">
        <v>22</v>
      </c>
    </row>
    <row r="3892" spans="1:15">
      <c r="A3892" t="s">
        <v>11466</v>
      </c>
      <c r="B3892" t="s">
        <v>11466</v>
      </c>
      <c r="C3892" t="s">
        <v>4943</v>
      </c>
      <c r="F3892">
        <v>1</v>
      </c>
      <c r="G3892" s="1" t="s">
        <v>4008</v>
      </c>
      <c r="I3892" s="1" t="s">
        <v>11473</v>
      </c>
      <c r="O3892" t="s">
        <v>22</v>
      </c>
    </row>
    <row r="3893" spans="1:15">
      <c r="A3893" t="s">
        <v>7019</v>
      </c>
      <c r="B3893" t="s">
        <v>7019</v>
      </c>
      <c r="C3893" t="s">
        <v>4838</v>
      </c>
      <c r="F3893">
        <v>1</v>
      </c>
      <c r="G3893" s="1" t="s">
        <v>4009</v>
      </c>
      <c r="I3893" s="1" t="s">
        <v>11473</v>
      </c>
      <c r="O3893" t="s">
        <v>22</v>
      </c>
    </row>
    <row r="3894" spans="1:15">
      <c r="A3894" t="s">
        <v>5860</v>
      </c>
      <c r="B3894" t="s">
        <v>5860</v>
      </c>
      <c r="C3894" t="s">
        <v>5062</v>
      </c>
      <c r="F3894">
        <v>1</v>
      </c>
      <c r="G3894" s="1" t="s">
        <v>4010</v>
      </c>
      <c r="I3894" s="1" t="s">
        <v>11473</v>
      </c>
      <c r="O3894" t="s">
        <v>22</v>
      </c>
    </row>
    <row r="3895" spans="1:15">
      <c r="A3895" t="s">
        <v>7358</v>
      </c>
      <c r="B3895" t="s">
        <v>7358</v>
      </c>
      <c r="C3895" t="s">
        <v>5062</v>
      </c>
      <c r="F3895">
        <v>1</v>
      </c>
      <c r="G3895" s="1" t="s">
        <v>4011</v>
      </c>
      <c r="I3895" s="1" t="s">
        <v>11473</v>
      </c>
      <c r="O3895" t="s">
        <v>22</v>
      </c>
    </row>
    <row r="3896" spans="1:15">
      <c r="A3896" t="s">
        <v>9043</v>
      </c>
      <c r="B3896" t="s">
        <v>9043</v>
      </c>
      <c r="C3896" t="s">
        <v>5062</v>
      </c>
      <c r="F3896">
        <v>1</v>
      </c>
      <c r="G3896" s="1" t="s">
        <v>4012</v>
      </c>
      <c r="I3896" s="1" t="s">
        <v>11473</v>
      </c>
      <c r="O3896" t="s">
        <v>22</v>
      </c>
    </row>
    <row r="3897" spans="1:15">
      <c r="A3897" t="s">
        <v>6128</v>
      </c>
      <c r="B3897" t="s">
        <v>6128</v>
      </c>
      <c r="C3897" t="s">
        <v>4821</v>
      </c>
      <c r="F3897">
        <v>1</v>
      </c>
      <c r="G3897" s="1" t="s">
        <v>4013</v>
      </c>
      <c r="I3897" s="1" t="s">
        <v>11473</v>
      </c>
      <c r="O3897" t="s">
        <v>22</v>
      </c>
    </row>
    <row r="3898" spans="1:15">
      <c r="A3898" t="s">
        <v>10495</v>
      </c>
      <c r="B3898" t="s">
        <v>10495</v>
      </c>
      <c r="C3898" t="s">
        <v>10496</v>
      </c>
      <c r="F3898">
        <v>1</v>
      </c>
      <c r="G3898" s="1" t="s">
        <v>4014</v>
      </c>
      <c r="I3898" s="1" t="s">
        <v>11473</v>
      </c>
      <c r="O3898" t="s">
        <v>22</v>
      </c>
    </row>
    <row r="3899" spans="1:15">
      <c r="A3899" t="s">
        <v>7302</v>
      </c>
      <c r="B3899" t="s">
        <v>7302</v>
      </c>
      <c r="C3899" t="s">
        <v>4794</v>
      </c>
      <c r="F3899">
        <v>1</v>
      </c>
      <c r="G3899" s="1" t="s">
        <v>4015</v>
      </c>
      <c r="I3899" s="1" t="s">
        <v>11473</v>
      </c>
      <c r="O3899" t="s">
        <v>22</v>
      </c>
    </row>
    <row r="3900" spans="1:15">
      <c r="A3900" t="s">
        <v>9505</v>
      </c>
      <c r="B3900" t="s">
        <v>9505</v>
      </c>
      <c r="C3900" t="s">
        <v>4794</v>
      </c>
      <c r="F3900">
        <v>1</v>
      </c>
      <c r="G3900" s="1" t="s">
        <v>4016</v>
      </c>
      <c r="I3900" s="1" t="s">
        <v>11473</v>
      </c>
      <c r="O3900" t="s">
        <v>22</v>
      </c>
    </row>
    <row r="3901" spans="1:15">
      <c r="A3901" t="s">
        <v>6375</v>
      </c>
      <c r="B3901" t="s">
        <v>6375</v>
      </c>
      <c r="C3901" t="s">
        <v>5015</v>
      </c>
      <c r="F3901">
        <v>1</v>
      </c>
      <c r="G3901" s="1" t="s">
        <v>4017</v>
      </c>
      <c r="I3901" s="1" t="s">
        <v>11473</v>
      </c>
      <c r="O3901" t="s">
        <v>22</v>
      </c>
    </row>
    <row r="3902" spans="1:15">
      <c r="A3902" t="s">
        <v>10966</v>
      </c>
      <c r="B3902" t="s">
        <v>10966</v>
      </c>
      <c r="C3902" t="s">
        <v>10967</v>
      </c>
      <c r="F3902">
        <v>1</v>
      </c>
      <c r="G3902" s="1" t="s">
        <v>4018</v>
      </c>
      <c r="I3902" s="1" t="s">
        <v>11473</v>
      </c>
      <c r="O3902" t="s">
        <v>22</v>
      </c>
    </row>
    <row r="3903" spans="1:15">
      <c r="A3903" t="s">
        <v>9881</v>
      </c>
      <c r="B3903" t="s">
        <v>9881</v>
      </c>
      <c r="C3903" t="s">
        <v>4878</v>
      </c>
      <c r="F3903">
        <v>1</v>
      </c>
      <c r="G3903" s="1" t="s">
        <v>4019</v>
      </c>
      <c r="I3903" s="1" t="s">
        <v>11473</v>
      </c>
      <c r="O3903" t="s">
        <v>22</v>
      </c>
    </row>
    <row r="3904" spans="1:15">
      <c r="A3904" t="s">
        <v>10023</v>
      </c>
      <c r="B3904" t="s">
        <v>10023</v>
      </c>
      <c r="C3904" t="s">
        <v>4878</v>
      </c>
      <c r="F3904">
        <v>1</v>
      </c>
      <c r="G3904" s="1" t="s">
        <v>4020</v>
      </c>
      <c r="I3904" s="1" t="s">
        <v>11473</v>
      </c>
      <c r="O3904" t="s">
        <v>22</v>
      </c>
    </row>
    <row r="3905" spans="1:15">
      <c r="A3905" t="s">
        <v>7290</v>
      </c>
      <c r="B3905" t="s">
        <v>7290</v>
      </c>
      <c r="C3905" t="s">
        <v>7291</v>
      </c>
      <c r="F3905">
        <v>1</v>
      </c>
      <c r="G3905" s="1" t="s">
        <v>4021</v>
      </c>
      <c r="I3905" s="1" t="s">
        <v>11473</v>
      </c>
      <c r="O3905" t="s">
        <v>22</v>
      </c>
    </row>
    <row r="3906" spans="1:15">
      <c r="A3906" t="s">
        <v>7355</v>
      </c>
      <c r="B3906" t="s">
        <v>7355</v>
      </c>
      <c r="C3906" t="s">
        <v>7291</v>
      </c>
      <c r="F3906">
        <v>1</v>
      </c>
      <c r="G3906" s="1" t="s">
        <v>11474</v>
      </c>
      <c r="I3906" s="1" t="s">
        <v>11473</v>
      </c>
      <c r="O3906" t="s">
        <v>22</v>
      </c>
    </row>
    <row r="3907" spans="1:15">
      <c r="A3907" t="s">
        <v>10219</v>
      </c>
      <c r="B3907" t="s">
        <v>10219</v>
      </c>
      <c r="C3907" t="s">
        <v>7291</v>
      </c>
      <c r="F3907">
        <v>1</v>
      </c>
      <c r="G3907" s="1" t="s">
        <v>11475</v>
      </c>
      <c r="I3907" s="1" t="s">
        <v>11473</v>
      </c>
      <c r="O3907" t="s">
        <v>22</v>
      </c>
    </row>
    <row r="3908" spans="1:15">
      <c r="A3908" t="s">
        <v>9178</v>
      </c>
      <c r="B3908" t="s">
        <v>9178</v>
      </c>
      <c r="C3908" t="s">
        <v>9179</v>
      </c>
      <c r="F3908">
        <v>1</v>
      </c>
      <c r="G3908" s="1" t="s">
        <v>11476</v>
      </c>
      <c r="I3908" s="1" t="s">
        <v>11473</v>
      </c>
      <c r="O3908" t="s">
        <v>22</v>
      </c>
    </row>
    <row r="3909" spans="1:15">
      <c r="A3909" t="s">
        <v>4803</v>
      </c>
      <c r="B3909" t="s">
        <v>4803</v>
      </c>
      <c r="C3909" t="s">
        <v>9179</v>
      </c>
      <c r="F3909">
        <v>1</v>
      </c>
      <c r="G3909" s="1" t="s">
        <v>11477</v>
      </c>
      <c r="I3909" s="1" t="s">
        <v>11473</v>
      </c>
      <c r="O3909" t="s">
        <v>22</v>
      </c>
    </row>
    <row r="3910" spans="1:15">
      <c r="A3910" t="s">
        <v>11308</v>
      </c>
      <c r="B3910" t="s">
        <v>11308</v>
      </c>
      <c r="C3910" t="s">
        <v>9179</v>
      </c>
      <c r="F3910">
        <v>1</v>
      </c>
      <c r="G3910" s="1" t="s">
        <v>11478</v>
      </c>
      <c r="I3910" s="1" t="s">
        <v>11473</v>
      </c>
      <c r="O3910" t="s">
        <v>22</v>
      </c>
    </row>
    <row r="3911" spans="1:15">
      <c r="A3911" t="s">
        <v>9460</v>
      </c>
      <c r="B3911" t="s">
        <v>9460</v>
      </c>
      <c r="C3911" t="s">
        <v>5387</v>
      </c>
      <c r="F3911">
        <v>1</v>
      </c>
      <c r="G3911" s="1" t="s">
        <v>11479</v>
      </c>
      <c r="I3911" s="1" t="s">
        <v>11473</v>
      </c>
      <c r="O3911" t="s">
        <v>22</v>
      </c>
    </row>
    <row r="3912" spans="1:15">
      <c r="A3912" t="s">
        <v>9999</v>
      </c>
      <c r="B3912" t="s">
        <v>9999</v>
      </c>
      <c r="C3912" t="s">
        <v>5387</v>
      </c>
      <c r="F3912">
        <v>1</v>
      </c>
      <c r="G3912" s="1" t="s">
        <v>11480</v>
      </c>
      <c r="I3912" s="1" t="s">
        <v>11473</v>
      </c>
      <c r="O3912" t="s">
        <v>22</v>
      </c>
    </row>
    <row r="3913" spans="1:15">
      <c r="A3913" t="s">
        <v>7305</v>
      </c>
      <c r="B3913" t="s">
        <v>7305</v>
      </c>
      <c r="C3913" t="s">
        <v>5149</v>
      </c>
      <c r="F3913">
        <v>1</v>
      </c>
      <c r="G3913" s="1" t="s">
        <v>11481</v>
      </c>
      <c r="I3913" s="1" t="s">
        <v>11473</v>
      </c>
      <c r="O3913" t="s">
        <v>22</v>
      </c>
    </row>
    <row r="3914" spans="1:15">
      <c r="A3914" t="s">
        <v>9095</v>
      </c>
      <c r="B3914" t="s">
        <v>9095</v>
      </c>
      <c r="C3914" t="s">
        <v>5149</v>
      </c>
      <c r="F3914">
        <v>1</v>
      </c>
      <c r="G3914" s="1" t="s">
        <v>11482</v>
      </c>
      <c r="I3914" s="1" t="s">
        <v>11473</v>
      </c>
      <c r="O3914" t="s">
        <v>22</v>
      </c>
    </row>
    <row r="3915" spans="1:15">
      <c r="A3915" t="s">
        <v>7337</v>
      </c>
      <c r="B3915" t="s">
        <v>7337</v>
      </c>
      <c r="C3915" t="s">
        <v>7338</v>
      </c>
      <c r="F3915">
        <v>1</v>
      </c>
      <c r="G3915" s="1" t="s">
        <v>11483</v>
      </c>
      <c r="I3915" s="1" t="s">
        <v>11473</v>
      </c>
      <c r="O3915" t="s">
        <v>22</v>
      </c>
    </row>
    <row r="3916" spans="1:15">
      <c r="A3916" t="s">
        <v>11302</v>
      </c>
      <c r="B3916" t="s">
        <v>11302</v>
      </c>
      <c r="C3916" t="s">
        <v>7338</v>
      </c>
      <c r="F3916">
        <v>1</v>
      </c>
      <c r="G3916" s="1" t="s">
        <v>11484</v>
      </c>
      <c r="I3916" s="1" t="s">
        <v>11473</v>
      </c>
      <c r="O3916" t="s">
        <v>22</v>
      </c>
    </row>
    <row r="3917" spans="1:15">
      <c r="A3917" t="s">
        <v>9458</v>
      </c>
      <c r="B3917" t="s">
        <v>9458</v>
      </c>
      <c r="C3917" t="s">
        <v>4817</v>
      </c>
      <c r="F3917">
        <v>1</v>
      </c>
      <c r="G3917" s="1" t="s">
        <v>11485</v>
      </c>
      <c r="I3917" s="1" t="s">
        <v>11473</v>
      </c>
      <c r="O3917" t="s">
        <v>22</v>
      </c>
    </row>
    <row r="3918" spans="1:15">
      <c r="A3918" t="s">
        <v>6992</v>
      </c>
      <c r="B3918" t="s">
        <v>6992</v>
      </c>
      <c r="C3918" t="s">
        <v>5052</v>
      </c>
      <c r="F3918">
        <v>1</v>
      </c>
      <c r="G3918" s="1" t="s">
        <v>11486</v>
      </c>
      <c r="I3918" s="1" t="s">
        <v>11473</v>
      </c>
      <c r="O3918" t="s">
        <v>22</v>
      </c>
    </row>
    <row r="3919" spans="1:15">
      <c r="A3919" t="s">
        <v>7943</v>
      </c>
      <c r="B3919" t="s">
        <v>7943</v>
      </c>
      <c r="C3919" t="s">
        <v>5052</v>
      </c>
      <c r="F3919">
        <v>1</v>
      </c>
      <c r="G3919" s="1" t="s">
        <v>11487</v>
      </c>
      <c r="I3919" s="1" t="s">
        <v>11473</v>
      </c>
      <c r="O3919" t="s">
        <v>22</v>
      </c>
    </row>
    <row r="3920" spans="1:15">
      <c r="A3920" t="s">
        <v>8289</v>
      </c>
      <c r="B3920" t="s">
        <v>8289</v>
      </c>
      <c r="C3920" t="s">
        <v>5052</v>
      </c>
      <c r="F3920">
        <v>1</v>
      </c>
      <c r="G3920" s="1" t="s">
        <v>11488</v>
      </c>
      <c r="I3920" s="1" t="s">
        <v>11473</v>
      </c>
      <c r="O3920" t="s">
        <v>22</v>
      </c>
    </row>
    <row r="3921" spans="1:15">
      <c r="A3921" t="s">
        <v>7340</v>
      </c>
      <c r="B3921" t="s">
        <v>7340</v>
      </c>
      <c r="C3921" t="s">
        <v>7341</v>
      </c>
      <c r="F3921">
        <v>1</v>
      </c>
      <c r="G3921" s="1" t="s">
        <v>11489</v>
      </c>
      <c r="I3921" s="1" t="s">
        <v>11473</v>
      </c>
      <c r="O3921" t="s">
        <v>22</v>
      </c>
    </row>
    <row r="3922" spans="1:15">
      <c r="A3922" t="s">
        <v>6813</v>
      </c>
      <c r="B3922" t="s">
        <v>6813</v>
      </c>
      <c r="C3922" t="s">
        <v>4970</v>
      </c>
      <c r="F3922">
        <v>1</v>
      </c>
      <c r="G3922" s="1" t="s">
        <v>11490</v>
      </c>
      <c r="I3922" s="1" t="s">
        <v>11473</v>
      </c>
      <c r="O3922" t="s">
        <v>22</v>
      </c>
    </row>
    <row r="3923" spans="1:15">
      <c r="A3923" t="s">
        <v>6573</v>
      </c>
      <c r="B3923" t="s">
        <v>6573</v>
      </c>
      <c r="C3923" t="s">
        <v>4632</v>
      </c>
      <c r="F3923">
        <v>1</v>
      </c>
      <c r="G3923" s="1" t="s">
        <v>11491</v>
      </c>
      <c r="I3923" s="1" t="s">
        <v>11473</v>
      </c>
      <c r="O3923" t="s">
        <v>22</v>
      </c>
    </row>
    <row r="3924" spans="1:15">
      <c r="A3924" t="s">
        <v>9637</v>
      </c>
      <c r="B3924" t="s">
        <v>9637</v>
      </c>
      <c r="C3924" t="s">
        <v>9638</v>
      </c>
      <c r="F3924">
        <v>1</v>
      </c>
      <c r="G3924" s="1" t="s">
        <v>11492</v>
      </c>
      <c r="I3924" s="1" t="s">
        <v>11473</v>
      </c>
      <c r="O3924" t="s">
        <v>22</v>
      </c>
    </row>
    <row r="3925" spans="1:15">
      <c r="A3925" t="s">
        <v>10059</v>
      </c>
      <c r="B3925" t="s">
        <v>10059</v>
      </c>
      <c r="C3925" t="s">
        <v>5178</v>
      </c>
      <c r="F3925">
        <v>1</v>
      </c>
      <c r="G3925" s="1" t="s">
        <v>11493</v>
      </c>
      <c r="I3925" s="1" t="s">
        <v>11473</v>
      </c>
      <c r="O3925" t="s">
        <v>22</v>
      </c>
    </row>
    <row r="3926" spans="1:15">
      <c r="A3926" t="s">
        <v>8198</v>
      </c>
      <c r="B3926" t="s">
        <v>8198</v>
      </c>
      <c r="C3926" t="s">
        <v>4809</v>
      </c>
      <c r="F3926">
        <v>1</v>
      </c>
      <c r="G3926" s="1" t="s">
        <v>11494</v>
      </c>
      <c r="I3926" s="1" t="s">
        <v>11473</v>
      </c>
      <c r="O3926" t="s">
        <v>22</v>
      </c>
    </row>
    <row r="3927" spans="1:15">
      <c r="A3927" t="s">
        <v>7210</v>
      </c>
      <c r="B3927" t="s">
        <v>7210</v>
      </c>
      <c r="C3927" t="s">
        <v>7211</v>
      </c>
      <c r="F3927">
        <v>1</v>
      </c>
      <c r="G3927" s="1" t="s">
        <v>11495</v>
      </c>
      <c r="I3927" s="1" t="s">
        <v>11473</v>
      </c>
      <c r="O3927" t="s">
        <v>22</v>
      </c>
    </row>
    <row r="3928" spans="1:15">
      <c r="A3928" t="s">
        <v>10555</v>
      </c>
      <c r="B3928" t="s">
        <v>10555</v>
      </c>
      <c r="C3928" t="s">
        <v>7211</v>
      </c>
      <c r="F3928">
        <v>1</v>
      </c>
      <c r="G3928" s="1" t="s">
        <v>11496</v>
      </c>
      <c r="I3928" s="1" t="s">
        <v>11473</v>
      </c>
      <c r="O3928" t="s">
        <v>22</v>
      </c>
    </row>
    <row r="3929" spans="1:15">
      <c r="A3929" t="s">
        <v>11434</v>
      </c>
      <c r="B3929" t="s">
        <v>11434</v>
      </c>
      <c r="C3929" t="s">
        <v>11435</v>
      </c>
      <c r="F3929">
        <v>1</v>
      </c>
      <c r="G3929" s="1" t="s">
        <v>11497</v>
      </c>
      <c r="I3929" s="1" t="s">
        <v>11473</v>
      </c>
      <c r="O3929" t="s">
        <v>22</v>
      </c>
    </row>
    <row r="3930" spans="1:15">
      <c r="A3930" t="s">
        <v>8519</v>
      </c>
      <c r="B3930" t="s">
        <v>8519</v>
      </c>
      <c r="C3930" t="s">
        <v>8520</v>
      </c>
      <c r="F3930">
        <v>1</v>
      </c>
      <c r="G3930" s="1" t="s">
        <v>11498</v>
      </c>
      <c r="I3930" s="1" t="s">
        <v>11473</v>
      </c>
      <c r="O3930" t="s">
        <v>22</v>
      </c>
    </row>
    <row r="3931" spans="1:15">
      <c r="A3931" t="s">
        <v>9284</v>
      </c>
      <c r="B3931" t="s">
        <v>9284</v>
      </c>
      <c r="C3931" t="s">
        <v>9285</v>
      </c>
      <c r="F3931">
        <v>1</v>
      </c>
      <c r="G3931" s="1" t="s">
        <v>11499</v>
      </c>
      <c r="I3931" s="1" t="s">
        <v>11473</v>
      </c>
      <c r="O3931" t="s">
        <v>22</v>
      </c>
    </row>
    <row r="3932" spans="1:15">
      <c r="A3932" t="s">
        <v>7202</v>
      </c>
      <c r="B3932" t="s">
        <v>7202</v>
      </c>
      <c r="C3932" t="s">
        <v>5308</v>
      </c>
      <c r="F3932">
        <v>1</v>
      </c>
      <c r="G3932" s="1" t="s">
        <v>11500</v>
      </c>
      <c r="I3932" s="1" t="s">
        <v>11473</v>
      </c>
      <c r="O3932" t="s">
        <v>22</v>
      </c>
    </row>
    <row r="3933" spans="1:15">
      <c r="A3933" t="s">
        <v>7303</v>
      </c>
      <c r="B3933" t="s">
        <v>7303</v>
      </c>
      <c r="C3933" t="s">
        <v>7304</v>
      </c>
      <c r="F3933">
        <v>1</v>
      </c>
      <c r="G3933" s="1" t="s">
        <v>11501</v>
      </c>
      <c r="I3933" s="1" t="s">
        <v>11473</v>
      </c>
      <c r="O3933" t="s">
        <v>22</v>
      </c>
    </row>
    <row r="3934" spans="1:15">
      <c r="A3934" t="s">
        <v>4915</v>
      </c>
      <c r="B3934" t="s">
        <v>4915</v>
      </c>
      <c r="C3934" t="s">
        <v>7179</v>
      </c>
      <c r="F3934">
        <v>1</v>
      </c>
      <c r="G3934" s="1" t="s">
        <v>11502</v>
      </c>
      <c r="I3934" s="1" t="s">
        <v>11473</v>
      </c>
      <c r="O3934" t="s">
        <v>22</v>
      </c>
    </row>
    <row r="3935" spans="1:15">
      <c r="A3935" t="s">
        <v>9888</v>
      </c>
      <c r="B3935" t="s">
        <v>9888</v>
      </c>
      <c r="C3935" t="s">
        <v>4795</v>
      </c>
      <c r="F3935">
        <v>1</v>
      </c>
      <c r="G3935" s="1" t="s">
        <v>11503</v>
      </c>
      <c r="I3935" s="1" t="s">
        <v>11473</v>
      </c>
      <c r="O3935" t="s">
        <v>22</v>
      </c>
    </row>
    <row r="3936" spans="1:15">
      <c r="A3936" t="s">
        <v>7330</v>
      </c>
      <c r="B3936" t="s">
        <v>7330</v>
      </c>
      <c r="C3936" t="s">
        <v>4335</v>
      </c>
      <c r="F3936">
        <v>1</v>
      </c>
      <c r="G3936" s="1" t="s">
        <v>11504</v>
      </c>
      <c r="I3936" s="1" t="s">
        <v>11473</v>
      </c>
      <c r="O3936" t="s">
        <v>22</v>
      </c>
    </row>
    <row r="3937" spans="1:15">
      <c r="A3937" t="s">
        <v>7306</v>
      </c>
      <c r="B3937" t="s">
        <v>7306</v>
      </c>
      <c r="C3937" t="s">
        <v>7307</v>
      </c>
      <c r="F3937">
        <v>1</v>
      </c>
      <c r="G3937" s="1" t="s">
        <v>11505</v>
      </c>
      <c r="I3937" s="1" t="s">
        <v>11473</v>
      </c>
      <c r="O3937" t="s">
        <v>22</v>
      </c>
    </row>
    <row r="3938" spans="1:15">
      <c r="A3938" t="s">
        <v>9446</v>
      </c>
      <c r="B3938" t="s">
        <v>9446</v>
      </c>
      <c r="C3938" t="s">
        <v>5142</v>
      </c>
      <c r="F3938">
        <v>1</v>
      </c>
      <c r="G3938" s="1" t="s">
        <v>11506</v>
      </c>
      <c r="I3938" s="1" t="s">
        <v>11473</v>
      </c>
      <c r="O3938" t="s">
        <v>22</v>
      </c>
    </row>
    <row r="3939" spans="1:15">
      <c r="A3939" t="s">
        <v>6814</v>
      </c>
      <c r="B3939" t="s">
        <v>6814</v>
      </c>
      <c r="C3939" t="s">
        <v>5102</v>
      </c>
      <c r="F3939">
        <v>1</v>
      </c>
      <c r="G3939" s="1" t="s">
        <v>11507</v>
      </c>
      <c r="I3939" s="1" t="s">
        <v>11473</v>
      </c>
      <c r="O3939" t="s">
        <v>22</v>
      </c>
    </row>
    <row r="3940" spans="1:15">
      <c r="A3940" t="s">
        <v>9251</v>
      </c>
      <c r="B3940" t="s">
        <v>9251</v>
      </c>
      <c r="C3940" t="s">
        <v>5102</v>
      </c>
      <c r="F3940">
        <v>1</v>
      </c>
      <c r="G3940" s="1" t="s">
        <v>11508</v>
      </c>
      <c r="I3940" s="1" t="s">
        <v>11473</v>
      </c>
      <c r="O3940" t="s">
        <v>22</v>
      </c>
    </row>
    <row r="3941" spans="1:15">
      <c r="A3941" t="s">
        <v>7346</v>
      </c>
      <c r="B3941" t="s">
        <v>7346</v>
      </c>
      <c r="C3941" t="s">
        <v>7347</v>
      </c>
      <c r="F3941">
        <v>1</v>
      </c>
      <c r="G3941" s="1" t="s">
        <v>11509</v>
      </c>
      <c r="I3941" s="1" t="s">
        <v>11473</v>
      </c>
      <c r="O3941" t="s">
        <v>22</v>
      </c>
    </row>
    <row r="3942" spans="1:15">
      <c r="A3942" t="s">
        <v>9078</v>
      </c>
      <c r="B3942" t="s">
        <v>9078</v>
      </c>
      <c r="C3942" t="s">
        <v>7347</v>
      </c>
      <c r="F3942">
        <v>1</v>
      </c>
      <c r="G3942" s="1" t="s">
        <v>11510</v>
      </c>
      <c r="I3942" s="1" t="s">
        <v>11473</v>
      </c>
      <c r="O3942" t="s">
        <v>22</v>
      </c>
    </row>
    <row r="3943" spans="1:15">
      <c r="A3943" t="s">
        <v>9444</v>
      </c>
      <c r="B3943" t="s">
        <v>9444</v>
      </c>
      <c r="C3943" t="s">
        <v>7347</v>
      </c>
      <c r="F3943">
        <v>1</v>
      </c>
      <c r="G3943" s="1" t="s">
        <v>11511</v>
      </c>
      <c r="I3943" s="1" t="s">
        <v>11473</v>
      </c>
      <c r="O3943" t="s">
        <v>22</v>
      </c>
    </row>
    <row r="3944" spans="1:15">
      <c r="A3944" t="s">
        <v>7200</v>
      </c>
      <c r="B3944" t="s">
        <v>7200</v>
      </c>
      <c r="C3944" t="s">
        <v>4078</v>
      </c>
      <c r="F3944">
        <v>1</v>
      </c>
      <c r="G3944" s="1" t="s">
        <v>11512</v>
      </c>
      <c r="I3944" s="1" t="s">
        <v>11473</v>
      </c>
      <c r="O3944" t="s">
        <v>22</v>
      </c>
    </row>
    <row r="3945" spans="1:15">
      <c r="A3945" t="s">
        <v>7321</v>
      </c>
      <c r="B3945" t="s">
        <v>7321</v>
      </c>
      <c r="C3945" t="s">
        <v>7322</v>
      </c>
      <c r="F3945">
        <v>1</v>
      </c>
      <c r="G3945" s="1" t="s">
        <v>11513</v>
      </c>
      <c r="I3945" s="1" t="s">
        <v>11473</v>
      </c>
      <c r="O3945" t="s">
        <v>22</v>
      </c>
    </row>
    <row r="3946" spans="1:15">
      <c r="A3946" t="s">
        <v>8212</v>
      </c>
      <c r="B3946" t="s">
        <v>8212</v>
      </c>
      <c r="C3946" t="s">
        <v>7322</v>
      </c>
      <c r="F3946">
        <v>1</v>
      </c>
      <c r="G3946" s="1" t="s">
        <v>11514</v>
      </c>
      <c r="I3946" s="1" t="s">
        <v>11473</v>
      </c>
      <c r="O3946" t="s">
        <v>22</v>
      </c>
    </row>
    <row r="3947" spans="1:15">
      <c r="A3947" t="s">
        <v>7367</v>
      </c>
      <c r="B3947" t="s">
        <v>7367</v>
      </c>
      <c r="C3947" t="s">
        <v>4906</v>
      </c>
      <c r="F3947">
        <v>1</v>
      </c>
      <c r="G3947" s="1" t="s">
        <v>11515</v>
      </c>
      <c r="I3947" s="1" t="s">
        <v>11473</v>
      </c>
      <c r="O3947" t="s">
        <v>22</v>
      </c>
    </row>
    <row r="3948" spans="1:15">
      <c r="A3948" t="s">
        <v>9523</v>
      </c>
      <c r="B3948" t="s">
        <v>9523</v>
      </c>
      <c r="C3948" t="s">
        <v>4906</v>
      </c>
      <c r="F3948">
        <v>1</v>
      </c>
      <c r="G3948" s="1" t="s">
        <v>11516</v>
      </c>
      <c r="I3948" s="1" t="s">
        <v>11473</v>
      </c>
      <c r="O3948" t="s">
        <v>22</v>
      </c>
    </row>
    <row r="3949" spans="1:15">
      <c r="A3949" t="s">
        <v>8723</v>
      </c>
      <c r="B3949" t="s">
        <v>8723</v>
      </c>
      <c r="C3949" t="s">
        <v>8724</v>
      </c>
      <c r="F3949">
        <v>1</v>
      </c>
      <c r="G3949" s="1" t="s">
        <v>11517</v>
      </c>
      <c r="I3949" s="1" t="s">
        <v>11473</v>
      </c>
      <c r="O3949" t="s">
        <v>22</v>
      </c>
    </row>
    <row r="3950" spans="1:15">
      <c r="A3950" t="s">
        <v>9663</v>
      </c>
      <c r="B3950" t="s">
        <v>9663</v>
      </c>
      <c r="C3950" t="s">
        <v>9664</v>
      </c>
      <c r="F3950">
        <v>1</v>
      </c>
      <c r="G3950" s="1" t="s">
        <v>11518</v>
      </c>
      <c r="I3950" s="1" t="s">
        <v>11473</v>
      </c>
      <c r="O3950" t="s">
        <v>22</v>
      </c>
    </row>
    <row r="3951" spans="1:15">
      <c r="A3951" t="s">
        <v>6789</v>
      </c>
      <c r="B3951" t="s">
        <v>6789</v>
      </c>
      <c r="C3951" t="s">
        <v>5257</v>
      </c>
      <c r="F3951">
        <v>1</v>
      </c>
      <c r="G3951" s="1" t="s">
        <v>11519</v>
      </c>
      <c r="I3951" s="1" t="s">
        <v>11473</v>
      </c>
      <c r="O3951" t="s">
        <v>22</v>
      </c>
    </row>
    <row r="3952" spans="1:15">
      <c r="A3952" t="s">
        <v>6973</v>
      </c>
      <c r="B3952" t="s">
        <v>6973</v>
      </c>
      <c r="C3952" t="s">
        <v>5257</v>
      </c>
      <c r="F3952">
        <v>1</v>
      </c>
      <c r="G3952" s="1" t="s">
        <v>11520</v>
      </c>
      <c r="I3952" s="1" t="s">
        <v>11473</v>
      </c>
      <c r="O3952" t="s">
        <v>22</v>
      </c>
    </row>
    <row r="3953" spans="1:15">
      <c r="A3953" t="s">
        <v>9416</v>
      </c>
      <c r="B3953" t="s">
        <v>9416</v>
      </c>
      <c r="C3953" t="s">
        <v>4796</v>
      </c>
      <c r="F3953">
        <v>1</v>
      </c>
      <c r="G3953" s="1" t="s">
        <v>11521</v>
      </c>
      <c r="I3953" s="1" t="s">
        <v>11473</v>
      </c>
      <c r="O3953" t="s">
        <v>22</v>
      </c>
    </row>
    <row r="3954" spans="1:15">
      <c r="A3954" t="s">
        <v>10582</v>
      </c>
      <c r="B3954" t="s">
        <v>10582</v>
      </c>
      <c r="C3954" t="s">
        <v>4796</v>
      </c>
      <c r="F3954">
        <v>1</v>
      </c>
      <c r="G3954" s="1" t="s">
        <v>11522</v>
      </c>
      <c r="I3954" s="1" t="s">
        <v>11473</v>
      </c>
      <c r="O3954" t="s">
        <v>22</v>
      </c>
    </row>
    <row r="3955" spans="1:15">
      <c r="A3955" t="s">
        <v>9102</v>
      </c>
      <c r="B3955" t="s">
        <v>9102</v>
      </c>
      <c r="C3955" t="s">
        <v>5311</v>
      </c>
      <c r="F3955">
        <v>1</v>
      </c>
      <c r="G3955" s="1" t="s">
        <v>11523</v>
      </c>
      <c r="I3955" s="1" t="s">
        <v>11473</v>
      </c>
      <c r="O3955" t="s">
        <v>22</v>
      </c>
    </row>
    <row r="3956" spans="1:15">
      <c r="A3956" t="s">
        <v>7311</v>
      </c>
      <c r="B3956" t="s">
        <v>7311</v>
      </c>
      <c r="C3956" t="s">
        <v>7312</v>
      </c>
      <c r="F3956">
        <v>1</v>
      </c>
      <c r="G3956" s="1" t="s">
        <v>11524</v>
      </c>
      <c r="I3956" s="1" t="s">
        <v>11473</v>
      </c>
      <c r="O3956" t="s">
        <v>22</v>
      </c>
    </row>
    <row r="3957" spans="1:15">
      <c r="A3957" t="s">
        <v>7360</v>
      </c>
      <c r="B3957" t="s">
        <v>7360</v>
      </c>
      <c r="C3957" t="s">
        <v>7361</v>
      </c>
      <c r="F3957">
        <v>1</v>
      </c>
      <c r="G3957" s="1" t="s">
        <v>11525</v>
      </c>
      <c r="I3957" s="1" t="s">
        <v>11473</v>
      </c>
      <c r="O3957" t="s">
        <v>22</v>
      </c>
    </row>
    <row r="3958" spans="1:15">
      <c r="A3958" t="s">
        <v>9448</v>
      </c>
      <c r="B3958" t="s">
        <v>9448</v>
      </c>
      <c r="C3958" t="s">
        <v>7361</v>
      </c>
      <c r="F3958">
        <v>1</v>
      </c>
      <c r="G3958" s="1" t="s">
        <v>11526</v>
      </c>
      <c r="I3958" s="1" t="s">
        <v>11473</v>
      </c>
      <c r="O3958" t="s">
        <v>22</v>
      </c>
    </row>
    <row r="3959" spans="1:15">
      <c r="A3959" t="s">
        <v>6969</v>
      </c>
      <c r="B3959" t="s">
        <v>6969</v>
      </c>
      <c r="C3959" t="s">
        <v>6970</v>
      </c>
      <c r="F3959">
        <v>1</v>
      </c>
      <c r="G3959" s="1" t="s">
        <v>11527</v>
      </c>
      <c r="I3959" s="1" t="s">
        <v>11473</v>
      </c>
      <c r="O3959" t="s">
        <v>22</v>
      </c>
    </row>
    <row r="3960" spans="1:15">
      <c r="A3960" t="s">
        <v>7294</v>
      </c>
      <c r="B3960" t="s">
        <v>7294</v>
      </c>
      <c r="C3960" t="s">
        <v>6970</v>
      </c>
      <c r="F3960">
        <v>1</v>
      </c>
      <c r="G3960" s="1" t="s">
        <v>11528</v>
      </c>
      <c r="I3960" s="1" t="s">
        <v>11473</v>
      </c>
      <c r="O3960" t="s">
        <v>22</v>
      </c>
    </row>
    <row r="3961" spans="1:15">
      <c r="A3961" t="s">
        <v>7213</v>
      </c>
      <c r="B3961" t="s">
        <v>7213</v>
      </c>
      <c r="C3961" t="s">
        <v>7214</v>
      </c>
      <c r="F3961">
        <v>1</v>
      </c>
      <c r="G3961" s="1" t="s">
        <v>11529</v>
      </c>
      <c r="I3961" s="1" t="s">
        <v>11473</v>
      </c>
      <c r="O3961" t="s">
        <v>22</v>
      </c>
    </row>
    <row r="3962" spans="1:15">
      <c r="A3962" t="s">
        <v>7292</v>
      </c>
      <c r="B3962" t="s">
        <v>7292</v>
      </c>
      <c r="C3962" t="s">
        <v>7214</v>
      </c>
      <c r="F3962">
        <v>1</v>
      </c>
      <c r="G3962" s="1" t="s">
        <v>11530</v>
      </c>
      <c r="I3962" s="1" t="s">
        <v>11473</v>
      </c>
      <c r="O3962" t="s">
        <v>22</v>
      </c>
    </row>
    <row r="3963" spans="1:15">
      <c r="A3963" t="s">
        <v>8418</v>
      </c>
      <c r="B3963" t="s">
        <v>8418</v>
      </c>
      <c r="C3963" t="s">
        <v>8419</v>
      </c>
      <c r="F3963">
        <v>1</v>
      </c>
      <c r="G3963" s="1" t="s">
        <v>11531</v>
      </c>
      <c r="I3963" s="1" t="s">
        <v>11473</v>
      </c>
      <c r="O3963" t="s">
        <v>22</v>
      </c>
    </row>
    <row r="3964" spans="1:15">
      <c r="A3964" t="s">
        <v>7184</v>
      </c>
      <c r="B3964" t="s">
        <v>7184</v>
      </c>
      <c r="C3964" t="s">
        <v>7185</v>
      </c>
      <c r="F3964">
        <v>1</v>
      </c>
      <c r="G3964" s="1" t="s">
        <v>11532</v>
      </c>
      <c r="I3964" s="1" t="s">
        <v>11473</v>
      </c>
      <c r="O3964" t="s">
        <v>22</v>
      </c>
    </row>
    <row r="3965" spans="1:15">
      <c r="A3965" t="s">
        <v>8675</v>
      </c>
      <c r="B3965" t="s">
        <v>8675</v>
      </c>
      <c r="C3965" t="s">
        <v>8676</v>
      </c>
      <c r="F3965">
        <v>1</v>
      </c>
      <c r="G3965" s="1" t="s">
        <v>11533</v>
      </c>
      <c r="I3965" s="1" t="s">
        <v>11473</v>
      </c>
      <c r="O3965" t="s">
        <v>22</v>
      </c>
    </row>
    <row r="3966" spans="1:15">
      <c r="A3966" t="s">
        <v>5242</v>
      </c>
      <c r="B3966" t="s">
        <v>5242</v>
      </c>
      <c r="C3966" t="s">
        <v>7178</v>
      </c>
      <c r="F3966">
        <v>1</v>
      </c>
      <c r="G3966" s="1" t="s">
        <v>11534</v>
      </c>
      <c r="I3966" s="1" t="s">
        <v>11473</v>
      </c>
      <c r="O3966" t="s">
        <v>22</v>
      </c>
    </row>
    <row r="3967" spans="1:15">
      <c r="A3967" t="s">
        <v>7180</v>
      </c>
      <c r="B3967" t="s">
        <v>7180</v>
      </c>
      <c r="C3967" t="s">
        <v>7178</v>
      </c>
      <c r="F3967">
        <v>1</v>
      </c>
      <c r="G3967" s="1" t="s">
        <v>11535</v>
      </c>
      <c r="I3967" s="1" t="s">
        <v>11473</v>
      </c>
      <c r="O3967" t="s">
        <v>22</v>
      </c>
    </row>
    <row r="3968" spans="1:15">
      <c r="A3968" t="s">
        <v>7289</v>
      </c>
      <c r="B3968" t="s">
        <v>7289</v>
      </c>
      <c r="C3968" t="s">
        <v>5271</v>
      </c>
      <c r="F3968">
        <v>1</v>
      </c>
      <c r="G3968" s="1" t="s">
        <v>11536</v>
      </c>
      <c r="I3968" s="1" t="s">
        <v>11473</v>
      </c>
      <c r="O3968" t="s">
        <v>22</v>
      </c>
    </row>
    <row r="3969" spans="1:15">
      <c r="A3969" t="s">
        <v>7181</v>
      </c>
      <c r="B3969" t="s">
        <v>7181</v>
      </c>
      <c r="C3969" t="s">
        <v>7182</v>
      </c>
      <c r="F3969">
        <v>1</v>
      </c>
      <c r="G3969" s="1" t="s">
        <v>11537</v>
      </c>
      <c r="I3969" s="1" t="s">
        <v>11473</v>
      </c>
      <c r="O3969" t="s">
        <v>22</v>
      </c>
    </row>
    <row r="3970" spans="1:15">
      <c r="A3970" t="s">
        <v>7293</v>
      </c>
      <c r="B3970" t="s">
        <v>7293</v>
      </c>
      <c r="C3970" t="s">
        <v>5309</v>
      </c>
      <c r="F3970">
        <v>1</v>
      </c>
      <c r="G3970" s="1" t="s">
        <v>11538</v>
      </c>
      <c r="I3970" s="1" t="s">
        <v>11473</v>
      </c>
      <c r="O3970" t="s">
        <v>22</v>
      </c>
    </row>
    <row r="3971" spans="1:15">
      <c r="A3971" t="s">
        <v>9927</v>
      </c>
      <c r="B3971" t="s">
        <v>9927</v>
      </c>
      <c r="C3971" t="s">
        <v>5309</v>
      </c>
      <c r="F3971">
        <v>1</v>
      </c>
      <c r="G3971" s="1" t="s">
        <v>11539</v>
      </c>
      <c r="I3971" s="1" t="s">
        <v>11473</v>
      </c>
      <c r="O3971" t="s">
        <v>22</v>
      </c>
    </row>
    <row r="3972" spans="1:15">
      <c r="A3972" t="s">
        <v>7195</v>
      </c>
      <c r="B3972" t="s">
        <v>7195</v>
      </c>
      <c r="C3972" t="s">
        <v>7196</v>
      </c>
      <c r="F3972">
        <v>1</v>
      </c>
      <c r="G3972" s="1" t="s">
        <v>11540</v>
      </c>
      <c r="I3972" s="1" t="s">
        <v>11473</v>
      </c>
      <c r="O3972" t="s">
        <v>22</v>
      </c>
    </row>
    <row r="3973" spans="1:15">
      <c r="A3973" t="s">
        <v>6979</v>
      </c>
      <c r="B3973" t="s">
        <v>6979</v>
      </c>
      <c r="C3973" t="s">
        <v>6980</v>
      </c>
      <c r="F3973">
        <v>1</v>
      </c>
      <c r="G3973" s="1" t="s">
        <v>11541</v>
      </c>
      <c r="I3973" s="1" t="s">
        <v>11473</v>
      </c>
      <c r="O3973" t="s">
        <v>22</v>
      </c>
    </row>
    <row r="3974" spans="1:15">
      <c r="A3974" t="s">
        <v>7335</v>
      </c>
      <c r="B3974" t="s">
        <v>7335</v>
      </c>
      <c r="C3974" t="s">
        <v>7336</v>
      </c>
      <c r="F3974">
        <v>1</v>
      </c>
      <c r="G3974" s="1" t="s">
        <v>11542</v>
      </c>
      <c r="I3974" s="1" t="s">
        <v>11473</v>
      </c>
      <c r="O3974" t="s">
        <v>22</v>
      </c>
    </row>
    <row r="3975" spans="1:15">
      <c r="A3975" t="s">
        <v>8509</v>
      </c>
      <c r="B3975" t="s">
        <v>8509</v>
      </c>
      <c r="C3975" t="s">
        <v>7336</v>
      </c>
      <c r="F3975">
        <v>1</v>
      </c>
      <c r="G3975" s="1" t="s">
        <v>11543</v>
      </c>
      <c r="I3975" s="1" t="s">
        <v>11473</v>
      </c>
      <c r="O3975" t="s">
        <v>22</v>
      </c>
    </row>
    <row r="3976" spans="1:15">
      <c r="A3976" t="s">
        <v>9724</v>
      </c>
      <c r="B3976" t="s">
        <v>9724</v>
      </c>
      <c r="C3976" t="s">
        <v>7336</v>
      </c>
      <c r="F3976">
        <v>1</v>
      </c>
      <c r="G3976" s="1" t="s">
        <v>11544</v>
      </c>
      <c r="I3976" s="1" t="s">
        <v>11473</v>
      </c>
      <c r="O3976" t="s">
        <v>22</v>
      </c>
    </row>
    <row r="3977" spans="1:15">
      <c r="A3977" t="s">
        <v>11301</v>
      </c>
      <c r="B3977" t="s">
        <v>11301</v>
      </c>
      <c r="C3977" t="s">
        <v>7336</v>
      </c>
      <c r="F3977">
        <v>1</v>
      </c>
      <c r="G3977" s="1" t="s">
        <v>11545</v>
      </c>
      <c r="I3977" s="1" t="s">
        <v>11473</v>
      </c>
      <c r="O3977" t="s">
        <v>22</v>
      </c>
    </row>
    <row r="3978" spans="1:15">
      <c r="A3978" t="s">
        <v>7071</v>
      </c>
      <c r="B3978" t="s">
        <v>7071</v>
      </c>
      <c r="C3978" t="s">
        <v>7072</v>
      </c>
      <c r="F3978">
        <v>1</v>
      </c>
      <c r="G3978" s="1" t="s">
        <v>11546</v>
      </c>
      <c r="I3978" s="1" t="s">
        <v>11473</v>
      </c>
      <c r="O3978" t="s">
        <v>22</v>
      </c>
    </row>
    <row r="3979" spans="1:15">
      <c r="A3979" t="s">
        <v>10276</v>
      </c>
      <c r="B3979" t="s">
        <v>10276</v>
      </c>
      <c r="C3979" t="s">
        <v>5017</v>
      </c>
      <c r="F3979">
        <v>1</v>
      </c>
      <c r="G3979" s="1" t="s">
        <v>11547</v>
      </c>
      <c r="I3979" s="1" t="s">
        <v>11473</v>
      </c>
      <c r="O3979" t="s">
        <v>22</v>
      </c>
    </row>
    <row r="3980" spans="1:15">
      <c r="A3980" t="s">
        <v>6217</v>
      </c>
      <c r="B3980" t="s">
        <v>6217</v>
      </c>
      <c r="C3980" t="s">
        <v>5012</v>
      </c>
      <c r="F3980">
        <v>1</v>
      </c>
      <c r="G3980" s="1" t="s">
        <v>11548</v>
      </c>
      <c r="I3980" s="1" t="s">
        <v>11473</v>
      </c>
      <c r="O3980" t="s">
        <v>22</v>
      </c>
    </row>
    <row r="3981" spans="1:15">
      <c r="A3981" t="s">
        <v>9587</v>
      </c>
      <c r="B3981" t="s">
        <v>9587</v>
      </c>
      <c r="C3981" t="s">
        <v>5291</v>
      </c>
      <c r="F3981">
        <v>1</v>
      </c>
      <c r="G3981" s="1" t="s">
        <v>11549</v>
      </c>
      <c r="I3981" s="1" t="s">
        <v>11473</v>
      </c>
      <c r="O3981" t="s">
        <v>22</v>
      </c>
    </row>
    <row r="3982" spans="1:15">
      <c r="A3982" t="s">
        <v>6543</v>
      </c>
      <c r="B3982" t="s">
        <v>6543</v>
      </c>
      <c r="C3982" t="s">
        <v>6544</v>
      </c>
      <c r="F3982">
        <v>1</v>
      </c>
      <c r="G3982" s="1" t="s">
        <v>11550</v>
      </c>
      <c r="I3982" s="1" t="s">
        <v>11473</v>
      </c>
      <c r="O3982" t="s">
        <v>22</v>
      </c>
    </row>
    <row r="3983" spans="1:15">
      <c r="A3983" t="s">
        <v>6183</v>
      </c>
      <c r="B3983" t="s">
        <v>6183</v>
      </c>
      <c r="C3983" t="s">
        <v>6184</v>
      </c>
      <c r="F3983">
        <v>1</v>
      </c>
      <c r="G3983" s="1" t="s">
        <v>11551</v>
      </c>
      <c r="I3983" s="1" t="s">
        <v>11473</v>
      </c>
      <c r="O3983" t="s">
        <v>22</v>
      </c>
    </row>
    <row r="3984" spans="1:15">
      <c r="A3984" t="s">
        <v>7397</v>
      </c>
      <c r="B3984" t="s">
        <v>7397</v>
      </c>
      <c r="C3984" t="s">
        <v>6184</v>
      </c>
      <c r="F3984">
        <v>1</v>
      </c>
      <c r="G3984" s="1" t="s">
        <v>11552</v>
      </c>
      <c r="I3984" s="1" t="s">
        <v>11473</v>
      </c>
      <c r="O3984" t="s">
        <v>22</v>
      </c>
    </row>
    <row r="3985" spans="1:15">
      <c r="A3985" t="s">
        <v>10759</v>
      </c>
      <c r="B3985" t="s">
        <v>10759</v>
      </c>
      <c r="C3985" t="s">
        <v>10760</v>
      </c>
      <c r="F3985">
        <v>1</v>
      </c>
      <c r="G3985" s="1" t="s">
        <v>11553</v>
      </c>
      <c r="I3985" s="1" t="s">
        <v>11473</v>
      </c>
      <c r="O3985" t="s">
        <v>22</v>
      </c>
    </row>
    <row r="3986" spans="1:15">
      <c r="A3986" t="s">
        <v>7161</v>
      </c>
      <c r="B3986" t="s">
        <v>7161</v>
      </c>
      <c r="C3986" t="s">
        <v>7162</v>
      </c>
      <c r="F3986">
        <v>1</v>
      </c>
      <c r="G3986" s="1" t="s">
        <v>11554</v>
      </c>
      <c r="I3986" s="1" t="s">
        <v>11473</v>
      </c>
      <c r="O3986" t="s">
        <v>22</v>
      </c>
    </row>
    <row r="3987" spans="1:15">
      <c r="A3987" t="s">
        <v>8205</v>
      </c>
      <c r="B3987" t="s">
        <v>8205</v>
      </c>
      <c r="C3987" t="s">
        <v>7162</v>
      </c>
      <c r="F3987">
        <v>1</v>
      </c>
      <c r="G3987" s="1" t="s">
        <v>11555</v>
      </c>
      <c r="I3987" s="1" t="s">
        <v>11473</v>
      </c>
      <c r="O3987" t="s">
        <v>22</v>
      </c>
    </row>
    <row r="3988" spans="1:15">
      <c r="A3988" t="s">
        <v>9845</v>
      </c>
      <c r="B3988" t="s">
        <v>9845</v>
      </c>
      <c r="C3988" t="s">
        <v>7162</v>
      </c>
      <c r="F3988">
        <v>1</v>
      </c>
      <c r="G3988" s="1" t="s">
        <v>11556</v>
      </c>
      <c r="I3988" s="1" t="s">
        <v>11473</v>
      </c>
      <c r="O3988" t="s">
        <v>22</v>
      </c>
    </row>
    <row r="3989" spans="1:15">
      <c r="A3989" t="s">
        <v>7223</v>
      </c>
      <c r="B3989" t="s">
        <v>7223</v>
      </c>
      <c r="C3989" t="s">
        <v>7224</v>
      </c>
      <c r="F3989">
        <v>1</v>
      </c>
      <c r="G3989" s="1" t="s">
        <v>11557</v>
      </c>
      <c r="I3989" s="1" t="s">
        <v>11473</v>
      </c>
      <c r="O3989" t="s">
        <v>22</v>
      </c>
    </row>
    <row r="3990" spans="1:15">
      <c r="A3990" t="s">
        <v>10433</v>
      </c>
      <c r="B3990" t="s">
        <v>10433</v>
      </c>
      <c r="C3990" t="s">
        <v>7224</v>
      </c>
      <c r="F3990">
        <v>1</v>
      </c>
      <c r="G3990" s="1" t="s">
        <v>11558</v>
      </c>
      <c r="I3990" s="1" t="s">
        <v>11473</v>
      </c>
      <c r="O3990" t="s">
        <v>22</v>
      </c>
    </row>
    <row r="3991" spans="1:15">
      <c r="A3991" t="s">
        <v>6802</v>
      </c>
      <c r="B3991" t="s">
        <v>6802</v>
      </c>
      <c r="C3991" t="s">
        <v>4436</v>
      </c>
      <c r="F3991">
        <v>1</v>
      </c>
      <c r="G3991" s="1" t="s">
        <v>11559</v>
      </c>
      <c r="I3991" s="1" t="s">
        <v>11473</v>
      </c>
      <c r="O3991" t="s">
        <v>22</v>
      </c>
    </row>
    <row r="3992" spans="1:15">
      <c r="A3992" t="s">
        <v>8197</v>
      </c>
      <c r="B3992" t="s">
        <v>8197</v>
      </c>
      <c r="C3992" t="s">
        <v>4436</v>
      </c>
      <c r="F3992">
        <v>1</v>
      </c>
      <c r="G3992" s="1" t="s">
        <v>11560</v>
      </c>
      <c r="I3992" s="1" t="s">
        <v>11473</v>
      </c>
      <c r="O3992" t="s">
        <v>22</v>
      </c>
    </row>
    <row r="3993" spans="1:15">
      <c r="A3993" t="s">
        <v>10512</v>
      </c>
      <c r="B3993" t="s">
        <v>10512</v>
      </c>
      <c r="C3993" t="s">
        <v>4436</v>
      </c>
      <c r="F3993">
        <v>1</v>
      </c>
      <c r="G3993" s="1" t="s">
        <v>11561</v>
      </c>
      <c r="I3993" s="1" t="s">
        <v>11473</v>
      </c>
      <c r="O3993" t="s">
        <v>22</v>
      </c>
    </row>
    <row r="3994" spans="1:15">
      <c r="A3994" t="s">
        <v>9363</v>
      </c>
      <c r="B3994" t="s">
        <v>9363</v>
      </c>
      <c r="C3994" t="s">
        <v>5146</v>
      </c>
      <c r="F3994">
        <v>1</v>
      </c>
      <c r="G3994" s="1" t="s">
        <v>11562</v>
      </c>
      <c r="I3994" s="1" t="s">
        <v>11473</v>
      </c>
      <c r="O3994" t="s">
        <v>22</v>
      </c>
    </row>
    <row r="3995" spans="1:15">
      <c r="A3995" t="s">
        <v>6933</v>
      </c>
      <c r="B3995" t="s">
        <v>6933</v>
      </c>
      <c r="C3995" t="s">
        <v>4425</v>
      </c>
      <c r="F3995">
        <v>1</v>
      </c>
      <c r="G3995" s="1" t="s">
        <v>11563</v>
      </c>
      <c r="I3995" s="1" t="s">
        <v>11473</v>
      </c>
      <c r="O3995" t="s">
        <v>22</v>
      </c>
    </row>
    <row r="3996" spans="1:15">
      <c r="A3996" t="s">
        <v>8459</v>
      </c>
      <c r="B3996" t="s">
        <v>8459</v>
      </c>
      <c r="C3996" t="s">
        <v>4425</v>
      </c>
      <c r="F3996">
        <v>1</v>
      </c>
      <c r="G3996" s="1" t="s">
        <v>11564</v>
      </c>
      <c r="I3996" s="1" t="s">
        <v>11473</v>
      </c>
      <c r="O3996" t="s">
        <v>22</v>
      </c>
    </row>
    <row r="3997" spans="1:15">
      <c r="A3997" t="s">
        <v>7222</v>
      </c>
      <c r="B3997" t="s">
        <v>7222</v>
      </c>
      <c r="C3997" t="s">
        <v>4412</v>
      </c>
      <c r="F3997">
        <v>1</v>
      </c>
      <c r="G3997" s="1" t="s">
        <v>11565</v>
      </c>
      <c r="I3997" s="1" t="s">
        <v>11473</v>
      </c>
      <c r="O3997" t="s">
        <v>22</v>
      </c>
    </row>
    <row r="3998" spans="1:15">
      <c r="A3998" t="s">
        <v>9895</v>
      </c>
      <c r="B3998" t="s">
        <v>9895</v>
      </c>
      <c r="C3998" t="s">
        <v>9896</v>
      </c>
      <c r="F3998">
        <v>1</v>
      </c>
      <c r="G3998" s="1" t="s">
        <v>11566</v>
      </c>
      <c r="I3998" s="1" t="s">
        <v>11473</v>
      </c>
      <c r="O3998" t="s">
        <v>22</v>
      </c>
    </row>
    <row r="3999" spans="1:15">
      <c r="A3999" t="s">
        <v>6539</v>
      </c>
      <c r="B3999" t="s">
        <v>6539</v>
      </c>
      <c r="C3999" t="s">
        <v>4143</v>
      </c>
      <c r="F3999">
        <v>1</v>
      </c>
      <c r="G3999" s="1" t="s">
        <v>11567</v>
      </c>
      <c r="I3999" s="1" t="s">
        <v>11473</v>
      </c>
      <c r="O3999" t="s">
        <v>22</v>
      </c>
    </row>
    <row r="4000" spans="1:15">
      <c r="A4000" t="s">
        <v>10265</v>
      </c>
      <c r="B4000" t="s">
        <v>10265</v>
      </c>
      <c r="C4000" t="s">
        <v>10266</v>
      </c>
      <c r="F4000">
        <v>1</v>
      </c>
      <c r="G4000" s="1" t="s">
        <v>11568</v>
      </c>
      <c r="I4000" s="1" t="s">
        <v>11473</v>
      </c>
      <c r="O4000" t="s">
        <v>22</v>
      </c>
    </row>
    <row r="4001" spans="1:15">
      <c r="A4001" t="s">
        <v>8508</v>
      </c>
      <c r="B4001" t="s">
        <v>8508</v>
      </c>
      <c r="C4001" t="s">
        <v>5383</v>
      </c>
      <c r="F4001">
        <v>1</v>
      </c>
      <c r="G4001" s="1" t="s">
        <v>11569</v>
      </c>
      <c r="I4001" s="1" t="s">
        <v>11473</v>
      </c>
      <c r="O4001" t="s">
        <v>22</v>
      </c>
    </row>
    <row r="4002" spans="1:15">
      <c r="A4002" t="s">
        <v>7017</v>
      </c>
      <c r="B4002" t="s">
        <v>7017</v>
      </c>
      <c r="C4002" t="s">
        <v>7018</v>
      </c>
      <c r="F4002">
        <v>1</v>
      </c>
      <c r="G4002" s="1" t="s">
        <v>11570</v>
      </c>
      <c r="I4002" s="1" t="s">
        <v>11473</v>
      </c>
      <c r="O4002" t="s">
        <v>22</v>
      </c>
    </row>
    <row r="4003" spans="1:15">
      <c r="A4003" t="s">
        <v>8688</v>
      </c>
      <c r="B4003" t="s">
        <v>8688</v>
      </c>
      <c r="C4003" t="s">
        <v>5310</v>
      </c>
      <c r="F4003">
        <v>1</v>
      </c>
      <c r="G4003" s="1" t="s">
        <v>11571</v>
      </c>
      <c r="I4003" s="1" t="s">
        <v>11473</v>
      </c>
      <c r="O4003" t="s">
        <v>22</v>
      </c>
    </row>
    <row r="4004" spans="1:15">
      <c r="A4004" t="s">
        <v>6369</v>
      </c>
      <c r="B4004" t="s">
        <v>6369</v>
      </c>
      <c r="C4004" t="s">
        <v>6370</v>
      </c>
      <c r="F4004">
        <v>1</v>
      </c>
      <c r="G4004" s="1" t="s">
        <v>11572</v>
      </c>
      <c r="I4004" s="1" t="s">
        <v>11473</v>
      </c>
      <c r="O4004" t="s">
        <v>22</v>
      </c>
    </row>
    <row r="4005" spans="1:15">
      <c r="A4005" t="s">
        <v>7762</v>
      </c>
      <c r="B4005" t="s">
        <v>7762</v>
      </c>
      <c r="C4005" t="s">
        <v>6370</v>
      </c>
      <c r="F4005">
        <v>1</v>
      </c>
      <c r="G4005" s="1" t="s">
        <v>11573</v>
      </c>
      <c r="I4005" s="1" t="s">
        <v>11473</v>
      </c>
      <c r="O4005" t="s">
        <v>22</v>
      </c>
    </row>
    <row r="4006" spans="1:15">
      <c r="A4006" t="s">
        <v>10169</v>
      </c>
      <c r="B4006" t="s">
        <v>10169</v>
      </c>
      <c r="C4006" t="s">
        <v>6370</v>
      </c>
      <c r="F4006">
        <v>1</v>
      </c>
      <c r="G4006" s="1" t="s">
        <v>11574</v>
      </c>
      <c r="I4006" s="1" t="s">
        <v>11473</v>
      </c>
      <c r="O4006" t="s">
        <v>22</v>
      </c>
    </row>
    <row r="4007" spans="1:15">
      <c r="A4007" t="s">
        <v>7029</v>
      </c>
      <c r="B4007" t="s">
        <v>7029</v>
      </c>
      <c r="C4007" t="s">
        <v>4924</v>
      </c>
      <c r="F4007">
        <v>1</v>
      </c>
      <c r="G4007" s="1" t="s">
        <v>11575</v>
      </c>
      <c r="I4007" s="1" t="s">
        <v>11473</v>
      </c>
      <c r="O4007" t="s">
        <v>22</v>
      </c>
    </row>
    <row r="4008" spans="1:15">
      <c r="A4008" t="s">
        <v>9452</v>
      </c>
      <c r="B4008" t="s">
        <v>9452</v>
      </c>
      <c r="C4008" t="s">
        <v>4924</v>
      </c>
      <c r="F4008">
        <v>1</v>
      </c>
      <c r="G4008" s="1" t="s">
        <v>11576</v>
      </c>
      <c r="I4008" s="1" t="s">
        <v>11473</v>
      </c>
      <c r="O4008" t="s">
        <v>22</v>
      </c>
    </row>
    <row r="4009" spans="1:15">
      <c r="A4009" t="s">
        <v>8518</v>
      </c>
      <c r="B4009" t="s">
        <v>8518</v>
      </c>
      <c r="C4009" t="s">
        <v>4345</v>
      </c>
      <c r="F4009">
        <v>1</v>
      </c>
      <c r="G4009" s="1" t="s">
        <v>11577</v>
      </c>
      <c r="I4009" s="1" t="s">
        <v>11473</v>
      </c>
      <c r="O4009" t="s">
        <v>22</v>
      </c>
    </row>
    <row r="4010" spans="1:15">
      <c r="A4010" t="s">
        <v>9216</v>
      </c>
      <c r="B4010" t="s">
        <v>9216</v>
      </c>
      <c r="C4010" t="s">
        <v>4345</v>
      </c>
      <c r="F4010">
        <v>1</v>
      </c>
      <c r="G4010" s="1" t="s">
        <v>11578</v>
      </c>
      <c r="I4010" s="1" t="s">
        <v>11473</v>
      </c>
      <c r="O4010" t="s">
        <v>22</v>
      </c>
    </row>
    <row r="4011" spans="1:15">
      <c r="A4011" t="s">
        <v>9917</v>
      </c>
      <c r="B4011" t="s">
        <v>9917</v>
      </c>
      <c r="C4011" t="s">
        <v>9918</v>
      </c>
      <c r="F4011">
        <v>1</v>
      </c>
      <c r="G4011" s="1" t="s">
        <v>11579</v>
      </c>
      <c r="I4011" s="1" t="s">
        <v>11473</v>
      </c>
      <c r="O4011" t="s">
        <v>22</v>
      </c>
    </row>
    <row r="4012" spans="1:15">
      <c r="A4012" t="s">
        <v>5728</v>
      </c>
      <c r="B4012" t="s">
        <v>5728</v>
      </c>
      <c r="C4012" t="s">
        <v>5276</v>
      </c>
      <c r="F4012">
        <v>1</v>
      </c>
      <c r="G4012" s="1" t="s">
        <v>11580</v>
      </c>
      <c r="I4012" s="1" t="s">
        <v>11473</v>
      </c>
      <c r="O4012" t="s">
        <v>22</v>
      </c>
    </row>
    <row r="4013" spans="1:15">
      <c r="A4013" t="s">
        <v>8484</v>
      </c>
      <c r="B4013" t="s">
        <v>8484</v>
      </c>
      <c r="C4013" t="s">
        <v>8485</v>
      </c>
      <c r="F4013">
        <v>1</v>
      </c>
      <c r="G4013" s="1" t="s">
        <v>11581</v>
      </c>
      <c r="I4013" s="1" t="s">
        <v>11473</v>
      </c>
      <c r="O4013" t="s">
        <v>22</v>
      </c>
    </row>
    <row r="4014" spans="1:15">
      <c r="A4014" t="s">
        <v>10557</v>
      </c>
      <c r="B4014" t="s">
        <v>10557</v>
      </c>
      <c r="C4014" t="s">
        <v>4083</v>
      </c>
      <c r="F4014">
        <v>1</v>
      </c>
      <c r="G4014" s="1" t="s">
        <v>11582</v>
      </c>
      <c r="I4014" s="1" t="s">
        <v>11473</v>
      </c>
      <c r="O4014" t="s">
        <v>22</v>
      </c>
    </row>
    <row r="4015" spans="1:15">
      <c r="A4015" t="s">
        <v>9423</v>
      </c>
      <c r="B4015" t="s">
        <v>9423</v>
      </c>
      <c r="C4015" t="s">
        <v>9424</v>
      </c>
      <c r="F4015">
        <v>1</v>
      </c>
      <c r="G4015" s="1" t="s">
        <v>11583</v>
      </c>
      <c r="I4015" s="1" t="s">
        <v>11473</v>
      </c>
      <c r="O4015" t="s">
        <v>22</v>
      </c>
    </row>
    <row r="4016" spans="1:15">
      <c r="A4016" t="s">
        <v>11131</v>
      </c>
      <c r="B4016" t="s">
        <v>11131</v>
      </c>
      <c r="C4016" t="s">
        <v>9424</v>
      </c>
      <c r="F4016">
        <v>1</v>
      </c>
      <c r="G4016" s="1" t="s">
        <v>11584</v>
      </c>
      <c r="I4016" s="1" t="s">
        <v>11473</v>
      </c>
      <c r="O4016" t="s">
        <v>22</v>
      </c>
    </row>
    <row r="4017" spans="1:15">
      <c r="A4017" t="s">
        <v>6562</v>
      </c>
      <c r="B4017" t="s">
        <v>6562</v>
      </c>
      <c r="C4017" t="s">
        <v>5268</v>
      </c>
      <c r="F4017">
        <v>1</v>
      </c>
      <c r="G4017" s="1" t="s">
        <v>11585</v>
      </c>
      <c r="I4017" s="1" t="s">
        <v>11473</v>
      </c>
      <c r="O4017" t="s">
        <v>22</v>
      </c>
    </row>
    <row r="4018" spans="1:15">
      <c r="A4018" t="s">
        <v>8048</v>
      </c>
      <c r="B4018" t="s">
        <v>8048</v>
      </c>
      <c r="C4018" t="s">
        <v>5268</v>
      </c>
      <c r="F4018">
        <v>1</v>
      </c>
      <c r="G4018" s="1" t="s">
        <v>11586</v>
      </c>
      <c r="I4018" s="1" t="s">
        <v>11473</v>
      </c>
      <c r="O4018" t="s">
        <v>22</v>
      </c>
    </row>
    <row r="4019" spans="1:15">
      <c r="A4019" t="s">
        <v>5912</v>
      </c>
      <c r="B4019" t="s">
        <v>5912</v>
      </c>
      <c r="C4019" t="s">
        <v>5150</v>
      </c>
      <c r="F4019">
        <v>1</v>
      </c>
      <c r="G4019" s="1" t="s">
        <v>11587</v>
      </c>
      <c r="I4019" s="1" t="s">
        <v>11473</v>
      </c>
      <c r="O4019" t="s">
        <v>22</v>
      </c>
    </row>
    <row r="4020" spans="1:15">
      <c r="A4020" t="s">
        <v>8281</v>
      </c>
      <c r="B4020" t="s">
        <v>8281</v>
      </c>
      <c r="C4020" t="s">
        <v>4577</v>
      </c>
      <c r="F4020">
        <v>1</v>
      </c>
      <c r="G4020" s="1" t="s">
        <v>11588</v>
      </c>
      <c r="I4020" s="1" t="s">
        <v>11473</v>
      </c>
      <c r="O4020" t="s">
        <v>22</v>
      </c>
    </row>
    <row r="4021" spans="1:15">
      <c r="A4021" t="s">
        <v>9046</v>
      </c>
      <c r="B4021" t="s">
        <v>9046</v>
      </c>
      <c r="C4021" t="s">
        <v>4577</v>
      </c>
      <c r="F4021">
        <v>1</v>
      </c>
      <c r="G4021" s="1" t="s">
        <v>11589</v>
      </c>
      <c r="I4021" s="1" t="s">
        <v>11473</v>
      </c>
      <c r="O4021" t="s">
        <v>22</v>
      </c>
    </row>
    <row r="4022" spans="1:15">
      <c r="A4022" t="s">
        <v>10563</v>
      </c>
      <c r="B4022" t="s">
        <v>10563</v>
      </c>
      <c r="C4022" t="s">
        <v>4834</v>
      </c>
      <c r="F4022">
        <v>1</v>
      </c>
      <c r="G4022" s="1" t="s">
        <v>11590</v>
      </c>
      <c r="I4022" s="1" t="s">
        <v>11473</v>
      </c>
      <c r="O4022" t="s">
        <v>22</v>
      </c>
    </row>
    <row r="4023" spans="1:15">
      <c r="A4023" t="s">
        <v>6510</v>
      </c>
      <c r="B4023" t="s">
        <v>6510</v>
      </c>
      <c r="C4023" t="s">
        <v>4027</v>
      </c>
      <c r="F4023">
        <v>1</v>
      </c>
      <c r="G4023" s="1" t="s">
        <v>11591</v>
      </c>
      <c r="I4023" s="1" t="s">
        <v>11473</v>
      </c>
      <c r="O4023" t="s">
        <v>22</v>
      </c>
    </row>
    <row r="4024" spans="1:15">
      <c r="A4024" t="s">
        <v>7192</v>
      </c>
      <c r="B4024" t="s">
        <v>7192</v>
      </c>
      <c r="C4024" t="s">
        <v>4027</v>
      </c>
      <c r="F4024">
        <v>1</v>
      </c>
      <c r="G4024" s="1" t="s">
        <v>11592</v>
      </c>
      <c r="I4024" s="1" t="s">
        <v>11473</v>
      </c>
      <c r="O4024" t="s">
        <v>22</v>
      </c>
    </row>
    <row r="4025" spans="1:15">
      <c r="A4025" t="s">
        <v>7288</v>
      </c>
      <c r="B4025" t="s">
        <v>7288</v>
      </c>
      <c r="C4025" t="s">
        <v>4027</v>
      </c>
      <c r="F4025">
        <v>1</v>
      </c>
      <c r="G4025" s="1" t="s">
        <v>11593</v>
      </c>
      <c r="I4025" s="1" t="s">
        <v>11473</v>
      </c>
      <c r="O4025" t="s">
        <v>22</v>
      </c>
    </row>
    <row r="4026" spans="1:15">
      <c r="A4026" t="s">
        <v>9957</v>
      </c>
      <c r="B4026" t="s">
        <v>9957</v>
      </c>
      <c r="C4026" t="s">
        <v>4027</v>
      </c>
      <c r="F4026">
        <v>1</v>
      </c>
      <c r="G4026" s="1" t="s">
        <v>11594</v>
      </c>
      <c r="I4026" s="1" t="s">
        <v>11473</v>
      </c>
      <c r="O4026" t="s">
        <v>22</v>
      </c>
    </row>
    <row r="4027" spans="1:15">
      <c r="A4027" t="s">
        <v>10263</v>
      </c>
      <c r="B4027" t="s">
        <v>10263</v>
      </c>
      <c r="C4027" t="s">
        <v>4027</v>
      </c>
      <c r="F4027">
        <v>1</v>
      </c>
      <c r="G4027" s="1" t="s">
        <v>11595</v>
      </c>
      <c r="I4027" s="1" t="s">
        <v>11473</v>
      </c>
      <c r="O4027" t="s">
        <v>22</v>
      </c>
    </row>
    <row r="4028" spans="1:15">
      <c r="A4028" t="s">
        <v>7333</v>
      </c>
      <c r="B4028" t="s">
        <v>7333</v>
      </c>
      <c r="C4028" t="s">
        <v>5040</v>
      </c>
      <c r="F4028">
        <v>1</v>
      </c>
      <c r="G4028" s="1" t="s">
        <v>11596</v>
      </c>
      <c r="I4028" s="1" t="s">
        <v>11473</v>
      </c>
      <c r="O4028" t="s">
        <v>22</v>
      </c>
    </row>
    <row r="4029" spans="1:15">
      <c r="A4029" t="s">
        <v>5528</v>
      </c>
      <c r="B4029" t="s">
        <v>5528</v>
      </c>
      <c r="C4029" t="s">
        <v>4402</v>
      </c>
      <c r="F4029">
        <v>1</v>
      </c>
      <c r="G4029" s="1" t="s">
        <v>11597</v>
      </c>
      <c r="I4029" s="1" t="s">
        <v>11473</v>
      </c>
      <c r="O4029" t="s">
        <v>22</v>
      </c>
    </row>
    <row r="4030" spans="1:15">
      <c r="A4030" t="s">
        <v>6999</v>
      </c>
      <c r="B4030" t="s">
        <v>6999</v>
      </c>
      <c r="C4030" t="s">
        <v>4402</v>
      </c>
      <c r="F4030">
        <v>1</v>
      </c>
      <c r="G4030" s="1" t="s">
        <v>11598</v>
      </c>
      <c r="I4030" s="1" t="s">
        <v>11473</v>
      </c>
      <c r="O4030" t="s">
        <v>22</v>
      </c>
    </row>
    <row r="4031" spans="1:15">
      <c r="A4031" t="s">
        <v>7201</v>
      </c>
      <c r="B4031" t="s">
        <v>7201</v>
      </c>
      <c r="C4031" t="s">
        <v>4923</v>
      </c>
      <c r="F4031">
        <v>1</v>
      </c>
      <c r="G4031" s="1" t="s">
        <v>11599</v>
      </c>
      <c r="I4031" s="1" t="s">
        <v>11473</v>
      </c>
      <c r="O4031" t="s">
        <v>22</v>
      </c>
    </row>
    <row r="4032" spans="1:15">
      <c r="A4032" t="s">
        <v>9622</v>
      </c>
      <c r="B4032" t="s">
        <v>9622</v>
      </c>
      <c r="C4032" t="s">
        <v>9623</v>
      </c>
      <c r="F4032">
        <v>1</v>
      </c>
      <c r="G4032" s="1" t="s">
        <v>11600</v>
      </c>
      <c r="I4032" s="1" t="s">
        <v>11473</v>
      </c>
      <c r="O4032" t="s">
        <v>22</v>
      </c>
    </row>
    <row r="4033" spans="1:15">
      <c r="A4033" t="s">
        <v>7168</v>
      </c>
      <c r="B4033" t="s">
        <v>7168</v>
      </c>
      <c r="C4033" t="s">
        <v>5069</v>
      </c>
      <c r="F4033">
        <v>1</v>
      </c>
      <c r="G4033" s="1" t="s">
        <v>11601</v>
      </c>
      <c r="I4033" s="1" t="s">
        <v>11473</v>
      </c>
      <c r="O4033" t="s">
        <v>22</v>
      </c>
    </row>
    <row r="4034" spans="1:15">
      <c r="A4034" t="s">
        <v>9620</v>
      </c>
      <c r="B4034" t="s">
        <v>9620</v>
      </c>
      <c r="C4034" t="s">
        <v>5069</v>
      </c>
      <c r="F4034">
        <v>1</v>
      </c>
      <c r="G4034" s="1" t="s">
        <v>11602</v>
      </c>
      <c r="I4034" s="1" t="s">
        <v>11473</v>
      </c>
      <c r="O4034" t="s">
        <v>22</v>
      </c>
    </row>
    <row r="4035" spans="1:15">
      <c r="A4035" t="s">
        <v>11323</v>
      </c>
      <c r="B4035" t="s">
        <v>11323</v>
      </c>
      <c r="C4035" t="s">
        <v>11324</v>
      </c>
      <c r="F4035">
        <v>1</v>
      </c>
      <c r="G4035" s="1" t="s">
        <v>11603</v>
      </c>
      <c r="I4035" s="1" t="s">
        <v>11473</v>
      </c>
      <c r="O4035" t="s">
        <v>22</v>
      </c>
    </row>
    <row r="4036" spans="1:15">
      <c r="A4036" t="s">
        <v>7738</v>
      </c>
      <c r="B4036" t="s">
        <v>7738</v>
      </c>
      <c r="C4036" t="s">
        <v>7739</v>
      </c>
      <c r="F4036">
        <v>1</v>
      </c>
      <c r="G4036" s="1" t="s">
        <v>11604</v>
      </c>
      <c r="I4036" s="1" t="s">
        <v>11473</v>
      </c>
      <c r="O4036" t="s">
        <v>22</v>
      </c>
    </row>
    <row r="4037" spans="1:15">
      <c r="A4037" t="s">
        <v>10190</v>
      </c>
      <c r="B4037" t="s">
        <v>10190</v>
      </c>
      <c r="C4037" t="s">
        <v>10191</v>
      </c>
      <c r="F4037">
        <v>1</v>
      </c>
      <c r="G4037" s="1" t="s">
        <v>11605</v>
      </c>
      <c r="I4037" s="1" t="s">
        <v>11473</v>
      </c>
      <c r="O4037" t="s">
        <v>22</v>
      </c>
    </row>
    <row r="4038" spans="1:15">
      <c r="A4038" t="s">
        <v>9158</v>
      </c>
      <c r="B4038" t="s">
        <v>9158</v>
      </c>
      <c r="C4038" t="s">
        <v>9159</v>
      </c>
      <c r="F4038">
        <v>1</v>
      </c>
      <c r="G4038" s="1" t="s">
        <v>11606</v>
      </c>
      <c r="I4038" s="1" t="s">
        <v>11473</v>
      </c>
      <c r="O4038" t="s">
        <v>22</v>
      </c>
    </row>
    <row r="4039" spans="1:15">
      <c r="A4039" t="s">
        <v>6192</v>
      </c>
      <c r="B4039" t="s">
        <v>6192</v>
      </c>
      <c r="C4039" t="s">
        <v>6193</v>
      </c>
      <c r="F4039">
        <v>1</v>
      </c>
      <c r="G4039" s="1" t="s">
        <v>11607</v>
      </c>
      <c r="I4039" s="1" t="s">
        <v>11473</v>
      </c>
      <c r="O4039" t="s">
        <v>22</v>
      </c>
    </row>
    <row r="4040" spans="1:15">
      <c r="A4040" t="s">
        <v>8748</v>
      </c>
      <c r="B4040" t="s">
        <v>8748</v>
      </c>
      <c r="C4040" t="s">
        <v>5312</v>
      </c>
      <c r="F4040">
        <v>1</v>
      </c>
      <c r="G4040" s="1" t="s">
        <v>11608</v>
      </c>
      <c r="I4040" s="1" t="s">
        <v>11473</v>
      </c>
      <c r="O4040" t="s">
        <v>22</v>
      </c>
    </row>
    <row r="4041" spans="1:15">
      <c r="A4041" t="s">
        <v>10937</v>
      </c>
      <c r="B4041" t="s">
        <v>10937</v>
      </c>
      <c r="C4041" t="s">
        <v>5312</v>
      </c>
      <c r="F4041">
        <v>1</v>
      </c>
      <c r="G4041" s="1" t="s">
        <v>11609</v>
      </c>
      <c r="I4041" s="1" t="s">
        <v>11473</v>
      </c>
      <c r="O4041" t="s">
        <v>22</v>
      </c>
    </row>
    <row r="4042" spans="1:15">
      <c r="A4042" t="s">
        <v>8506</v>
      </c>
      <c r="B4042" t="s">
        <v>8506</v>
      </c>
      <c r="C4042" t="s">
        <v>8507</v>
      </c>
      <c r="F4042">
        <v>1</v>
      </c>
      <c r="G4042" s="1" t="s">
        <v>11610</v>
      </c>
      <c r="I4042" s="1" t="s">
        <v>11473</v>
      </c>
      <c r="O4042" t="s">
        <v>22</v>
      </c>
    </row>
    <row r="4043" spans="1:15">
      <c r="A4043" t="s">
        <v>6119</v>
      </c>
      <c r="B4043" t="s">
        <v>6119</v>
      </c>
      <c r="C4043" t="s">
        <v>6120</v>
      </c>
      <c r="F4043">
        <v>1</v>
      </c>
      <c r="G4043" s="1" t="s">
        <v>11611</v>
      </c>
      <c r="I4043" s="1" t="s">
        <v>11473</v>
      </c>
      <c r="O4043" t="s">
        <v>22</v>
      </c>
    </row>
    <row r="4044" spans="1:15">
      <c r="A4044" t="s">
        <v>8721</v>
      </c>
      <c r="B4044" t="s">
        <v>8721</v>
      </c>
      <c r="C4044" t="s">
        <v>8722</v>
      </c>
      <c r="F4044">
        <v>1</v>
      </c>
      <c r="G4044" s="1" t="s">
        <v>11612</v>
      </c>
      <c r="I4044" s="1" t="s">
        <v>11473</v>
      </c>
      <c r="O4044" t="s">
        <v>22</v>
      </c>
    </row>
    <row r="4045" spans="1:15">
      <c r="A4045" t="s">
        <v>6772</v>
      </c>
      <c r="B4045" t="s">
        <v>6772</v>
      </c>
      <c r="C4045" t="s">
        <v>6773</v>
      </c>
      <c r="F4045">
        <v>1</v>
      </c>
      <c r="G4045" s="1" t="s">
        <v>11613</v>
      </c>
      <c r="I4045" s="1" t="s">
        <v>11473</v>
      </c>
      <c r="O4045" t="s">
        <v>22</v>
      </c>
    </row>
    <row r="4046" spans="1:15">
      <c r="A4046" t="s">
        <v>7365</v>
      </c>
      <c r="B4046" t="s">
        <v>7365</v>
      </c>
      <c r="C4046" t="s">
        <v>7366</v>
      </c>
      <c r="F4046">
        <v>1</v>
      </c>
      <c r="G4046" s="1" t="s">
        <v>11614</v>
      </c>
      <c r="I4046" s="1" t="s">
        <v>11473</v>
      </c>
      <c r="O4046" t="s">
        <v>22</v>
      </c>
    </row>
    <row r="4047" spans="1:15">
      <c r="A4047" t="s">
        <v>7204</v>
      </c>
      <c r="B4047" t="s">
        <v>7204</v>
      </c>
      <c r="C4047" t="s">
        <v>7205</v>
      </c>
      <c r="F4047">
        <v>1</v>
      </c>
      <c r="G4047" s="1" t="s">
        <v>11615</v>
      </c>
      <c r="I4047" s="1" t="s">
        <v>11473</v>
      </c>
      <c r="O4047" t="s">
        <v>22</v>
      </c>
    </row>
    <row r="4048" spans="1:15">
      <c r="A4048" t="s">
        <v>11152</v>
      </c>
      <c r="B4048" t="s">
        <v>11152</v>
      </c>
      <c r="C4048" t="s">
        <v>11153</v>
      </c>
      <c r="F4048">
        <v>1</v>
      </c>
      <c r="G4048" s="1" t="s">
        <v>11616</v>
      </c>
      <c r="I4048" s="1" t="s">
        <v>11473</v>
      </c>
      <c r="O4048" t="s">
        <v>22</v>
      </c>
    </row>
    <row r="4049" spans="1:15">
      <c r="A4049" t="s">
        <v>11201</v>
      </c>
      <c r="B4049" t="s">
        <v>11201</v>
      </c>
      <c r="C4049" t="s">
        <v>11202</v>
      </c>
      <c r="F4049">
        <v>1</v>
      </c>
      <c r="G4049" s="1" t="s">
        <v>11617</v>
      </c>
      <c r="I4049" s="1" t="s">
        <v>11473</v>
      </c>
      <c r="O4049" t="s">
        <v>22</v>
      </c>
    </row>
    <row r="4050" spans="1:15">
      <c r="A4050" t="s">
        <v>7342</v>
      </c>
      <c r="B4050" t="s">
        <v>7342</v>
      </c>
      <c r="C4050" t="s">
        <v>7343</v>
      </c>
      <c r="F4050">
        <v>1</v>
      </c>
      <c r="G4050" s="1" t="s">
        <v>11618</v>
      </c>
      <c r="I4050" s="1" t="s">
        <v>11473</v>
      </c>
      <c r="O4050" t="s">
        <v>22</v>
      </c>
    </row>
    <row r="4051" spans="1:15">
      <c r="A4051" t="s">
        <v>5678</v>
      </c>
      <c r="B4051" t="s">
        <v>5678</v>
      </c>
      <c r="C4051" t="s">
        <v>4184</v>
      </c>
      <c r="F4051">
        <v>1</v>
      </c>
      <c r="G4051" s="1" t="s">
        <v>11619</v>
      </c>
      <c r="I4051" s="1" t="s">
        <v>11473</v>
      </c>
      <c r="O4051" t="s">
        <v>22</v>
      </c>
    </row>
    <row r="4052" spans="1:15">
      <c r="A4052" t="s">
        <v>9625</v>
      </c>
      <c r="B4052" t="s">
        <v>9625</v>
      </c>
      <c r="C4052" t="s">
        <v>9626</v>
      </c>
      <c r="F4052">
        <v>1</v>
      </c>
      <c r="G4052" s="1" t="s">
        <v>11620</v>
      </c>
      <c r="I4052" s="1" t="s">
        <v>11473</v>
      </c>
      <c r="O4052" t="s">
        <v>22</v>
      </c>
    </row>
    <row r="4053" spans="1:15">
      <c r="A4053" t="s">
        <v>8156</v>
      </c>
      <c r="B4053" t="s">
        <v>8156</v>
      </c>
      <c r="C4053" t="s">
        <v>8157</v>
      </c>
      <c r="F4053">
        <v>1</v>
      </c>
      <c r="G4053" s="1" t="s">
        <v>11621</v>
      </c>
      <c r="I4053" s="1" t="s">
        <v>11473</v>
      </c>
      <c r="O4053" t="s">
        <v>22</v>
      </c>
    </row>
    <row r="4054" spans="1:15">
      <c r="A4054" t="s">
        <v>9564</v>
      </c>
      <c r="B4054" t="s">
        <v>9564</v>
      </c>
      <c r="C4054" t="s">
        <v>4349</v>
      </c>
      <c r="F4054">
        <v>1</v>
      </c>
      <c r="G4054" s="1" t="s">
        <v>11622</v>
      </c>
      <c r="I4054" s="1" t="s">
        <v>11473</v>
      </c>
      <c r="O4054" t="s">
        <v>22</v>
      </c>
    </row>
    <row r="4055" spans="1:15">
      <c r="A4055" t="s">
        <v>11292</v>
      </c>
      <c r="B4055" t="s">
        <v>11292</v>
      </c>
      <c r="C4055" t="s">
        <v>11293</v>
      </c>
      <c r="F4055">
        <v>1</v>
      </c>
      <c r="G4055" s="1" t="s">
        <v>11623</v>
      </c>
      <c r="I4055" s="1" t="s">
        <v>11473</v>
      </c>
      <c r="O4055" t="s">
        <v>22</v>
      </c>
    </row>
    <row r="4056" spans="1:15">
      <c r="A4056" t="s">
        <v>6998</v>
      </c>
      <c r="B4056" t="s">
        <v>6998</v>
      </c>
      <c r="C4056" t="s">
        <v>4460</v>
      </c>
      <c r="F4056">
        <v>1</v>
      </c>
      <c r="G4056" s="1" t="s">
        <v>11624</v>
      </c>
      <c r="I4056" s="1" t="s">
        <v>11473</v>
      </c>
      <c r="O4056" t="s">
        <v>22</v>
      </c>
    </row>
    <row r="4057" spans="1:15">
      <c r="A4057" t="s">
        <v>8446</v>
      </c>
      <c r="B4057" t="s">
        <v>8446</v>
      </c>
      <c r="C4057" t="s">
        <v>8447</v>
      </c>
      <c r="F4057">
        <v>1</v>
      </c>
      <c r="G4057" s="1" t="s">
        <v>11625</v>
      </c>
      <c r="I4057" s="1" t="s">
        <v>11473</v>
      </c>
      <c r="O4057" t="s">
        <v>22</v>
      </c>
    </row>
    <row r="4058" spans="1:15">
      <c r="A4058" t="s">
        <v>9202</v>
      </c>
      <c r="B4058" t="s">
        <v>9202</v>
      </c>
      <c r="C4058" t="s">
        <v>9203</v>
      </c>
      <c r="F4058">
        <v>1</v>
      </c>
      <c r="G4058" s="1" t="s">
        <v>11626</v>
      </c>
      <c r="I4058" s="1" t="s">
        <v>11473</v>
      </c>
      <c r="O4058" t="s">
        <v>22</v>
      </c>
    </row>
    <row r="4059" spans="1:15">
      <c r="A4059" t="s">
        <v>11327</v>
      </c>
      <c r="B4059" t="s">
        <v>11327</v>
      </c>
      <c r="C4059" t="s">
        <v>11328</v>
      </c>
      <c r="F4059">
        <v>1</v>
      </c>
      <c r="G4059" s="1" t="s">
        <v>11627</v>
      </c>
      <c r="I4059" s="1" t="s">
        <v>11473</v>
      </c>
      <c r="O4059" t="s">
        <v>22</v>
      </c>
    </row>
    <row r="4060" spans="1:15">
      <c r="A4060" t="s">
        <v>6155</v>
      </c>
      <c r="B4060" t="s">
        <v>6155</v>
      </c>
      <c r="C4060" t="s">
        <v>4223</v>
      </c>
      <c r="F4060">
        <v>1</v>
      </c>
      <c r="G4060" s="1" t="s">
        <v>11628</v>
      </c>
      <c r="I4060" s="1" t="s">
        <v>11473</v>
      </c>
      <c r="O4060" t="s">
        <v>22</v>
      </c>
    </row>
    <row r="4061" spans="1:15">
      <c r="A4061" t="s">
        <v>6121</v>
      </c>
      <c r="B4061" t="s">
        <v>6121</v>
      </c>
      <c r="C4061" t="s">
        <v>6122</v>
      </c>
      <c r="F4061">
        <v>1</v>
      </c>
      <c r="G4061" s="1" t="s">
        <v>11629</v>
      </c>
      <c r="I4061" s="1" t="s">
        <v>11473</v>
      </c>
      <c r="O4061" t="s">
        <v>22</v>
      </c>
    </row>
    <row r="4062" spans="1:15">
      <c r="A4062" t="s">
        <v>9751</v>
      </c>
      <c r="B4062" t="s">
        <v>9751</v>
      </c>
      <c r="C4062" t="s">
        <v>9752</v>
      </c>
      <c r="F4062">
        <v>1</v>
      </c>
      <c r="G4062" s="1" t="s">
        <v>11630</v>
      </c>
      <c r="I4062" s="1" t="s">
        <v>11473</v>
      </c>
      <c r="O4062" t="s">
        <v>22</v>
      </c>
    </row>
    <row r="4063" spans="1:15">
      <c r="A4063" t="s">
        <v>8513</v>
      </c>
      <c r="B4063" t="s">
        <v>8513</v>
      </c>
      <c r="C4063" t="s">
        <v>5066</v>
      </c>
      <c r="F4063">
        <v>1</v>
      </c>
      <c r="G4063" s="1" t="s">
        <v>11631</v>
      </c>
      <c r="I4063" s="1" t="s">
        <v>11473</v>
      </c>
      <c r="O4063" t="s">
        <v>22</v>
      </c>
    </row>
    <row r="4064" spans="1:15">
      <c r="A4064" t="s">
        <v>6988</v>
      </c>
      <c r="B4064" t="s">
        <v>6988</v>
      </c>
      <c r="C4064" t="s">
        <v>6989</v>
      </c>
      <c r="F4064">
        <v>1</v>
      </c>
      <c r="G4064" s="1" t="s">
        <v>11632</v>
      </c>
      <c r="I4064" s="1" t="s">
        <v>11473</v>
      </c>
      <c r="O4064" t="s">
        <v>22</v>
      </c>
    </row>
    <row r="4065" spans="1:15">
      <c r="A4065" t="s">
        <v>9084</v>
      </c>
      <c r="B4065" t="s">
        <v>9084</v>
      </c>
      <c r="C4065" t="s">
        <v>6989</v>
      </c>
      <c r="F4065">
        <v>1</v>
      </c>
      <c r="G4065" s="1" t="s">
        <v>11633</v>
      </c>
      <c r="I4065" s="1" t="s">
        <v>11473</v>
      </c>
      <c r="O4065" t="s">
        <v>22</v>
      </c>
    </row>
    <row r="4066" spans="1:15">
      <c r="A4066" t="s">
        <v>8602</v>
      </c>
      <c r="B4066" t="s">
        <v>8602</v>
      </c>
      <c r="C4066" t="s">
        <v>5176</v>
      </c>
      <c r="F4066">
        <v>1</v>
      </c>
      <c r="G4066" s="1" t="s">
        <v>11634</v>
      </c>
      <c r="I4066" s="1" t="s">
        <v>11473</v>
      </c>
      <c r="O4066" t="s">
        <v>22</v>
      </c>
    </row>
    <row r="4067" spans="1:15">
      <c r="A4067" t="s">
        <v>10164</v>
      </c>
      <c r="B4067" t="s">
        <v>10164</v>
      </c>
      <c r="C4067" t="s">
        <v>10165</v>
      </c>
      <c r="F4067">
        <v>1</v>
      </c>
      <c r="G4067" s="1" t="s">
        <v>11635</v>
      </c>
      <c r="I4067" s="1" t="s">
        <v>11473</v>
      </c>
      <c r="O4067" t="s">
        <v>22</v>
      </c>
    </row>
    <row r="4068" spans="1:15">
      <c r="A4068" t="s">
        <v>8663</v>
      </c>
      <c r="B4068" t="s">
        <v>8663</v>
      </c>
      <c r="C4068" t="s">
        <v>8664</v>
      </c>
      <c r="F4068">
        <v>1</v>
      </c>
      <c r="G4068" s="1" t="s">
        <v>11636</v>
      </c>
      <c r="I4068" s="1" t="s">
        <v>11473</v>
      </c>
      <c r="O4068" t="s">
        <v>22</v>
      </c>
    </row>
    <row r="4069" spans="1:15">
      <c r="A4069" t="s">
        <v>6905</v>
      </c>
      <c r="B4069" t="s">
        <v>6905</v>
      </c>
      <c r="C4069" t="s">
        <v>6906</v>
      </c>
      <c r="F4069">
        <v>1</v>
      </c>
      <c r="G4069" s="1" t="s">
        <v>11637</v>
      </c>
      <c r="I4069" s="1" t="s">
        <v>11473</v>
      </c>
      <c r="O4069" t="s">
        <v>22</v>
      </c>
    </row>
    <row r="4070" spans="1:15">
      <c r="A4070" t="s">
        <v>9148</v>
      </c>
      <c r="B4070" t="s">
        <v>9148</v>
      </c>
      <c r="C4070" t="s">
        <v>6906</v>
      </c>
      <c r="F4070">
        <v>1</v>
      </c>
      <c r="G4070" s="1" t="s">
        <v>11638</v>
      </c>
      <c r="I4070" s="1" t="s">
        <v>11473</v>
      </c>
      <c r="O4070" t="s">
        <v>22</v>
      </c>
    </row>
    <row r="4071" spans="1:15">
      <c r="A4071" t="s">
        <v>10004</v>
      </c>
      <c r="B4071" t="s">
        <v>10004</v>
      </c>
      <c r="C4071" t="s">
        <v>6906</v>
      </c>
      <c r="F4071">
        <v>1</v>
      </c>
      <c r="G4071" s="1" t="s">
        <v>11639</v>
      </c>
      <c r="I4071" s="1" t="s">
        <v>11473</v>
      </c>
      <c r="O4071" t="s">
        <v>22</v>
      </c>
    </row>
    <row r="4072" spans="1:15">
      <c r="A4072" t="s">
        <v>9212</v>
      </c>
      <c r="B4072" t="s">
        <v>9212</v>
      </c>
      <c r="C4072" t="s">
        <v>5134</v>
      </c>
      <c r="F4072">
        <v>1</v>
      </c>
      <c r="G4072" s="1" t="s">
        <v>11640</v>
      </c>
      <c r="I4072" s="1" t="s">
        <v>11473</v>
      </c>
      <c r="O4072" t="s">
        <v>22</v>
      </c>
    </row>
    <row r="4073" spans="1:15">
      <c r="A4073" t="s">
        <v>6995</v>
      </c>
      <c r="B4073" t="s">
        <v>6995</v>
      </c>
      <c r="C4073" t="s">
        <v>5088</v>
      </c>
      <c r="F4073">
        <v>1</v>
      </c>
      <c r="G4073" s="1" t="s">
        <v>11641</v>
      </c>
      <c r="I4073" s="1" t="s">
        <v>11473</v>
      </c>
      <c r="O4073" t="s">
        <v>22</v>
      </c>
    </row>
    <row r="4074" spans="1:15">
      <c r="A4074" t="s">
        <v>8295</v>
      </c>
      <c r="B4074" t="s">
        <v>8295</v>
      </c>
      <c r="C4074" t="s">
        <v>5088</v>
      </c>
      <c r="F4074">
        <v>1</v>
      </c>
      <c r="G4074" s="1" t="s">
        <v>11642</v>
      </c>
      <c r="I4074" s="1" t="s">
        <v>11473</v>
      </c>
      <c r="O4074" t="s">
        <v>22</v>
      </c>
    </row>
    <row r="4075" spans="1:15">
      <c r="A4075" t="s">
        <v>5723</v>
      </c>
      <c r="B4075" t="s">
        <v>5723</v>
      </c>
      <c r="C4075" t="s">
        <v>4161</v>
      </c>
      <c r="F4075">
        <v>1</v>
      </c>
      <c r="G4075" s="1" t="s">
        <v>11643</v>
      </c>
      <c r="I4075" s="1" t="s">
        <v>11473</v>
      </c>
      <c r="O4075" t="s">
        <v>22</v>
      </c>
    </row>
    <row r="4076" spans="1:15">
      <c r="A4076" t="s">
        <v>8532</v>
      </c>
      <c r="B4076" t="s">
        <v>8532</v>
      </c>
      <c r="C4076" t="s">
        <v>4835</v>
      </c>
      <c r="F4076">
        <v>1</v>
      </c>
      <c r="G4076" s="1" t="s">
        <v>11644</v>
      </c>
      <c r="I4076" s="1" t="s">
        <v>11473</v>
      </c>
      <c r="O4076" t="s">
        <v>22</v>
      </c>
    </row>
    <row r="4077" spans="1:15">
      <c r="A4077" t="s">
        <v>8153</v>
      </c>
      <c r="B4077" t="s">
        <v>8153</v>
      </c>
      <c r="C4077" t="s">
        <v>8154</v>
      </c>
      <c r="F4077">
        <v>1</v>
      </c>
      <c r="G4077" s="1" t="s">
        <v>11645</v>
      </c>
      <c r="I4077" s="1" t="s">
        <v>11473</v>
      </c>
      <c r="O4077" t="s">
        <v>22</v>
      </c>
    </row>
    <row r="4078" spans="1:15">
      <c r="A4078" t="s">
        <v>8869</v>
      </c>
      <c r="B4078" t="s">
        <v>8869</v>
      </c>
      <c r="C4078" t="s">
        <v>8870</v>
      </c>
      <c r="F4078">
        <v>1</v>
      </c>
      <c r="G4078" s="1" t="s">
        <v>11646</v>
      </c>
      <c r="I4078" s="1" t="s">
        <v>11473</v>
      </c>
      <c r="O4078" t="s">
        <v>22</v>
      </c>
    </row>
    <row r="4079" spans="1:15">
      <c r="A4079" t="s">
        <v>9566</v>
      </c>
      <c r="B4079" t="s">
        <v>9566</v>
      </c>
      <c r="C4079" t="s">
        <v>8870</v>
      </c>
      <c r="F4079">
        <v>1</v>
      </c>
      <c r="G4079" s="1" t="s">
        <v>11647</v>
      </c>
      <c r="I4079" s="1" t="s">
        <v>11473</v>
      </c>
      <c r="O4079" t="s">
        <v>22</v>
      </c>
    </row>
    <row r="4080" spans="1:15">
      <c r="A4080" t="s">
        <v>6761</v>
      </c>
      <c r="B4080" t="s">
        <v>6761</v>
      </c>
      <c r="C4080" t="s">
        <v>6762</v>
      </c>
      <c r="F4080">
        <v>1</v>
      </c>
      <c r="G4080" s="1" t="s">
        <v>11648</v>
      </c>
      <c r="I4080" s="1" t="s">
        <v>11473</v>
      </c>
      <c r="O4080" t="s">
        <v>22</v>
      </c>
    </row>
    <row r="4081" spans="1:15">
      <c r="A4081" t="s">
        <v>10015</v>
      </c>
      <c r="B4081" t="s">
        <v>10015</v>
      </c>
      <c r="C4081" t="s">
        <v>10016</v>
      </c>
      <c r="F4081">
        <v>1</v>
      </c>
      <c r="G4081" s="1" t="s">
        <v>11649</v>
      </c>
      <c r="I4081" s="1" t="s">
        <v>11473</v>
      </c>
      <c r="O4081" t="s">
        <v>22</v>
      </c>
    </row>
    <row r="4082" spans="1:15">
      <c r="A4082" t="s">
        <v>9433</v>
      </c>
      <c r="B4082" t="s">
        <v>9433</v>
      </c>
      <c r="C4082" t="s">
        <v>9434</v>
      </c>
      <c r="F4082">
        <v>1</v>
      </c>
      <c r="G4082" s="1" t="s">
        <v>11650</v>
      </c>
      <c r="I4082" s="1" t="s">
        <v>11473</v>
      </c>
      <c r="O4082" t="s">
        <v>22</v>
      </c>
    </row>
    <row r="4083" spans="1:15">
      <c r="A4083" t="s">
        <v>10025</v>
      </c>
      <c r="B4083" t="s">
        <v>10025</v>
      </c>
      <c r="C4083" t="s">
        <v>5132</v>
      </c>
      <c r="F4083">
        <v>1</v>
      </c>
      <c r="G4083" s="1" t="s">
        <v>11651</v>
      </c>
      <c r="I4083" s="1" t="s">
        <v>11473</v>
      </c>
      <c r="O4083" t="s">
        <v>22</v>
      </c>
    </row>
    <row r="4084" spans="1:15">
      <c r="A4084" t="s">
        <v>9855</v>
      </c>
      <c r="B4084" t="s">
        <v>9855</v>
      </c>
      <c r="C4084" t="s">
        <v>9856</v>
      </c>
      <c r="F4084">
        <v>1</v>
      </c>
      <c r="G4084" s="1" t="s">
        <v>11652</v>
      </c>
      <c r="I4084" s="1" t="s">
        <v>11473</v>
      </c>
      <c r="O4084" t="s">
        <v>22</v>
      </c>
    </row>
    <row r="4085" spans="1:15">
      <c r="A4085" t="s">
        <v>10010</v>
      </c>
      <c r="B4085" t="s">
        <v>10010</v>
      </c>
      <c r="C4085" t="s">
        <v>10011</v>
      </c>
      <c r="F4085">
        <v>1</v>
      </c>
      <c r="G4085" s="1" t="s">
        <v>11653</v>
      </c>
      <c r="I4085" s="1" t="s">
        <v>11473</v>
      </c>
      <c r="O4085" t="s">
        <v>22</v>
      </c>
    </row>
    <row r="4086" spans="1:15">
      <c r="A4086" t="s">
        <v>8199</v>
      </c>
      <c r="B4086" t="s">
        <v>8199</v>
      </c>
      <c r="C4086" t="s">
        <v>8200</v>
      </c>
      <c r="F4086">
        <v>1</v>
      </c>
      <c r="G4086" s="1" t="s">
        <v>11654</v>
      </c>
      <c r="I4086" s="1" t="s">
        <v>11473</v>
      </c>
      <c r="O4086" t="s">
        <v>22</v>
      </c>
    </row>
    <row r="4087" spans="1:15">
      <c r="A4087" t="s">
        <v>8772</v>
      </c>
      <c r="B4087" t="s">
        <v>8772</v>
      </c>
      <c r="C4087" t="s">
        <v>8200</v>
      </c>
      <c r="F4087">
        <v>1</v>
      </c>
      <c r="G4087" s="1" t="s">
        <v>11655</v>
      </c>
      <c r="I4087" s="1" t="s">
        <v>11473</v>
      </c>
      <c r="O4087" t="s">
        <v>22</v>
      </c>
    </row>
    <row r="4088" spans="1:15">
      <c r="A4088" t="s">
        <v>5517</v>
      </c>
      <c r="B4088" t="s">
        <v>5517</v>
      </c>
      <c r="C4088" t="s">
        <v>4791</v>
      </c>
      <c r="F4088">
        <v>1</v>
      </c>
      <c r="G4088" s="1" t="s">
        <v>11656</v>
      </c>
      <c r="I4088" s="1" t="s">
        <v>11473</v>
      </c>
      <c r="O4088" t="s">
        <v>22</v>
      </c>
    </row>
    <row r="4089" spans="1:15">
      <c r="A4089" t="s">
        <v>9849</v>
      </c>
      <c r="B4089" t="s">
        <v>9849</v>
      </c>
      <c r="C4089" t="s">
        <v>4791</v>
      </c>
      <c r="F4089">
        <v>1</v>
      </c>
      <c r="G4089" s="1" t="s">
        <v>11657</v>
      </c>
      <c r="I4089" s="1" t="s">
        <v>11473</v>
      </c>
      <c r="O4089" t="s">
        <v>22</v>
      </c>
    </row>
    <row r="4090" spans="1:15">
      <c r="A4090" t="s">
        <v>7334</v>
      </c>
      <c r="B4090" t="s">
        <v>7334</v>
      </c>
      <c r="C4090" t="s">
        <v>5331</v>
      </c>
      <c r="F4090">
        <v>1</v>
      </c>
      <c r="G4090" s="1" t="s">
        <v>11658</v>
      </c>
      <c r="I4090" s="1" t="s">
        <v>11473</v>
      </c>
      <c r="O4090" t="s">
        <v>22</v>
      </c>
    </row>
    <row r="4091" spans="1:15">
      <c r="A4091" t="s">
        <v>7031</v>
      </c>
      <c r="B4091" t="s">
        <v>7031</v>
      </c>
      <c r="C4091" t="s">
        <v>5306</v>
      </c>
      <c r="F4091">
        <v>1</v>
      </c>
      <c r="G4091" s="1" t="s">
        <v>11659</v>
      </c>
      <c r="I4091" s="1" t="s">
        <v>11473</v>
      </c>
      <c r="O4091" t="s">
        <v>22</v>
      </c>
    </row>
    <row r="4092" spans="1:15">
      <c r="A4092" t="s">
        <v>8172</v>
      </c>
      <c r="B4092" t="s">
        <v>8172</v>
      </c>
      <c r="C4092" t="s">
        <v>5306</v>
      </c>
      <c r="F4092">
        <v>1</v>
      </c>
      <c r="G4092" s="1" t="s">
        <v>11660</v>
      </c>
      <c r="I4092" s="1" t="s">
        <v>11473</v>
      </c>
      <c r="O4092" t="s">
        <v>22</v>
      </c>
    </row>
    <row r="4093" spans="1:15">
      <c r="A4093" t="s">
        <v>9042</v>
      </c>
      <c r="B4093" t="s">
        <v>9042</v>
      </c>
      <c r="C4093" t="s">
        <v>5313</v>
      </c>
      <c r="F4093">
        <v>1</v>
      </c>
      <c r="G4093" s="1" t="s">
        <v>11661</v>
      </c>
      <c r="I4093" s="1" t="s">
        <v>11473</v>
      </c>
      <c r="O4093" t="s">
        <v>22</v>
      </c>
    </row>
    <row r="4094" spans="1:15">
      <c r="A4094" t="s">
        <v>9910</v>
      </c>
      <c r="B4094" t="s">
        <v>9910</v>
      </c>
      <c r="C4094" t="s">
        <v>5313</v>
      </c>
      <c r="F4094">
        <v>1</v>
      </c>
      <c r="G4094" s="1" t="s">
        <v>11662</v>
      </c>
      <c r="I4094" s="1" t="s">
        <v>11473</v>
      </c>
      <c r="O4094" t="s">
        <v>22</v>
      </c>
    </row>
    <row r="4095" spans="1:15">
      <c r="A4095" t="s">
        <v>6758</v>
      </c>
      <c r="B4095" t="s">
        <v>6758</v>
      </c>
      <c r="C4095" t="s">
        <v>4774</v>
      </c>
      <c r="F4095">
        <v>1</v>
      </c>
      <c r="G4095" s="1" t="s">
        <v>11663</v>
      </c>
      <c r="I4095" s="1" t="s">
        <v>11473</v>
      </c>
      <c r="O4095" t="s">
        <v>22</v>
      </c>
    </row>
    <row r="4096" spans="1:15">
      <c r="A4096" t="s">
        <v>6541</v>
      </c>
      <c r="B4096" t="s">
        <v>6541</v>
      </c>
      <c r="C4096" t="s">
        <v>6542</v>
      </c>
      <c r="F4096">
        <v>1</v>
      </c>
      <c r="G4096" s="1" t="s">
        <v>11664</v>
      </c>
      <c r="I4096" s="1" t="s">
        <v>11473</v>
      </c>
      <c r="O4096" t="s">
        <v>22</v>
      </c>
    </row>
    <row r="4097" spans="1:15">
      <c r="A4097" t="s">
        <v>8692</v>
      </c>
      <c r="B4097" t="s">
        <v>8692</v>
      </c>
      <c r="C4097" t="s">
        <v>6542</v>
      </c>
      <c r="F4097">
        <v>1</v>
      </c>
      <c r="G4097" s="1" t="s">
        <v>11665</v>
      </c>
      <c r="I4097" s="1" t="s">
        <v>11473</v>
      </c>
      <c r="O4097" t="s">
        <v>22</v>
      </c>
    </row>
    <row r="4098" spans="1:15">
      <c r="A4098" t="s">
        <v>7220</v>
      </c>
      <c r="B4098" t="s">
        <v>7220</v>
      </c>
      <c r="C4098" t="s">
        <v>7221</v>
      </c>
      <c r="F4098">
        <v>1</v>
      </c>
      <c r="G4098" s="1" t="s">
        <v>11666</v>
      </c>
      <c r="I4098" s="1" t="s">
        <v>11473</v>
      </c>
      <c r="O4098" t="s">
        <v>22</v>
      </c>
    </row>
    <row r="4099" spans="1:15">
      <c r="A4099" t="s">
        <v>9679</v>
      </c>
      <c r="B4099" t="s">
        <v>9679</v>
      </c>
      <c r="C4099" t="s">
        <v>4449</v>
      </c>
      <c r="F4099">
        <v>1</v>
      </c>
      <c r="G4099" s="1" t="s">
        <v>11667</v>
      </c>
      <c r="I4099" s="1" t="s">
        <v>11473</v>
      </c>
      <c r="O4099" t="s">
        <v>22</v>
      </c>
    </row>
    <row r="4100" spans="1:15">
      <c r="A4100" t="s">
        <v>9576</v>
      </c>
      <c r="B4100" t="s">
        <v>9576</v>
      </c>
      <c r="C4100" t="s">
        <v>4759</v>
      </c>
      <c r="F4100">
        <v>1</v>
      </c>
      <c r="G4100" s="1" t="s">
        <v>11668</v>
      </c>
      <c r="I4100" s="1" t="s">
        <v>11473</v>
      </c>
      <c r="O4100" t="s">
        <v>22</v>
      </c>
    </row>
    <row r="4101" spans="1:15">
      <c r="A4101" t="s">
        <v>9733</v>
      </c>
      <c r="B4101" t="s">
        <v>9733</v>
      </c>
      <c r="C4101" t="s">
        <v>4759</v>
      </c>
      <c r="F4101">
        <v>1</v>
      </c>
      <c r="G4101" s="1" t="s">
        <v>11669</v>
      </c>
      <c r="I4101" s="1" t="s">
        <v>11473</v>
      </c>
      <c r="O4101" t="s">
        <v>22</v>
      </c>
    </row>
    <row r="4102" spans="1:15">
      <c r="A4102" t="s">
        <v>7215</v>
      </c>
      <c r="B4102" t="s">
        <v>7215</v>
      </c>
      <c r="C4102" t="s">
        <v>7216</v>
      </c>
      <c r="F4102">
        <v>1</v>
      </c>
      <c r="G4102" s="1" t="s">
        <v>11670</v>
      </c>
      <c r="I4102" s="1" t="s">
        <v>11473</v>
      </c>
      <c r="O4102" t="s">
        <v>22</v>
      </c>
    </row>
    <row r="4103" spans="1:15">
      <c r="A4103" t="s">
        <v>8171</v>
      </c>
      <c r="B4103" t="s">
        <v>8171</v>
      </c>
      <c r="C4103" t="s">
        <v>7216</v>
      </c>
      <c r="F4103">
        <v>1</v>
      </c>
      <c r="G4103" s="1" t="s">
        <v>11671</v>
      </c>
      <c r="I4103" s="1" t="s">
        <v>11473</v>
      </c>
      <c r="O4103" t="s">
        <v>22</v>
      </c>
    </row>
    <row r="4104" spans="1:15">
      <c r="A4104" t="s">
        <v>7160</v>
      </c>
      <c r="B4104" t="s">
        <v>7160</v>
      </c>
      <c r="C4104" t="s">
        <v>4840</v>
      </c>
      <c r="F4104">
        <v>1</v>
      </c>
      <c r="G4104" s="1" t="s">
        <v>11672</v>
      </c>
      <c r="I4104" s="1" t="s">
        <v>11473</v>
      </c>
      <c r="O4104" t="s">
        <v>22</v>
      </c>
    </row>
    <row r="4105" spans="1:15">
      <c r="A4105" t="s">
        <v>9232</v>
      </c>
      <c r="B4105" t="s">
        <v>9232</v>
      </c>
      <c r="C4105" t="s">
        <v>9233</v>
      </c>
      <c r="F4105">
        <v>1</v>
      </c>
      <c r="G4105" s="1" t="s">
        <v>11673</v>
      </c>
      <c r="I4105" s="1" t="s">
        <v>11473</v>
      </c>
      <c r="O4105" t="s">
        <v>22</v>
      </c>
    </row>
    <row r="4106" spans="1:15">
      <c r="A4106" t="s">
        <v>7007</v>
      </c>
      <c r="B4106" t="s">
        <v>7007</v>
      </c>
      <c r="C4106" t="s">
        <v>7008</v>
      </c>
      <c r="F4106">
        <v>1</v>
      </c>
      <c r="G4106" s="1" t="s">
        <v>11674</v>
      </c>
      <c r="I4106" s="1" t="s">
        <v>11473</v>
      </c>
      <c r="O4106" t="s">
        <v>22</v>
      </c>
    </row>
    <row r="4107" spans="1:15">
      <c r="A4107" t="s">
        <v>7299</v>
      </c>
      <c r="B4107" t="s">
        <v>7299</v>
      </c>
      <c r="C4107" t="s">
        <v>4458</v>
      </c>
      <c r="F4107">
        <v>1</v>
      </c>
      <c r="G4107" s="1" t="s">
        <v>11675</v>
      </c>
      <c r="I4107" s="1" t="s">
        <v>11473</v>
      </c>
      <c r="O4107" t="s">
        <v>22</v>
      </c>
    </row>
    <row r="4108" spans="1:15">
      <c r="A4108" t="s">
        <v>7217</v>
      </c>
      <c r="B4108" t="s">
        <v>7217</v>
      </c>
      <c r="C4108" t="s">
        <v>7218</v>
      </c>
      <c r="F4108">
        <v>1</v>
      </c>
      <c r="G4108" s="1" t="s">
        <v>11676</v>
      </c>
      <c r="I4108" s="1" t="s">
        <v>11473</v>
      </c>
      <c r="O4108" t="s">
        <v>22</v>
      </c>
    </row>
    <row r="4109" spans="1:15">
      <c r="A4109" t="s">
        <v>10473</v>
      </c>
      <c r="B4109" t="s">
        <v>10473</v>
      </c>
      <c r="C4109" t="s">
        <v>7218</v>
      </c>
      <c r="F4109">
        <v>1</v>
      </c>
      <c r="G4109" s="1" t="s">
        <v>11677</v>
      </c>
      <c r="I4109" s="1" t="s">
        <v>11473</v>
      </c>
      <c r="O4109" t="s">
        <v>22</v>
      </c>
    </row>
    <row r="4110" spans="1:15">
      <c r="A4110" t="s">
        <v>8468</v>
      </c>
      <c r="B4110" t="s">
        <v>8468</v>
      </c>
      <c r="C4110" t="s">
        <v>8469</v>
      </c>
      <c r="F4110">
        <v>1</v>
      </c>
      <c r="G4110" s="1" t="s">
        <v>11678</v>
      </c>
      <c r="I4110" s="1" t="s">
        <v>11473</v>
      </c>
      <c r="O4110" t="s">
        <v>22</v>
      </c>
    </row>
    <row r="4111" spans="1:15">
      <c r="A4111" t="s">
        <v>7171</v>
      </c>
      <c r="B4111" t="s">
        <v>7171</v>
      </c>
      <c r="C4111" t="s">
        <v>7172</v>
      </c>
      <c r="F4111">
        <v>1</v>
      </c>
      <c r="G4111" s="1" t="s">
        <v>11679</v>
      </c>
      <c r="I4111" s="1" t="s">
        <v>11473</v>
      </c>
      <c r="O4111" t="s">
        <v>22</v>
      </c>
    </row>
    <row r="4112" spans="1:15">
      <c r="A4112" t="s">
        <v>7300</v>
      </c>
      <c r="B4112" t="s">
        <v>7300</v>
      </c>
      <c r="C4112" t="s">
        <v>7172</v>
      </c>
      <c r="F4112">
        <v>1</v>
      </c>
      <c r="G4112" s="1" t="s">
        <v>11680</v>
      </c>
      <c r="I4112" s="1" t="s">
        <v>11473</v>
      </c>
      <c r="O4112" t="s">
        <v>22</v>
      </c>
    </row>
    <row r="4113" spans="1:15">
      <c r="A4113" t="s">
        <v>7348</v>
      </c>
      <c r="B4113" t="s">
        <v>7348</v>
      </c>
      <c r="C4113" t="s">
        <v>7349</v>
      </c>
      <c r="F4113">
        <v>1</v>
      </c>
      <c r="G4113" s="1" t="s">
        <v>11681</v>
      </c>
      <c r="I4113" s="1" t="s">
        <v>11473</v>
      </c>
      <c r="O4113" t="s">
        <v>22</v>
      </c>
    </row>
    <row r="4114" spans="1:15">
      <c r="A4114" t="s">
        <v>9900</v>
      </c>
      <c r="B4114" t="s">
        <v>9900</v>
      </c>
      <c r="C4114" t="s">
        <v>7349</v>
      </c>
      <c r="F4114">
        <v>1</v>
      </c>
      <c r="G4114" s="1" t="s">
        <v>11682</v>
      </c>
      <c r="I4114" s="1" t="s">
        <v>11473</v>
      </c>
      <c r="O4114" t="s">
        <v>22</v>
      </c>
    </row>
    <row r="4115" spans="1:15">
      <c r="A4115" t="s">
        <v>7173</v>
      </c>
      <c r="B4115" t="s">
        <v>7173</v>
      </c>
      <c r="C4115" t="s">
        <v>5068</v>
      </c>
      <c r="F4115">
        <v>1</v>
      </c>
      <c r="G4115" s="1" t="s">
        <v>11683</v>
      </c>
      <c r="I4115" s="1" t="s">
        <v>11473</v>
      </c>
      <c r="O4115" t="s">
        <v>22</v>
      </c>
    </row>
    <row r="4116" spans="1:15">
      <c r="A4116" t="s">
        <v>7301</v>
      </c>
      <c r="B4116" t="s">
        <v>7301</v>
      </c>
      <c r="C4116" t="s">
        <v>5101</v>
      </c>
      <c r="F4116">
        <v>1</v>
      </c>
      <c r="G4116" s="1" t="s">
        <v>11684</v>
      </c>
      <c r="I4116" s="1" t="s">
        <v>11473</v>
      </c>
      <c r="O4116" t="s">
        <v>22</v>
      </c>
    </row>
    <row r="4117" spans="1:15">
      <c r="A4117" t="s">
        <v>9672</v>
      </c>
      <c r="B4117" t="s">
        <v>9672</v>
      </c>
      <c r="C4117" t="s">
        <v>4790</v>
      </c>
      <c r="F4117">
        <v>1</v>
      </c>
      <c r="G4117" s="1" t="s">
        <v>11685</v>
      </c>
      <c r="I4117" s="1" t="s">
        <v>11473</v>
      </c>
      <c r="O4117" t="s">
        <v>22</v>
      </c>
    </row>
    <row r="4118" spans="1:15">
      <c r="A4118" t="s">
        <v>7190</v>
      </c>
      <c r="B4118" t="s">
        <v>7190</v>
      </c>
      <c r="C4118" t="s">
        <v>7191</v>
      </c>
      <c r="F4118">
        <v>1</v>
      </c>
      <c r="G4118" s="1" t="s">
        <v>11686</v>
      </c>
      <c r="I4118" s="1" t="s">
        <v>11473</v>
      </c>
      <c r="O4118" t="s">
        <v>22</v>
      </c>
    </row>
    <row r="4119" spans="1:15">
      <c r="A4119" t="s">
        <v>5956</v>
      </c>
      <c r="B4119" t="s">
        <v>5956</v>
      </c>
      <c r="C4119" t="s">
        <v>4789</v>
      </c>
      <c r="F4119">
        <v>1</v>
      </c>
      <c r="G4119" s="1" t="s">
        <v>11687</v>
      </c>
      <c r="I4119" s="1" t="s">
        <v>11473</v>
      </c>
      <c r="O4119" t="s">
        <v>22</v>
      </c>
    </row>
    <row r="4120" spans="1:15">
      <c r="A4120" t="s">
        <v>7308</v>
      </c>
      <c r="B4120" t="s">
        <v>7308</v>
      </c>
      <c r="C4120" t="s">
        <v>5063</v>
      </c>
      <c r="F4120">
        <v>1</v>
      </c>
      <c r="G4120" s="1" t="s">
        <v>11688</v>
      </c>
      <c r="I4120" s="1" t="s">
        <v>11473</v>
      </c>
      <c r="O4120" t="s">
        <v>22</v>
      </c>
    </row>
    <row r="4121" spans="1:15">
      <c r="A4121" t="s">
        <v>6958</v>
      </c>
      <c r="B4121" t="s">
        <v>6958</v>
      </c>
      <c r="C4121" t="s">
        <v>6959</v>
      </c>
      <c r="F4121">
        <v>1</v>
      </c>
      <c r="G4121" s="1" t="s">
        <v>11689</v>
      </c>
      <c r="I4121" s="1" t="s">
        <v>11473</v>
      </c>
      <c r="O4121" t="s">
        <v>22</v>
      </c>
    </row>
    <row r="4122" spans="1:15">
      <c r="A4122" t="s">
        <v>7317</v>
      </c>
      <c r="B4122" t="s">
        <v>7317</v>
      </c>
      <c r="C4122" t="s">
        <v>7318</v>
      </c>
      <c r="F4122">
        <v>1</v>
      </c>
      <c r="G4122" s="1" t="s">
        <v>11690</v>
      </c>
      <c r="I4122" s="1" t="s">
        <v>11473</v>
      </c>
      <c r="O4122" t="s">
        <v>22</v>
      </c>
    </row>
    <row r="4123" spans="1:15">
      <c r="A4123" t="s">
        <v>7193</v>
      </c>
      <c r="B4123" t="s">
        <v>7193</v>
      </c>
      <c r="C4123" t="s">
        <v>7194</v>
      </c>
      <c r="F4123">
        <v>1</v>
      </c>
      <c r="G4123" s="1" t="s">
        <v>11691</v>
      </c>
      <c r="I4123" s="1" t="s">
        <v>11473</v>
      </c>
      <c r="O4123" t="s">
        <v>22</v>
      </c>
    </row>
    <row r="4124" spans="1:15">
      <c r="A4124" t="s">
        <v>7295</v>
      </c>
      <c r="B4124" t="s">
        <v>7295</v>
      </c>
      <c r="C4124" t="s">
        <v>7296</v>
      </c>
      <c r="F4124">
        <v>1</v>
      </c>
      <c r="G4124" s="1" t="s">
        <v>11692</v>
      </c>
      <c r="I4124" s="1" t="s">
        <v>11473</v>
      </c>
      <c r="O4124" t="s">
        <v>22</v>
      </c>
    </row>
    <row r="4125" spans="1:15">
      <c r="A4125" t="s">
        <v>10773</v>
      </c>
      <c r="B4125" t="s">
        <v>10773</v>
      </c>
      <c r="C4125" t="s">
        <v>7296</v>
      </c>
      <c r="F4125">
        <v>1</v>
      </c>
      <c r="G4125" s="1" t="s">
        <v>11693</v>
      </c>
      <c r="I4125" s="1" t="s">
        <v>11473</v>
      </c>
      <c r="O4125" t="s">
        <v>22</v>
      </c>
    </row>
    <row r="4126" spans="1:15">
      <c r="A4126" t="s">
        <v>6966</v>
      </c>
      <c r="B4126" t="s">
        <v>6966</v>
      </c>
      <c r="C4126" t="s">
        <v>6967</v>
      </c>
      <c r="F4126">
        <v>1</v>
      </c>
      <c r="G4126" s="1" t="s">
        <v>11694</v>
      </c>
      <c r="I4126" s="1" t="s">
        <v>11473</v>
      </c>
      <c r="O4126" t="s">
        <v>22</v>
      </c>
    </row>
    <row r="4127" spans="1:15">
      <c r="A4127" t="s">
        <v>5485</v>
      </c>
      <c r="B4127" t="s">
        <v>5485</v>
      </c>
      <c r="C4127" t="s">
        <v>5486</v>
      </c>
      <c r="F4127">
        <v>1</v>
      </c>
      <c r="G4127" s="1" t="s">
        <v>11695</v>
      </c>
      <c r="I4127" s="1" t="s">
        <v>11473</v>
      </c>
      <c r="O4127" t="s">
        <v>22</v>
      </c>
    </row>
    <row r="4128" spans="1:15">
      <c r="A4128" t="s">
        <v>6774</v>
      </c>
      <c r="B4128" t="s">
        <v>6774</v>
      </c>
      <c r="C4128" t="s">
        <v>5486</v>
      </c>
      <c r="F4128">
        <v>1</v>
      </c>
      <c r="G4128" s="1" t="s">
        <v>11696</v>
      </c>
      <c r="I4128" s="1" t="s">
        <v>11473</v>
      </c>
      <c r="O4128" t="s">
        <v>22</v>
      </c>
    </row>
    <row r="4129" spans="1:15">
      <c r="A4129" t="s">
        <v>6968</v>
      </c>
      <c r="B4129" t="s">
        <v>6968</v>
      </c>
      <c r="C4129" t="s">
        <v>5486</v>
      </c>
      <c r="F4129">
        <v>1</v>
      </c>
      <c r="G4129" s="1" t="s">
        <v>11697</v>
      </c>
      <c r="I4129" s="1" t="s">
        <v>11473</v>
      </c>
      <c r="O4129" t="s">
        <v>22</v>
      </c>
    </row>
    <row r="4130" spans="1:15">
      <c r="A4130" t="s">
        <v>6974</v>
      </c>
      <c r="B4130" t="s">
        <v>6974</v>
      </c>
      <c r="C4130" t="s">
        <v>5486</v>
      </c>
      <c r="F4130">
        <v>1</v>
      </c>
      <c r="G4130" s="1" t="s">
        <v>11698</v>
      </c>
      <c r="I4130" s="1" t="s">
        <v>11473</v>
      </c>
      <c r="O4130" t="s">
        <v>22</v>
      </c>
    </row>
    <row r="4131" spans="1:15">
      <c r="A4131" t="s">
        <v>7013</v>
      </c>
      <c r="B4131" t="s">
        <v>7013</v>
      </c>
      <c r="C4131" t="s">
        <v>7014</v>
      </c>
      <c r="F4131">
        <v>1</v>
      </c>
      <c r="G4131" s="1" t="s">
        <v>11699</v>
      </c>
      <c r="I4131" s="1" t="s">
        <v>11473</v>
      </c>
      <c r="O4131" t="s">
        <v>22</v>
      </c>
    </row>
    <row r="4132" spans="1:15">
      <c r="A4132" t="s">
        <v>7183</v>
      </c>
      <c r="B4132" t="s">
        <v>7183</v>
      </c>
      <c r="C4132" t="s">
        <v>7014</v>
      </c>
      <c r="F4132">
        <v>1</v>
      </c>
      <c r="G4132" s="1" t="s">
        <v>11700</v>
      </c>
      <c r="I4132" s="1" t="s">
        <v>11473</v>
      </c>
      <c r="O4132" t="s">
        <v>22</v>
      </c>
    </row>
    <row r="4133" spans="1:15">
      <c r="A4133" t="s">
        <v>6361</v>
      </c>
      <c r="B4133" t="s">
        <v>6361</v>
      </c>
      <c r="C4133" t="s">
        <v>4788</v>
      </c>
      <c r="F4133">
        <v>1</v>
      </c>
      <c r="G4133" s="1" t="s">
        <v>11701</v>
      </c>
      <c r="I4133" s="1" t="s">
        <v>11473</v>
      </c>
      <c r="O4133" t="s">
        <v>22</v>
      </c>
    </row>
    <row r="4134" spans="1:15">
      <c r="A4134" t="s">
        <v>7197</v>
      </c>
      <c r="B4134" t="s">
        <v>7197</v>
      </c>
      <c r="C4134" t="s">
        <v>4788</v>
      </c>
      <c r="F4134">
        <v>1</v>
      </c>
      <c r="G4134" s="1" t="s">
        <v>11702</v>
      </c>
      <c r="I4134" s="1" t="s">
        <v>11473</v>
      </c>
      <c r="O4134" t="s">
        <v>22</v>
      </c>
    </row>
    <row r="4135" spans="1:15">
      <c r="A4135" t="s">
        <v>7226</v>
      </c>
      <c r="B4135" t="s">
        <v>7226</v>
      </c>
      <c r="C4135" t="s">
        <v>4788</v>
      </c>
      <c r="F4135">
        <v>1</v>
      </c>
      <c r="G4135" s="1" t="s">
        <v>11703</v>
      </c>
      <c r="I4135" s="1" t="s">
        <v>11473</v>
      </c>
      <c r="O4135" t="s">
        <v>22</v>
      </c>
    </row>
    <row r="4136" spans="1:15">
      <c r="A4136" t="s">
        <v>7227</v>
      </c>
      <c r="B4136" t="s">
        <v>7227</v>
      </c>
      <c r="C4136" t="s">
        <v>4788</v>
      </c>
      <c r="F4136">
        <v>1</v>
      </c>
      <c r="G4136" s="1" t="s">
        <v>11704</v>
      </c>
      <c r="I4136" s="1" t="s">
        <v>11473</v>
      </c>
      <c r="O4136" t="s">
        <v>22</v>
      </c>
    </row>
    <row r="4137" spans="1:15">
      <c r="A4137" t="s">
        <v>7589</v>
      </c>
      <c r="B4137" t="s">
        <v>7589</v>
      </c>
      <c r="C4137" t="s">
        <v>4788</v>
      </c>
      <c r="F4137">
        <v>1</v>
      </c>
      <c r="G4137" s="1" t="s">
        <v>11705</v>
      </c>
      <c r="I4137" s="1" t="s">
        <v>11473</v>
      </c>
      <c r="O4137" t="s">
        <v>22</v>
      </c>
    </row>
    <row r="4138" spans="1:15">
      <c r="A4138" t="s">
        <v>7750</v>
      </c>
      <c r="B4138" t="s">
        <v>7750</v>
      </c>
      <c r="C4138" t="s">
        <v>4788</v>
      </c>
      <c r="F4138">
        <v>1</v>
      </c>
      <c r="G4138" s="1" t="s">
        <v>11706</v>
      </c>
      <c r="I4138" s="1" t="s">
        <v>11473</v>
      </c>
      <c r="O4138" t="s">
        <v>22</v>
      </c>
    </row>
    <row r="4139" spans="1:15">
      <c r="A4139" t="s">
        <v>8662</v>
      </c>
      <c r="B4139" t="s">
        <v>8662</v>
      </c>
      <c r="C4139" t="s">
        <v>4788</v>
      </c>
      <c r="F4139">
        <v>1</v>
      </c>
      <c r="G4139" s="1" t="s">
        <v>11707</v>
      </c>
      <c r="I4139" s="1" t="s">
        <v>11473</v>
      </c>
      <c r="O4139" t="s">
        <v>22</v>
      </c>
    </row>
    <row r="4140" spans="1:15">
      <c r="A4140" t="s">
        <v>9254</v>
      </c>
      <c r="B4140" t="s">
        <v>9254</v>
      </c>
      <c r="C4140" t="s">
        <v>4788</v>
      </c>
      <c r="F4140">
        <v>1</v>
      </c>
      <c r="G4140" s="1" t="s">
        <v>11708</v>
      </c>
      <c r="I4140" s="1" t="s">
        <v>11473</v>
      </c>
      <c r="O4140" t="s">
        <v>22</v>
      </c>
    </row>
    <row r="4141" spans="1:15">
      <c r="A4141" t="s">
        <v>9428</v>
      </c>
      <c r="B4141" t="s">
        <v>9428</v>
      </c>
      <c r="C4141" t="s">
        <v>4788</v>
      </c>
      <c r="F4141">
        <v>1</v>
      </c>
      <c r="G4141" s="1" t="s">
        <v>11709</v>
      </c>
      <c r="I4141" s="1" t="s">
        <v>11473</v>
      </c>
      <c r="O4141" t="s">
        <v>22</v>
      </c>
    </row>
    <row r="4142" spans="1:15">
      <c r="A4142" t="s">
        <v>9938</v>
      </c>
      <c r="B4142" t="s">
        <v>9938</v>
      </c>
      <c r="C4142" t="s">
        <v>4788</v>
      </c>
      <c r="F4142">
        <v>1</v>
      </c>
      <c r="G4142" s="1" t="s">
        <v>11710</v>
      </c>
      <c r="I4142" s="1" t="s">
        <v>11473</v>
      </c>
      <c r="O4142" t="s">
        <v>22</v>
      </c>
    </row>
    <row r="4143" spans="1:15">
      <c r="A4143" t="s">
        <v>10035</v>
      </c>
      <c r="B4143" t="s">
        <v>10035</v>
      </c>
      <c r="C4143" t="s">
        <v>4788</v>
      </c>
      <c r="F4143">
        <v>1</v>
      </c>
      <c r="G4143" s="1" t="s">
        <v>11711</v>
      </c>
      <c r="I4143" s="1" t="s">
        <v>11473</v>
      </c>
      <c r="O4143" t="s">
        <v>22</v>
      </c>
    </row>
    <row r="4144" spans="1:15">
      <c r="A4144" t="s">
        <v>6044</v>
      </c>
      <c r="B4144" t="s">
        <v>6044</v>
      </c>
      <c r="C4144" t="s">
        <v>5061</v>
      </c>
      <c r="F4144">
        <v>1</v>
      </c>
      <c r="G4144" s="1" t="s">
        <v>11712</v>
      </c>
      <c r="I4144" s="1" t="s">
        <v>11473</v>
      </c>
      <c r="O4144" t="s">
        <v>22</v>
      </c>
    </row>
    <row r="4145" spans="1:15">
      <c r="A4145" t="s">
        <v>6757</v>
      </c>
      <c r="B4145" t="s">
        <v>6757</v>
      </c>
      <c r="C4145" t="s">
        <v>5061</v>
      </c>
      <c r="F4145">
        <v>1</v>
      </c>
      <c r="G4145" s="1" t="s">
        <v>11713</v>
      </c>
      <c r="I4145" s="1" t="s">
        <v>11473</v>
      </c>
      <c r="O4145" t="s">
        <v>22</v>
      </c>
    </row>
    <row r="4146" spans="1:15">
      <c r="A4146" t="s">
        <v>7319</v>
      </c>
      <c r="B4146" t="s">
        <v>7319</v>
      </c>
      <c r="C4146" t="s">
        <v>5061</v>
      </c>
      <c r="F4146">
        <v>1</v>
      </c>
      <c r="G4146" s="1" t="s">
        <v>11714</v>
      </c>
      <c r="I4146" s="1" t="s">
        <v>11473</v>
      </c>
      <c r="O4146" t="s">
        <v>22</v>
      </c>
    </row>
    <row r="4147" spans="1:15">
      <c r="A4147" t="s">
        <v>11436</v>
      </c>
      <c r="B4147" t="s">
        <v>11436</v>
      </c>
      <c r="C4147" t="s">
        <v>5061</v>
      </c>
      <c r="F4147">
        <v>1</v>
      </c>
      <c r="G4147" s="1" t="s">
        <v>11715</v>
      </c>
      <c r="I4147" s="1" t="s">
        <v>11473</v>
      </c>
      <c r="O4147" t="s">
        <v>22</v>
      </c>
    </row>
    <row r="4148" spans="1:15">
      <c r="A4148" t="s">
        <v>9266</v>
      </c>
      <c r="B4148" t="s">
        <v>9266</v>
      </c>
      <c r="C4148" t="s">
        <v>4035</v>
      </c>
      <c r="F4148">
        <v>1</v>
      </c>
      <c r="G4148" s="1" t="s">
        <v>11716</v>
      </c>
      <c r="I4148" s="1" t="s">
        <v>11473</v>
      </c>
      <c r="O4148" t="s">
        <v>22</v>
      </c>
    </row>
    <row r="4149" spans="1:15">
      <c r="A4149" t="s">
        <v>9911</v>
      </c>
      <c r="B4149" t="s">
        <v>9911</v>
      </c>
      <c r="C4149" t="s">
        <v>4035</v>
      </c>
      <c r="F4149">
        <v>1</v>
      </c>
      <c r="G4149" s="1" t="s">
        <v>11717</v>
      </c>
      <c r="I4149" s="1" t="s">
        <v>11473</v>
      </c>
      <c r="O4149" t="s">
        <v>22</v>
      </c>
    </row>
    <row r="4150" spans="1:15">
      <c r="A4150" t="s">
        <v>10111</v>
      </c>
      <c r="B4150" t="s">
        <v>10111</v>
      </c>
      <c r="C4150" t="s">
        <v>4035</v>
      </c>
      <c r="F4150">
        <v>1</v>
      </c>
      <c r="G4150" s="1" t="s">
        <v>11718</v>
      </c>
      <c r="I4150" s="1" t="s">
        <v>11473</v>
      </c>
      <c r="O4150" t="s">
        <v>22</v>
      </c>
    </row>
    <row r="4151" spans="1:15">
      <c r="A4151" t="s">
        <v>10497</v>
      </c>
      <c r="B4151" t="s">
        <v>10497</v>
      </c>
      <c r="C4151" t="s">
        <v>4035</v>
      </c>
      <c r="F4151">
        <v>1</v>
      </c>
      <c r="G4151" s="1" t="s">
        <v>11719</v>
      </c>
      <c r="I4151" s="1" t="s">
        <v>11473</v>
      </c>
      <c r="O4151" t="s">
        <v>22</v>
      </c>
    </row>
    <row r="4152" spans="1:15">
      <c r="A4152" t="s">
        <v>10513</v>
      </c>
      <c r="B4152" t="s">
        <v>10513</v>
      </c>
      <c r="C4152" t="s">
        <v>10514</v>
      </c>
      <c r="F4152">
        <v>1</v>
      </c>
      <c r="G4152" s="1" t="s">
        <v>11720</v>
      </c>
      <c r="I4152" s="1" t="s">
        <v>11473</v>
      </c>
      <c r="O4152" t="s">
        <v>22</v>
      </c>
    </row>
    <row r="4153" spans="1:15">
      <c r="A4153" t="s">
        <v>10904</v>
      </c>
      <c r="B4153" t="s">
        <v>10904</v>
      </c>
      <c r="C4153" t="s">
        <v>10905</v>
      </c>
      <c r="F4153">
        <v>1</v>
      </c>
      <c r="G4153" s="1" t="s">
        <v>11721</v>
      </c>
      <c r="I4153" s="1" t="s">
        <v>11473</v>
      </c>
      <c r="O4153" t="s">
        <v>22</v>
      </c>
    </row>
    <row r="4154" spans="1:15">
      <c r="A4154" t="s">
        <v>6468</v>
      </c>
      <c r="B4154" t="s">
        <v>6468</v>
      </c>
      <c r="C4154" t="s">
        <v>10490</v>
      </c>
      <c r="F4154">
        <v>1</v>
      </c>
      <c r="G4154" s="1" t="s">
        <v>11722</v>
      </c>
      <c r="I4154" s="1" t="s">
        <v>11473</v>
      </c>
      <c r="O4154" t="s">
        <v>22</v>
      </c>
    </row>
    <row r="4155" spans="1:15">
      <c r="A4155" t="s">
        <v>10491</v>
      </c>
      <c r="B4155" t="s">
        <v>10491</v>
      </c>
      <c r="C4155" t="s">
        <v>10490</v>
      </c>
      <c r="F4155">
        <v>1</v>
      </c>
      <c r="G4155" s="1" t="s">
        <v>11723</v>
      </c>
      <c r="I4155" s="1" t="s">
        <v>11473</v>
      </c>
      <c r="O4155" t="s">
        <v>22</v>
      </c>
    </row>
    <row r="4156" spans="1:15">
      <c r="A4156" t="s">
        <v>11008</v>
      </c>
      <c r="B4156" t="s">
        <v>11008</v>
      </c>
      <c r="C4156" t="s">
        <v>10490</v>
      </c>
      <c r="F4156">
        <v>1</v>
      </c>
      <c r="G4156" s="1" t="s">
        <v>11724</v>
      </c>
      <c r="I4156" s="1" t="s">
        <v>11473</v>
      </c>
      <c r="O4156" t="s">
        <v>22</v>
      </c>
    </row>
    <row r="4157" spans="1:15">
      <c r="A4157" t="s">
        <v>10745</v>
      </c>
      <c r="B4157" t="s">
        <v>10745</v>
      </c>
      <c r="C4157" t="s">
        <v>10746</v>
      </c>
      <c r="F4157">
        <v>1</v>
      </c>
      <c r="G4157" s="1" t="s">
        <v>11725</v>
      </c>
      <c r="I4157" s="1" t="s">
        <v>11473</v>
      </c>
      <c r="O4157" t="s">
        <v>22</v>
      </c>
    </row>
    <row r="4158" spans="1:15">
      <c r="A4158" t="s">
        <v>10493</v>
      </c>
      <c r="B4158" t="s">
        <v>10493</v>
      </c>
      <c r="C4158" t="s">
        <v>5002</v>
      </c>
      <c r="F4158">
        <v>1</v>
      </c>
      <c r="G4158" s="1" t="s">
        <v>11726</v>
      </c>
      <c r="I4158" s="1" t="s">
        <v>11473</v>
      </c>
      <c r="O4158" t="s">
        <v>22</v>
      </c>
    </row>
    <row r="4159" spans="1:15">
      <c r="A4159" t="s">
        <v>10291</v>
      </c>
      <c r="B4159" t="s">
        <v>10291</v>
      </c>
      <c r="C4159" t="s">
        <v>4772</v>
      </c>
      <c r="F4159">
        <v>1</v>
      </c>
      <c r="G4159" s="1" t="s">
        <v>11727</v>
      </c>
      <c r="I4159" s="1" t="s">
        <v>11473</v>
      </c>
      <c r="O4159" t="s">
        <v>22</v>
      </c>
    </row>
    <row r="4160" spans="1:15">
      <c r="A4160" t="s">
        <v>10403</v>
      </c>
      <c r="B4160" t="s">
        <v>10403</v>
      </c>
      <c r="C4160" t="s">
        <v>5162</v>
      </c>
      <c r="F4160">
        <v>1</v>
      </c>
      <c r="G4160" s="1" t="s">
        <v>11728</v>
      </c>
      <c r="I4160" s="1" t="s">
        <v>11473</v>
      </c>
      <c r="O4160" t="s">
        <v>22</v>
      </c>
    </row>
    <row r="4161" spans="1:15">
      <c r="A4161" t="s">
        <v>4806</v>
      </c>
      <c r="B4161" t="s">
        <v>4806</v>
      </c>
      <c r="C4161" t="s">
        <v>10924</v>
      </c>
      <c r="F4161">
        <v>1</v>
      </c>
      <c r="G4161" s="1" t="s">
        <v>11729</v>
      </c>
      <c r="I4161" s="1" t="s">
        <v>11473</v>
      </c>
      <c r="O4161" t="s">
        <v>22</v>
      </c>
    </row>
    <row r="4162" spans="1:15">
      <c r="A4162" t="s">
        <v>8357</v>
      </c>
      <c r="B4162" t="s">
        <v>8357</v>
      </c>
      <c r="C4162" t="s">
        <v>8358</v>
      </c>
      <c r="F4162">
        <v>1</v>
      </c>
      <c r="G4162" s="1" t="s">
        <v>11730</v>
      </c>
      <c r="I4162" s="1" t="s">
        <v>11473</v>
      </c>
      <c r="O4162" t="s">
        <v>22</v>
      </c>
    </row>
    <row r="4163" spans="1:15">
      <c r="A4163" t="s">
        <v>10449</v>
      </c>
      <c r="B4163" t="s">
        <v>10449</v>
      </c>
      <c r="C4163" t="s">
        <v>5279</v>
      </c>
      <c r="F4163">
        <v>1</v>
      </c>
      <c r="G4163" s="1" t="s">
        <v>11731</v>
      </c>
      <c r="I4163" s="1" t="s">
        <v>11473</v>
      </c>
      <c r="O4163" t="s">
        <v>22</v>
      </c>
    </row>
    <row r="4164" spans="1:15">
      <c r="A4164" t="s">
        <v>6143</v>
      </c>
      <c r="B4164" t="s">
        <v>6143</v>
      </c>
      <c r="C4164" t="s">
        <v>6144</v>
      </c>
      <c r="F4164">
        <v>1</v>
      </c>
      <c r="G4164" s="1" t="s">
        <v>11732</v>
      </c>
      <c r="I4164" s="1" t="s">
        <v>11473</v>
      </c>
      <c r="O4164" t="s">
        <v>22</v>
      </c>
    </row>
    <row r="4165" spans="1:15">
      <c r="A4165" t="s">
        <v>10796</v>
      </c>
      <c r="B4165" t="s">
        <v>10796</v>
      </c>
      <c r="C4165" t="s">
        <v>10797</v>
      </c>
      <c r="F4165">
        <v>1</v>
      </c>
      <c r="G4165" s="1" t="s">
        <v>11733</v>
      </c>
      <c r="I4165" s="1" t="s">
        <v>11473</v>
      </c>
      <c r="O4165" t="s">
        <v>22</v>
      </c>
    </row>
    <row r="4166" spans="1:15">
      <c r="A4166" t="s">
        <v>11335</v>
      </c>
      <c r="B4166" t="s">
        <v>11335</v>
      </c>
      <c r="C4166" t="s">
        <v>10797</v>
      </c>
      <c r="F4166">
        <v>1</v>
      </c>
      <c r="G4166" s="1" t="s">
        <v>11734</v>
      </c>
      <c r="I4166" s="1" t="s">
        <v>11473</v>
      </c>
      <c r="O4166" t="s">
        <v>22</v>
      </c>
    </row>
    <row r="4167" spans="1:15">
      <c r="A4167" t="s">
        <v>8698</v>
      </c>
      <c r="B4167" t="s">
        <v>8698</v>
      </c>
      <c r="C4167" t="s">
        <v>4858</v>
      </c>
      <c r="F4167">
        <v>1</v>
      </c>
      <c r="G4167" s="1" t="s">
        <v>11735</v>
      </c>
      <c r="I4167" s="1" t="s">
        <v>11473</v>
      </c>
      <c r="O4167" t="s">
        <v>22</v>
      </c>
    </row>
    <row r="4168" spans="1:15">
      <c r="A4168" t="s">
        <v>9036</v>
      </c>
      <c r="B4168" t="s">
        <v>9036</v>
      </c>
      <c r="C4168" t="s">
        <v>4858</v>
      </c>
      <c r="F4168">
        <v>1</v>
      </c>
      <c r="G4168" s="1" t="s">
        <v>11736</v>
      </c>
      <c r="I4168" s="1" t="s">
        <v>11473</v>
      </c>
      <c r="O4168" t="s">
        <v>22</v>
      </c>
    </row>
    <row r="4169" spans="1:15">
      <c r="A4169" t="s">
        <v>9779</v>
      </c>
      <c r="B4169" t="s">
        <v>9779</v>
      </c>
      <c r="C4169" t="s">
        <v>4858</v>
      </c>
      <c r="F4169">
        <v>1</v>
      </c>
      <c r="G4169" s="1" t="s">
        <v>11737</v>
      </c>
      <c r="I4169" s="1" t="s">
        <v>11473</v>
      </c>
      <c r="O4169" t="s">
        <v>22</v>
      </c>
    </row>
    <row r="4170" spans="1:15">
      <c r="A4170" t="s">
        <v>9526</v>
      </c>
      <c r="B4170" t="s">
        <v>9526</v>
      </c>
      <c r="C4170" t="s">
        <v>4401</v>
      </c>
      <c r="F4170">
        <v>1</v>
      </c>
      <c r="G4170" s="1" t="s">
        <v>11738</v>
      </c>
      <c r="I4170" s="1" t="s">
        <v>11473</v>
      </c>
      <c r="O4170" t="s">
        <v>22</v>
      </c>
    </row>
    <row r="4171" spans="1:15">
      <c r="A4171" t="s">
        <v>9964</v>
      </c>
      <c r="B4171" t="s">
        <v>9964</v>
      </c>
      <c r="C4171" t="s">
        <v>4401</v>
      </c>
      <c r="F4171">
        <v>1</v>
      </c>
      <c r="G4171" s="1" t="s">
        <v>11739</v>
      </c>
      <c r="I4171" s="1" t="s">
        <v>11473</v>
      </c>
      <c r="O4171" t="s">
        <v>22</v>
      </c>
    </row>
    <row r="4172" spans="1:15">
      <c r="A4172" t="s">
        <v>11421</v>
      </c>
      <c r="B4172" t="s">
        <v>11421</v>
      </c>
      <c r="C4172" t="s">
        <v>4401</v>
      </c>
      <c r="F4172">
        <v>1</v>
      </c>
      <c r="G4172" s="1" t="s">
        <v>11740</v>
      </c>
      <c r="I4172" s="1" t="s">
        <v>11473</v>
      </c>
      <c r="O4172" t="s">
        <v>22</v>
      </c>
    </row>
    <row r="4173" spans="1:15">
      <c r="A4173" t="s">
        <v>11216</v>
      </c>
      <c r="B4173" t="s">
        <v>11216</v>
      </c>
      <c r="C4173" t="s">
        <v>4958</v>
      </c>
      <c r="F4173">
        <v>1</v>
      </c>
      <c r="G4173" s="1" t="s">
        <v>11741</v>
      </c>
      <c r="I4173" s="1" t="s">
        <v>11473</v>
      </c>
      <c r="O4173" t="s">
        <v>22</v>
      </c>
    </row>
    <row r="4174" spans="1:15">
      <c r="A4174" t="s">
        <v>6114</v>
      </c>
      <c r="B4174" t="s">
        <v>6114</v>
      </c>
      <c r="C4174" t="s">
        <v>6115</v>
      </c>
      <c r="F4174">
        <v>1</v>
      </c>
      <c r="G4174" s="1" t="s">
        <v>11742</v>
      </c>
      <c r="I4174" s="1" t="s">
        <v>11473</v>
      </c>
      <c r="O4174" t="s">
        <v>22</v>
      </c>
    </row>
    <row r="4175" spans="1:15">
      <c r="A4175" t="s">
        <v>11330</v>
      </c>
      <c r="B4175" t="s">
        <v>11330</v>
      </c>
      <c r="C4175" t="s">
        <v>6115</v>
      </c>
      <c r="F4175">
        <v>1</v>
      </c>
      <c r="G4175" s="1" t="s">
        <v>11743</v>
      </c>
      <c r="I4175" s="1" t="s">
        <v>11473</v>
      </c>
      <c r="O4175" t="s">
        <v>22</v>
      </c>
    </row>
    <row r="4176" spans="1:15">
      <c r="A4176" t="s">
        <v>10443</v>
      </c>
      <c r="B4176" t="s">
        <v>10443</v>
      </c>
      <c r="C4176" t="s">
        <v>10444</v>
      </c>
      <c r="F4176">
        <v>1</v>
      </c>
      <c r="G4176" s="1" t="s">
        <v>11744</v>
      </c>
      <c r="I4176" s="1" t="s">
        <v>11473</v>
      </c>
      <c r="O4176" t="s">
        <v>22</v>
      </c>
    </row>
    <row r="4177" spans="1:15">
      <c r="A4177" t="s">
        <v>10988</v>
      </c>
      <c r="B4177" t="s">
        <v>10988</v>
      </c>
      <c r="C4177" t="s">
        <v>10989</v>
      </c>
      <c r="F4177">
        <v>1</v>
      </c>
      <c r="G4177" s="1" t="s">
        <v>11745</v>
      </c>
      <c r="I4177" s="1" t="s">
        <v>11473</v>
      </c>
      <c r="O4177" t="s">
        <v>22</v>
      </c>
    </row>
    <row r="4178" spans="1:15">
      <c r="A4178" t="s">
        <v>11314</v>
      </c>
      <c r="B4178" t="s">
        <v>11314</v>
      </c>
      <c r="C4178" t="s">
        <v>10989</v>
      </c>
      <c r="F4178">
        <v>1</v>
      </c>
      <c r="G4178" s="1" t="s">
        <v>11746</v>
      </c>
      <c r="I4178" s="1" t="s">
        <v>11473</v>
      </c>
      <c r="O4178" t="s">
        <v>22</v>
      </c>
    </row>
    <row r="4179" spans="1:15">
      <c r="A4179" t="s">
        <v>6157</v>
      </c>
      <c r="B4179" t="s">
        <v>6157</v>
      </c>
      <c r="C4179" t="s">
        <v>5049</v>
      </c>
      <c r="F4179">
        <v>1</v>
      </c>
      <c r="G4179" s="1" t="s">
        <v>11747</v>
      </c>
      <c r="I4179" s="1" t="s">
        <v>11473</v>
      </c>
      <c r="O4179" t="s">
        <v>22</v>
      </c>
    </row>
    <row r="4180" spans="1:15">
      <c r="A4180" t="s">
        <v>6529</v>
      </c>
      <c r="B4180" t="s">
        <v>6529</v>
      </c>
      <c r="C4180" t="s">
        <v>5049</v>
      </c>
      <c r="F4180">
        <v>1</v>
      </c>
      <c r="G4180" s="1" t="s">
        <v>11748</v>
      </c>
      <c r="I4180" s="1" t="s">
        <v>11473</v>
      </c>
      <c r="O4180" t="s">
        <v>22</v>
      </c>
    </row>
    <row r="4181" spans="1:15">
      <c r="A4181" t="s">
        <v>8669</v>
      </c>
      <c r="B4181" t="s">
        <v>8669</v>
      </c>
      <c r="C4181" t="s">
        <v>5049</v>
      </c>
      <c r="F4181">
        <v>1</v>
      </c>
      <c r="G4181" s="1" t="s">
        <v>11749</v>
      </c>
      <c r="I4181" s="1" t="s">
        <v>11473</v>
      </c>
      <c r="O4181" t="s">
        <v>22</v>
      </c>
    </row>
    <row r="4182" spans="1:15">
      <c r="A4182" t="s">
        <v>9582</v>
      </c>
      <c r="B4182" t="s">
        <v>9582</v>
      </c>
      <c r="C4182" t="s">
        <v>5049</v>
      </c>
      <c r="F4182">
        <v>1</v>
      </c>
      <c r="G4182" s="1" t="s">
        <v>11750</v>
      </c>
      <c r="I4182" s="1" t="s">
        <v>11473</v>
      </c>
      <c r="O4182" t="s">
        <v>22</v>
      </c>
    </row>
    <row r="4183" spans="1:15">
      <c r="A4183" t="s">
        <v>9944</v>
      </c>
      <c r="B4183" t="s">
        <v>9944</v>
      </c>
      <c r="C4183" t="s">
        <v>5049</v>
      </c>
      <c r="F4183">
        <v>1</v>
      </c>
      <c r="G4183" s="1" t="s">
        <v>11751</v>
      </c>
      <c r="I4183" s="1" t="s">
        <v>11473</v>
      </c>
      <c r="O4183" t="s">
        <v>22</v>
      </c>
    </row>
    <row r="4184" spans="1:15">
      <c r="A4184" t="s">
        <v>10801</v>
      </c>
      <c r="B4184" t="s">
        <v>10801</v>
      </c>
      <c r="C4184" t="s">
        <v>4919</v>
      </c>
      <c r="F4184">
        <v>1</v>
      </c>
      <c r="G4184" s="1" t="s">
        <v>11752</v>
      </c>
      <c r="I4184" s="1" t="s">
        <v>11473</v>
      </c>
      <c r="O4184" t="s">
        <v>22</v>
      </c>
    </row>
    <row r="4185" spans="1:15">
      <c r="A4185" t="s">
        <v>11310</v>
      </c>
      <c r="B4185" t="s">
        <v>11310</v>
      </c>
      <c r="C4185" t="s">
        <v>4919</v>
      </c>
      <c r="F4185">
        <v>1</v>
      </c>
      <c r="G4185" s="1" t="s">
        <v>11753</v>
      </c>
      <c r="I4185" s="1" t="s">
        <v>11473</v>
      </c>
      <c r="O4185" t="s">
        <v>22</v>
      </c>
    </row>
    <row r="4186" spans="1:15">
      <c r="A4186" t="s">
        <v>8133</v>
      </c>
      <c r="B4186" t="s">
        <v>8133</v>
      </c>
      <c r="C4186" t="s">
        <v>4847</v>
      </c>
      <c r="F4186">
        <v>1</v>
      </c>
      <c r="G4186" s="1" t="s">
        <v>11754</v>
      </c>
      <c r="I4186" s="1" t="s">
        <v>11473</v>
      </c>
      <c r="O4186" t="s">
        <v>22</v>
      </c>
    </row>
    <row r="4187" spans="1:15">
      <c r="A4187" t="s">
        <v>10168</v>
      </c>
      <c r="B4187" t="s">
        <v>10168</v>
      </c>
      <c r="C4187" t="s">
        <v>4847</v>
      </c>
      <c r="F4187">
        <v>1</v>
      </c>
      <c r="G4187" s="1" t="s">
        <v>11755</v>
      </c>
      <c r="I4187" s="1" t="s">
        <v>11473</v>
      </c>
      <c r="O4187" t="s">
        <v>22</v>
      </c>
    </row>
    <row r="4188" spans="1:15">
      <c r="A4188" t="s">
        <v>11220</v>
      </c>
      <c r="B4188" t="s">
        <v>11220</v>
      </c>
      <c r="C4188" t="s">
        <v>4847</v>
      </c>
      <c r="F4188">
        <v>1</v>
      </c>
      <c r="G4188" s="1" t="s">
        <v>11756</v>
      </c>
      <c r="I4188" s="1" t="s">
        <v>11473</v>
      </c>
      <c r="O4188" t="s">
        <v>22</v>
      </c>
    </row>
    <row r="4189" spans="1:15">
      <c r="A4189" t="s">
        <v>6137</v>
      </c>
      <c r="B4189" t="s">
        <v>6137</v>
      </c>
      <c r="C4189" t="s">
        <v>4892</v>
      </c>
      <c r="F4189">
        <v>1</v>
      </c>
      <c r="G4189" s="1" t="s">
        <v>11757</v>
      </c>
      <c r="I4189" s="1" t="s">
        <v>11473</v>
      </c>
      <c r="O4189" t="s">
        <v>22</v>
      </c>
    </row>
    <row r="4190" spans="1:15">
      <c r="A4190" t="s">
        <v>8823</v>
      </c>
      <c r="B4190" t="s">
        <v>8823</v>
      </c>
      <c r="C4190" t="s">
        <v>8824</v>
      </c>
      <c r="F4190">
        <v>1</v>
      </c>
      <c r="G4190" s="1" t="s">
        <v>11758</v>
      </c>
      <c r="I4190" s="1" t="s">
        <v>11473</v>
      </c>
      <c r="O4190" t="s">
        <v>22</v>
      </c>
    </row>
    <row r="4191" spans="1:15">
      <c r="A4191" t="s">
        <v>8170</v>
      </c>
      <c r="B4191" t="s">
        <v>8170</v>
      </c>
      <c r="C4191" t="s">
        <v>4346</v>
      </c>
      <c r="F4191">
        <v>1</v>
      </c>
      <c r="G4191" s="1" t="s">
        <v>11759</v>
      </c>
      <c r="I4191" s="1" t="s">
        <v>11473</v>
      </c>
      <c r="O4191" t="s">
        <v>22</v>
      </c>
    </row>
    <row r="4192" spans="1:15">
      <c r="A4192" t="s">
        <v>10208</v>
      </c>
      <c r="B4192" t="s">
        <v>10208</v>
      </c>
      <c r="C4192" t="s">
        <v>5222</v>
      </c>
      <c r="F4192">
        <v>1</v>
      </c>
      <c r="G4192" s="1" t="s">
        <v>11760</v>
      </c>
      <c r="I4192" s="1" t="s">
        <v>11473</v>
      </c>
      <c r="O4192" t="s">
        <v>22</v>
      </c>
    </row>
    <row r="4193" spans="1:15">
      <c r="A4193" t="s">
        <v>11299</v>
      </c>
      <c r="B4193" t="s">
        <v>11299</v>
      </c>
      <c r="C4193" t="s">
        <v>11300</v>
      </c>
      <c r="F4193">
        <v>1</v>
      </c>
      <c r="G4193" s="1" t="s">
        <v>11761</v>
      </c>
      <c r="I4193" s="1" t="s">
        <v>11473</v>
      </c>
      <c r="O4193" t="s">
        <v>22</v>
      </c>
    </row>
    <row r="4194" spans="1:15">
      <c r="A4194" t="s">
        <v>11342</v>
      </c>
      <c r="B4194" t="s">
        <v>11342</v>
      </c>
      <c r="C4194" t="s">
        <v>11300</v>
      </c>
      <c r="F4194">
        <v>1</v>
      </c>
      <c r="G4194" s="1" t="s">
        <v>11762</v>
      </c>
      <c r="I4194" s="1" t="s">
        <v>11473</v>
      </c>
      <c r="O4194" t="s">
        <v>22</v>
      </c>
    </row>
    <row r="4195" spans="1:15">
      <c r="A4195" t="s">
        <v>10657</v>
      </c>
      <c r="B4195" t="s">
        <v>10657</v>
      </c>
      <c r="C4195" t="s">
        <v>10658</v>
      </c>
      <c r="F4195">
        <v>1</v>
      </c>
      <c r="G4195" s="1" t="s">
        <v>11763</v>
      </c>
      <c r="I4195" s="1" t="s">
        <v>11473</v>
      </c>
      <c r="O4195" t="s">
        <v>22</v>
      </c>
    </row>
    <row r="4196" spans="1:15">
      <c r="A4196" t="s">
        <v>11210</v>
      </c>
      <c r="B4196" t="s">
        <v>11210</v>
      </c>
      <c r="C4196" t="s">
        <v>10658</v>
      </c>
      <c r="F4196">
        <v>1</v>
      </c>
      <c r="G4196" s="1" t="s">
        <v>11764</v>
      </c>
      <c r="I4196" s="1" t="s">
        <v>11473</v>
      </c>
      <c r="O4196" t="s">
        <v>22</v>
      </c>
    </row>
    <row r="4197" spans="1:15">
      <c r="A4197" t="s">
        <v>11338</v>
      </c>
      <c r="B4197" t="s">
        <v>11338</v>
      </c>
      <c r="C4197" t="s">
        <v>5075</v>
      </c>
      <c r="F4197">
        <v>1</v>
      </c>
      <c r="G4197" s="1" t="s">
        <v>11765</v>
      </c>
      <c r="I4197" s="1" t="s">
        <v>11473</v>
      </c>
      <c r="O4197" t="s">
        <v>22</v>
      </c>
    </row>
    <row r="4198" spans="1:15">
      <c r="A4198" t="s">
        <v>9599</v>
      </c>
      <c r="B4198" t="s">
        <v>9599</v>
      </c>
      <c r="C4198" t="s">
        <v>9600</v>
      </c>
      <c r="F4198">
        <v>1</v>
      </c>
      <c r="G4198" s="1" t="s">
        <v>11766</v>
      </c>
      <c r="I4198" s="1" t="s">
        <v>11473</v>
      </c>
      <c r="O4198" t="s">
        <v>22</v>
      </c>
    </row>
    <row r="4199" spans="1:15">
      <c r="A4199" t="s">
        <v>8727</v>
      </c>
      <c r="B4199" t="s">
        <v>8727</v>
      </c>
      <c r="C4199" t="s">
        <v>4270</v>
      </c>
      <c r="F4199">
        <v>1</v>
      </c>
      <c r="G4199" s="1" t="s">
        <v>11767</v>
      </c>
      <c r="I4199" s="1" t="s">
        <v>11473</v>
      </c>
      <c r="O4199" t="s">
        <v>22</v>
      </c>
    </row>
    <row r="4200" spans="1:15">
      <c r="A4200" t="s">
        <v>11331</v>
      </c>
      <c r="B4200" t="s">
        <v>11331</v>
      </c>
      <c r="C4200" t="s">
        <v>4270</v>
      </c>
      <c r="F4200">
        <v>1</v>
      </c>
      <c r="G4200" s="1" t="s">
        <v>11768</v>
      </c>
      <c r="I4200" s="1" t="s">
        <v>11473</v>
      </c>
      <c r="O4200" t="s">
        <v>22</v>
      </c>
    </row>
    <row r="4201" spans="1:15">
      <c r="A4201" t="s">
        <v>9954</v>
      </c>
      <c r="B4201" t="s">
        <v>9954</v>
      </c>
      <c r="C4201" t="s">
        <v>9955</v>
      </c>
      <c r="F4201">
        <v>1</v>
      </c>
      <c r="G4201" s="1" t="s">
        <v>11769</v>
      </c>
      <c r="I4201" s="1" t="s">
        <v>11473</v>
      </c>
      <c r="O4201" t="s">
        <v>22</v>
      </c>
    </row>
    <row r="4202" spans="1:15">
      <c r="A4202" t="s">
        <v>6521</v>
      </c>
      <c r="B4202" t="s">
        <v>6521</v>
      </c>
      <c r="C4202" t="s">
        <v>6522</v>
      </c>
      <c r="F4202">
        <v>1</v>
      </c>
      <c r="G4202" s="1" t="s">
        <v>11770</v>
      </c>
      <c r="I4202" s="1" t="s">
        <v>11473</v>
      </c>
      <c r="O4202" t="s">
        <v>22</v>
      </c>
    </row>
    <row r="4203" spans="1:15">
      <c r="A4203" t="s">
        <v>8725</v>
      </c>
      <c r="B4203" t="s">
        <v>8725</v>
      </c>
      <c r="C4203" t="s">
        <v>8726</v>
      </c>
      <c r="F4203">
        <v>1</v>
      </c>
      <c r="G4203" s="1" t="s">
        <v>11771</v>
      </c>
      <c r="I4203" s="1" t="s">
        <v>11473</v>
      </c>
      <c r="O4203" t="s">
        <v>22</v>
      </c>
    </row>
    <row r="4204" spans="1:15">
      <c r="A4204" t="s">
        <v>8681</v>
      </c>
      <c r="B4204" t="s">
        <v>8681</v>
      </c>
      <c r="C4204" t="s">
        <v>5204</v>
      </c>
      <c r="F4204">
        <v>1</v>
      </c>
      <c r="G4204" s="1" t="s">
        <v>11772</v>
      </c>
      <c r="I4204" s="1" t="s">
        <v>11473</v>
      </c>
      <c r="O4204" t="s">
        <v>22</v>
      </c>
    </row>
    <row r="4205" spans="1:15">
      <c r="A4205" t="s">
        <v>6134</v>
      </c>
      <c r="B4205" t="s">
        <v>6134</v>
      </c>
      <c r="C4205" t="s">
        <v>5210</v>
      </c>
      <c r="F4205">
        <v>1</v>
      </c>
      <c r="G4205" s="1" t="s">
        <v>11773</v>
      </c>
      <c r="I4205" s="1" t="s">
        <v>11473</v>
      </c>
      <c r="O4205" t="s">
        <v>22</v>
      </c>
    </row>
    <row r="4206" spans="1:15">
      <c r="A4206" t="s">
        <v>6145</v>
      </c>
      <c r="B4206" t="s">
        <v>6145</v>
      </c>
      <c r="C4206" t="s">
        <v>5210</v>
      </c>
      <c r="F4206">
        <v>1</v>
      </c>
      <c r="G4206" s="1" t="s">
        <v>11774</v>
      </c>
      <c r="I4206" s="1" t="s">
        <v>11473</v>
      </c>
      <c r="O4206" t="s">
        <v>22</v>
      </c>
    </row>
    <row r="4207" spans="1:15">
      <c r="A4207" t="s">
        <v>6151</v>
      </c>
      <c r="B4207" t="s">
        <v>6151</v>
      </c>
      <c r="C4207" t="s">
        <v>5210</v>
      </c>
      <c r="F4207">
        <v>1</v>
      </c>
      <c r="G4207" s="1" t="s">
        <v>11775</v>
      </c>
      <c r="I4207" s="1" t="s">
        <v>11473</v>
      </c>
      <c r="O4207" t="s">
        <v>22</v>
      </c>
    </row>
    <row r="4208" spans="1:15">
      <c r="A4208" t="s">
        <v>6182</v>
      </c>
      <c r="B4208" t="s">
        <v>6182</v>
      </c>
      <c r="C4208" t="s">
        <v>5210</v>
      </c>
      <c r="F4208">
        <v>1</v>
      </c>
      <c r="G4208" s="1" t="s">
        <v>11776</v>
      </c>
      <c r="I4208" s="1" t="s">
        <v>11473</v>
      </c>
      <c r="O4208" t="s">
        <v>22</v>
      </c>
    </row>
    <row r="4209" spans="1:15">
      <c r="A4209" t="s">
        <v>8777</v>
      </c>
      <c r="B4209" t="s">
        <v>8777</v>
      </c>
      <c r="C4209" t="s">
        <v>5210</v>
      </c>
      <c r="F4209">
        <v>1</v>
      </c>
      <c r="G4209" s="1" t="s">
        <v>11777</v>
      </c>
      <c r="I4209" s="1" t="s">
        <v>11473</v>
      </c>
      <c r="O4209" t="s">
        <v>22</v>
      </c>
    </row>
    <row r="4210" spans="1:15">
      <c r="A4210" t="s">
        <v>8674</v>
      </c>
      <c r="B4210" t="s">
        <v>8674</v>
      </c>
      <c r="C4210" t="s">
        <v>5264</v>
      </c>
      <c r="F4210">
        <v>1</v>
      </c>
      <c r="G4210" s="1" t="s">
        <v>11778</v>
      </c>
      <c r="I4210" s="1" t="s">
        <v>11473</v>
      </c>
      <c r="O4210" t="s">
        <v>22</v>
      </c>
    </row>
    <row r="4211" spans="1:15">
      <c r="A4211" t="s">
        <v>8714</v>
      </c>
      <c r="B4211" t="s">
        <v>8714</v>
      </c>
      <c r="C4211" t="s">
        <v>5264</v>
      </c>
      <c r="F4211">
        <v>1</v>
      </c>
      <c r="G4211" s="1" t="s">
        <v>11779</v>
      </c>
      <c r="I4211" s="1" t="s">
        <v>11473</v>
      </c>
      <c r="O4211" t="s">
        <v>22</v>
      </c>
    </row>
    <row r="4212" spans="1:15">
      <c r="A4212" t="s">
        <v>10445</v>
      </c>
      <c r="B4212" t="s">
        <v>10445</v>
      </c>
      <c r="C4212" t="s">
        <v>5264</v>
      </c>
      <c r="F4212">
        <v>1</v>
      </c>
      <c r="G4212" s="1" t="s">
        <v>11780</v>
      </c>
      <c r="I4212" s="1" t="s">
        <v>11473</v>
      </c>
      <c r="O4212" t="s">
        <v>22</v>
      </c>
    </row>
    <row r="4213" spans="1:15">
      <c r="A4213" t="s">
        <v>10676</v>
      </c>
      <c r="B4213" t="s">
        <v>10676</v>
      </c>
      <c r="C4213" t="s">
        <v>10677</v>
      </c>
      <c r="F4213">
        <v>1</v>
      </c>
      <c r="G4213" s="1" t="s">
        <v>11781</v>
      </c>
      <c r="I4213" s="1" t="s">
        <v>11473</v>
      </c>
      <c r="O4213" t="s">
        <v>22</v>
      </c>
    </row>
    <row r="4214" spans="1:15">
      <c r="A4214" t="s">
        <v>11093</v>
      </c>
      <c r="B4214" t="s">
        <v>11093</v>
      </c>
      <c r="C4214" t="s">
        <v>10677</v>
      </c>
      <c r="F4214">
        <v>1</v>
      </c>
      <c r="G4214" s="1" t="s">
        <v>11782</v>
      </c>
      <c r="I4214" s="1" t="s">
        <v>11473</v>
      </c>
      <c r="O4214" t="s">
        <v>22</v>
      </c>
    </row>
    <row r="4215" spans="1:15">
      <c r="A4215" t="s">
        <v>11207</v>
      </c>
      <c r="B4215" t="s">
        <v>11207</v>
      </c>
      <c r="C4215" t="s">
        <v>10677</v>
      </c>
      <c r="F4215">
        <v>1</v>
      </c>
      <c r="G4215" s="1" t="s">
        <v>11783</v>
      </c>
      <c r="I4215" s="1" t="s">
        <v>11473</v>
      </c>
      <c r="O4215" t="s">
        <v>22</v>
      </c>
    </row>
    <row r="4216" spans="1:15">
      <c r="A4216" t="s">
        <v>9743</v>
      </c>
      <c r="B4216" t="s">
        <v>9743</v>
      </c>
      <c r="C4216" t="s">
        <v>9744</v>
      </c>
      <c r="F4216">
        <v>1</v>
      </c>
      <c r="G4216" s="1" t="s">
        <v>11784</v>
      </c>
      <c r="I4216" s="1" t="s">
        <v>11473</v>
      </c>
      <c r="O4216" t="s">
        <v>22</v>
      </c>
    </row>
    <row r="4217" spans="1:15">
      <c r="A4217" t="s">
        <v>10684</v>
      </c>
      <c r="B4217" t="s">
        <v>10684</v>
      </c>
      <c r="C4217" t="s">
        <v>4433</v>
      </c>
      <c r="F4217">
        <v>1</v>
      </c>
      <c r="G4217" s="1" t="s">
        <v>11785</v>
      </c>
      <c r="I4217" s="1" t="s">
        <v>11473</v>
      </c>
      <c r="O4217" t="s">
        <v>22</v>
      </c>
    </row>
    <row r="4218" spans="1:15">
      <c r="A4218" t="s">
        <v>8705</v>
      </c>
      <c r="B4218" t="s">
        <v>8705</v>
      </c>
      <c r="C4218" t="s">
        <v>5203</v>
      </c>
      <c r="F4218">
        <v>1</v>
      </c>
      <c r="G4218" s="1" t="s">
        <v>11786</v>
      </c>
      <c r="I4218" s="1" t="s">
        <v>11473</v>
      </c>
      <c r="O4218" t="s">
        <v>22</v>
      </c>
    </row>
    <row r="4219" spans="1:15">
      <c r="A4219" t="s">
        <v>10925</v>
      </c>
      <c r="B4219" t="s">
        <v>10925</v>
      </c>
      <c r="C4219" t="s">
        <v>5203</v>
      </c>
      <c r="F4219">
        <v>1</v>
      </c>
      <c r="G4219" s="1" t="s">
        <v>11787</v>
      </c>
      <c r="I4219" s="1" t="s">
        <v>11473</v>
      </c>
      <c r="O4219" t="s">
        <v>22</v>
      </c>
    </row>
    <row r="4220" spans="1:15">
      <c r="A4220" t="s">
        <v>11340</v>
      </c>
      <c r="B4220" t="s">
        <v>11340</v>
      </c>
      <c r="C4220" t="s">
        <v>5203</v>
      </c>
      <c r="F4220">
        <v>1</v>
      </c>
      <c r="G4220" s="1" t="s">
        <v>11788</v>
      </c>
      <c r="I4220" s="1" t="s">
        <v>11473</v>
      </c>
      <c r="O4220" t="s">
        <v>22</v>
      </c>
    </row>
    <row r="4221" spans="1:15">
      <c r="A4221" t="s">
        <v>5521</v>
      </c>
      <c r="B4221" t="s">
        <v>5521</v>
      </c>
      <c r="C4221" t="s">
        <v>5522</v>
      </c>
      <c r="F4221">
        <v>1</v>
      </c>
      <c r="G4221" s="1" t="s">
        <v>11789</v>
      </c>
      <c r="I4221" s="1" t="s">
        <v>11473</v>
      </c>
      <c r="O4221" t="s">
        <v>22</v>
      </c>
    </row>
    <row r="4222" spans="1:15">
      <c r="A4222" t="s">
        <v>6162</v>
      </c>
      <c r="B4222" t="s">
        <v>6162</v>
      </c>
      <c r="C4222" t="s">
        <v>6163</v>
      </c>
      <c r="F4222">
        <v>1</v>
      </c>
      <c r="G4222" s="1" t="s">
        <v>11790</v>
      </c>
      <c r="I4222" s="1" t="s">
        <v>11473</v>
      </c>
      <c r="O4222" t="s">
        <v>22</v>
      </c>
    </row>
    <row r="4223" spans="1:15">
      <c r="A4223" t="s">
        <v>10485</v>
      </c>
      <c r="B4223" t="s">
        <v>10485</v>
      </c>
      <c r="C4223" t="s">
        <v>6163</v>
      </c>
      <c r="F4223">
        <v>1</v>
      </c>
      <c r="G4223" s="1" t="s">
        <v>11791</v>
      </c>
      <c r="I4223" s="1" t="s">
        <v>11473</v>
      </c>
      <c r="O4223" t="s">
        <v>22</v>
      </c>
    </row>
    <row r="4224" spans="1:15">
      <c r="A4224" t="s">
        <v>6135</v>
      </c>
      <c r="B4224" t="s">
        <v>6135</v>
      </c>
      <c r="C4224" t="s">
        <v>6136</v>
      </c>
      <c r="F4224">
        <v>1</v>
      </c>
      <c r="G4224" s="1" t="s">
        <v>11792</v>
      </c>
      <c r="I4224" s="1" t="s">
        <v>11473</v>
      </c>
      <c r="O4224" t="s">
        <v>22</v>
      </c>
    </row>
    <row r="4225" spans="1:15">
      <c r="A4225" t="s">
        <v>6810</v>
      </c>
      <c r="B4225" t="s">
        <v>6810</v>
      </c>
      <c r="C4225" t="s">
        <v>6136</v>
      </c>
      <c r="F4225">
        <v>1</v>
      </c>
      <c r="G4225" s="1" t="s">
        <v>11793</v>
      </c>
      <c r="I4225" s="1" t="s">
        <v>11473</v>
      </c>
      <c r="O4225" t="s">
        <v>22</v>
      </c>
    </row>
    <row r="4226" spans="1:15">
      <c r="A4226" t="s">
        <v>11217</v>
      </c>
      <c r="B4226" t="s">
        <v>11217</v>
      </c>
      <c r="C4226" t="s">
        <v>6136</v>
      </c>
      <c r="F4226">
        <v>1</v>
      </c>
      <c r="G4226" s="1" t="s">
        <v>11794</v>
      </c>
      <c r="I4226" s="1" t="s">
        <v>11473</v>
      </c>
      <c r="O4226" t="s">
        <v>22</v>
      </c>
    </row>
    <row r="4227" spans="1:15">
      <c r="A4227" t="s">
        <v>9591</v>
      </c>
      <c r="B4227" t="s">
        <v>9591</v>
      </c>
      <c r="C4227" t="s">
        <v>9592</v>
      </c>
      <c r="F4227">
        <v>1</v>
      </c>
      <c r="G4227" s="1" t="s">
        <v>11795</v>
      </c>
      <c r="I4227" s="1" t="s">
        <v>11473</v>
      </c>
      <c r="O4227" t="s">
        <v>22</v>
      </c>
    </row>
    <row r="4228" spans="1:15">
      <c r="A4228" t="s">
        <v>6816</v>
      </c>
      <c r="B4228" t="s">
        <v>6816</v>
      </c>
      <c r="C4228" t="s">
        <v>6817</v>
      </c>
      <c r="F4228">
        <v>1</v>
      </c>
      <c r="G4228" s="1" t="s">
        <v>11796</v>
      </c>
      <c r="I4228" s="1" t="s">
        <v>11473</v>
      </c>
      <c r="O4228" t="s">
        <v>22</v>
      </c>
    </row>
    <row r="4229" spans="1:15">
      <c r="A4229" t="s">
        <v>7672</v>
      </c>
      <c r="B4229" t="s">
        <v>7672</v>
      </c>
      <c r="C4229" t="s">
        <v>6817</v>
      </c>
      <c r="F4229">
        <v>1</v>
      </c>
      <c r="G4229" s="1" t="s">
        <v>11797</v>
      </c>
      <c r="I4229" s="1" t="s">
        <v>11473</v>
      </c>
      <c r="O4229" t="s">
        <v>22</v>
      </c>
    </row>
    <row r="4230" spans="1:15">
      <c r="A4230" t="s">
        <v>8707</v>
      </c>
      <c r="B4230" t="s">
        <v>8707</v>
      </c>
      <c r="C4230" t="s">
        <v>4105</v>
      </c>
      <c r="F4230">
        <v>1</v>
      </c>
      <c r="G4230" s="1" t="s">
        <v>11798</v>
      </c>
      <c r="I4230" s="1" t="s">
        <v>11473</v>
      </c>
      <c r="O4230" t="s">
        <v>22</v>
      </c>
    </row>
    <row r="4231" spans="1:15">
      <c r="A4231" t="s">
        <v>11326</v>
      </c>
      <c r="B4231" t="s">
        <v>11326</v>
      </c>
      <c r="C4231" t="s">
        <v>5207</v>
      </c>
      <c r="F4231">
        <v>1</v>
      </c>
      <c r="G4231" s="1" t="s">
        <v>11799</v>
      </c>
      <c r="I4231" s="1" t="s">
        <v>11473</v>
      </c>
      <c r="O4231" t="s">
        <v>22</v>
      </c>
    </row>
    <row r="4232" spans="1:15">
      <c r="A4232" t="s">
        <v>11329</v>
      </c>
      <c r="B4232" t="s">
        <v>11329</v>
      </c>
      <c r="C4232" t="s">
        <v>5207</v>
      </c>
      <c r="F4232">
        <v>1</v>
      </c>
      <c r="G4232" s="1" t="s">
        <v>11800</v>
      </c>
      <c r="I4232" s="1" t="s">
        <v>11473</v>
      </c>
      <c r="O4232" t="s">
        <v>22</v>
      </c>
    </row>
    <row r="4233" spans="1:15">
      <c r="A4233" t="s">
        <v>11205</v>
      </c>
      <c r="B4233" t="s">
        <v>11205</v>
      </c>
      <c r="C4233" t="s">
        <v>11206</v>
      </c>
      <c r="F4233">
        <v>1</v>
      </c>
      <c r="G4233" s="1" t="s">
        <v>11801</v>
      </c>
      <c r="I4233" s="1" t="s">
        <v>11473</v>
      </c>
      <c r="O4233" t="s">
        <v>22</v>
      </c>
    </row>
    <row r="4234" spans="1:15">
      <c r="A4234" t="s">
        <v>6185</v>
      </c>
      <c r="B4234" t="s">
        <v>6185</v>
      </c>
      <c r="C4234" t="s">
        <v>5206</v>
      </c>
      <c r="F4234">
        <v>1</v>
      </c>
      <c r="G4234" s="1" t="s">
        <v>11802</v>
      </c>
      <c r="I4234" s="1" t="s">
        <v>11473</v>
      </c>
      <c r="O4234" t="s">
        <v>22</v>
      </c>
    </row>
    <row r="4235" spans="1:15">
      <c r="A4235" t="s">
        <v>6186</v>
      </c>
      <c r="B4235" t="s">
        <v>6186</v>
      </c>
      <c r="C4235" t="s">
        <v>6187</v>
      </c>
      <c r="F4235">
        <v>1</v>
      </c>
      <c r="G4235" s="1" t="s">
        <v>11803</v>
      </c>
      <c r="I4235" s="1" t="s">
        <v>11473</v>
      </c>
      <c r="O4235" t="s">
        <v>22</v>
      </c>
    </row>
    <row r="4236" spans="1:15">
      <c r="A4236" t="s">
        <v>8728</v>
      </c>
      <c r="B4236" t="s">
        <v>8728</v>
      </c>
      <c r="C4236" t="s">
        <v>8729</v>
      </c>
      <c r="F4236">
        <v>1</v>
      </c>
      <c r="G4236" s="1" t="s">
        <v>11804</v>
      </c>
      <c r="I4236" s="1" t="s">
        <v>11473</v>
      </c>
      <c r="O4236" t="s">
        <v>22</v>
      </c>
    </row>
    <row r="4237" spans="1:15">
      <c r="A4237" t="s">
        <v>10464</v>
      </c>
      <c r="B4237" t="s">
        <v>10464</v>
      </c>
      <c r="C4237" t="s">
        <v>8729</v>
      </c>
      <c r="F4237">
        <v>1</v>
      </c>
      <c r="G4237" s="1" t="s">
        <v>11805</v>
      </c>
      <c r="I4237" s="1" t="s">
        <v>11473</v>
      </c>
      <c r="O4237" t="s">
        <v>22</v>
      </c>
    </row>
    <row r="4238" spans="1:15">
      <c r="A4238" t="s">
        <v>11221</v>
      </c>
      <c r="B4238" t="s">
        <v>11221</v>
      </c>
      <c r="C4238" t="s">
        <v>8729</v>
      </c>
      <c r="F4238">
        <v>1</v>
      </c>
      <c r="G4238" s="1" t="s">
        <v>11806</v>
      </c>
      <c r="I4238" s="1" t="s">
        <v>11473</v>
      </c>
      <c r="O4238" t="s">
        <v>22</v>
      </c>
    </row>
    <row r="4239" spans="1:15">
      <c r="A4239" t="s">
        <v>10156</v>
      </c>
      <c r="B4239" t="s">
        <v>10156</v>
      </c>
      <c r="C4239" t="s">
        <v>10157</v>
      </c>
      <c r="F4239">
        <v>1</v>
      </c>
      <c r="G4239" s="1" t="s">
        <v>11807</v>
      </c>
      <c r="I4239" s="1" t="s">
        <v>11473</v>
      </c>
      <c r="O4239" t="s">
        <v>22</v>
      </c>
    </row>
    <row r="4240" spans="1:15">
      <c r="A4240" t="s">
        <v>9604</v>
      </c>
      <c r="B4240" t="s">
        <v>9604</v>
      </c>
      <c r="C4240" t="s">
        <v>5290</v>
      </c>
      <c r="F4240">
        <v>1</v>
      </c>
      <c r="G4240" s="1" t="s">
        <v>11808</v>
      </c>
      <c r="I4240" s="1" t="s">
        <v>11473</v>
      </c>
      <c r="O4240" t="s">
        <v>22</v>
      </c>
    </row>
    <row r="4241" spans="1:15">
      <c r="A4241" t="s">
        <v>11350</v>
      </c>
      <c r="B4241" t="s">
        <v>11350</v>
      </c>
      <c r="C4241" t="s">
        <v>5100</v>
      </c>
      <c r="F4241">
        <v>1</v>
      </c>
      <c r="G4241" s="1" t="s">
        <v>11809</v>
      </c>
      <c r="I4241" s="1" t="s">
        <v>11473</v>
      </c>
      <c r="O4241" t="s">
        <v>22</v>
      </c>
    </row>
    <row r="4242" spans="1:15">
      <c r="A4242" t="s">
        <v>8668</v>
      </c>
      <c r="B4242" t="s">
        <v>8668</v>
      </c>
      <c r="C4242" t="s">
        <v>4918</v>
      </c>
      <c r="F4242">
        <v>1</v>
      </c>
      <c r="G4242" s="1" t="s">
        <v>11810</v>
      </c>
      <c r="I4242" s="1" t="s">
        <v>11473</v>
      </c>
      <c r="O4242" t="s">
        <v>22</v>
      </c>
    </row>
    <row r="4243" spans="1:15">
      <c r="A4243" t="s">
        <v>8665</v>
      </c>
      <c r="B4243" t="s">
        <v>8665</v>
      </c>
      <c r="C4243" t="s">
        <v>8666</v>
      </c>
      <c r="F4243">
        <v>1</v>
      </c>
      <c r="G4243" s="1" t="s">
        <v>11811</v>
      </c>
      <c r="I4243" s="1" t="s">
        <v>11473</v>
      </c>
      <c r="O4243" t="s">
        <v>22</v>
      </c>
    </row>
    <row r="4244" spans="1:15">
      <c r="A4244" t="s">
        <v>11320</v>
      </c>
      <c r="B4244" t="s">
        <v>11320</v>
      </c>
      <c r="C4244" t="s">
        <v>11321</v>
      </c>
      <c r="F4244">
        <v>1</v>
      </c>
      <c r="G4244" s="1" t="s">
        <v>11812</v>
      </c>
      <c r="I4244" s="1" t="s">
        <v>11473</v>
      </c>
      <c r="O4244" t="s">
        <v>22</v>
      </c>
    </row>
    <row r="4245" spans="1:15">
      <c r="A4245" t="s">
        <v>11325</v>
      </c>
      <c r="B4245" t="s">
        <v>11325</v>
      </c>
      <c r="C4245" t="s">
        <v>11321</v>
      </c>
      <c r="F4245">
        <v>1</v>
      </c>
      <c r="G4245" s="1" t="s">
        <v>11813</v>
      </c>
      <c r="I4245" s="1" t="s">
        <v>11473</v>
      </c>
      <c r="O4245" t="s">
        <v>22</v>
      </c>
    </row>
    <row r="4246" spans="1:15">
      <c r="A4246" t="s">
        <v>6129</v>
      </c>
      <c r="B4246" t="s">
        <v>6129</v>
      </c>
      <c r="C4246" t="s">
        <v>4901</v>
      </c>
      <c r="F4246">
        <v>1</v>
      </c>
      <c r="G4246" s="1" t="s">
        <v>11814</v>
      </c>
      <c r="I4246" s="1" t="s">
        <v>11473</v>
      </c>
      <c r="O4246" t="s">
        <v>22</v>
      </c>
    </row>
    <row r="4247" spans="1:15">
      <c r="A4247" t="s">
        <v>10174</v>
      </c>
      <c r="B4247" t="s">
        <v>10174</v>
      </c>
      <c r="C4247" t="s">
        <v>4901</v>
      </c>
      <c r="F4247">
        <v>1</v>
      </c>
      <c r="G4247" s="1" t="s">
        <v>11815</v>
      </c>
      <c r="I4247" s="1" t="s">
        <v>11473</v>
      </c>
      <c r="O4247" t="s">
        <v>22</v>
      </c>
    </row>
    <row r="4248" spans="1:15">
      <c r="A4248" t="s">
        <v>10795</v>
      </c>
      <c r="B4248" t="s">
        <v>10795</v>
      </c>
      <c r="C4248" t="s">
        <v>4901</v>
      </c>
      <c r="F4248">
        <v>1</v>
      </c>
      <c r="G4248" s="1" t="s">
        <v>11816</v>
      </c>
      <c r="I4248" s="1" t="s">
        <v>11473</v>
      </c>
      <c r="O4248" t="s">
        <v>22</v>
      </c>
    </row>
    <row r="4249" spans="1:15">
      <c r="A4249" t="s">
        <v>11322</v>
      </c>
      <c r="B4249" t="s">
        <v>11322</v>
      </c>
      <c r="C4249" t="s">
        <v>4901</v>
      </c>
      <c r="F4249">
        <v>1</v>
      </c>
      <c r="G4249" s="1" t="s">
        <v>11817</v>
      </c>
      <c r="I4249" s="1" t="s">
        <v>11473</v>
      </c>
      <c r="O4249" t="s">
        <v>22</v>
      </c>
    </row>
    <row r="4250" spans="1:15">
      <c r="A4250" t="s">
        <v>11039</v>
      </c>
      <c r="B4250" t="s">
        <v>11039</v>
      </c>
      <c r="C4250" t="s">
        <v>11040</v>
      </c>
      <c r="F4250">
        <v>1</v>
      </c>
      <c r="G4250" s="1" t="s">
        <v>11818</v>
      </c>
      <c r="I4250" s="1" t="s">
        <v>11473</v>
      </c>
      <c r="O4250" t="s">
        <v>22</v>
      </c>
    </row>
    <row r="4251" spans="1:15">
      <c r="A4251" t="s">
        <v>8708</v>
      </c>
      <c r="B4251" t="s">
        <v>8708</v>
      </c>
      <c r="C4251" t="s">
        <v>8709</v>
      </c>
      <c r="F4251">
        <v>1</v>
      </c>
      <c r="G4251" s="1" t="s">
        <v>11819</v>
      </c>
      <c r="I4251" s="1" t="s">
        <v>11473</v>
      </c>
      <c r="O4251" t="s">
        <v>22</v>
      </c>
    </row>
    <row r="4252" spans="1:15">
      <c r="A4252" t="s">
        <v>10429</v>
      </c>
      <c r="B4252" t="s">
        <v>10429</v>
      </c>
      <c r="C4252" t="s">
        <v>10430</v>
      </c>
      <c r="F4252">
        <v>1</v>
      </c>
      <c r="G4252" s="1" t="s">
        <v>11820</v>
      </c>
      <c r="I4252" s="1" t="s">
        <v>11473</v>
      </c>
      <c r="O4252" t="s">
        <v>22</v>
      </c>
    </row>
    <row r="4253" spans="1:15">
      <c r="A4253" t="s">
        <v>9157</v>
      </c>
      <c r="B4253" t="s">
        <v>9157</v>
      </c>
      <c r="C4253" t="s">
        <v>5258</v>
      </c>
      <c r="F4253">
        <v>1</v>
      </c>
      <c r="G4253" s="1" t="s">
        <v>11821</v>
      </c>
      <c r="I4253" s="1" t="s">
        <v>11473</v>
      </c>
      <c r="O4253" t="s">
        <v>22</v>
      </c>
    </row>
    <row r="4254" spans="1:15">
      <c r="A4254" t="s">
        <v>8732</v>
      </c>
      <c r="B4254" t="s">
        <v>8732</v>
      </c>
      <c r="C4254" t="s">
        <v>8733</v>
      </c>
      <c r="F4254">
        <v>1</v>
      </c>
      <c r="G4254" s="1" t="s">
        <v>11822</v>
      </c>
      <c r="I4254" s="1" t="s">
        <v>11473</v>
      </c>
      <c r="O4254" t="s">
        <v>22</v>
      </c>
    </row>
    <row r="4255" spans="1:15">
      <c r="A4255" t="s">
        <v>10442</v>
      </c>
      <c r="B4255" t="s">
        <v>10442</v>
      </c>
      <c r="C4255" t="s">
        <v>8733</v>
      </c>
      <c r="F4255">
        <v>1</v>
      </c>
      <c r="G4255" s="1" t="s">
        <v>11823</v>
      </c>
      <c r="I4255" s="1" t="s">
        <v>11473</v>
      </c>
      <c r="O4255" t="s">
        <v>22</v>
      </c>
    </row>
    <row r="4256" spans="1:15">
      <c r="A4256" t="s">
        <v>8735</v>
      </c>
      <c r="B4256" t="s">
        <v>8735</v>
      </c>
      <c r="C4256" t="s">
        <v>8736</v>
      </c>
      <c r="F4256">
        <v>1</v>
      </c>
      <c r="G4256" s="1" t="s">
        <v>11824</v>
      </c>
      <c r="I4256" s="1" t="s">
        <v>11473</v>
      </c>
      <c r="O4256" t="s">
        <v>22</v>
      </c>
    </row>
    <row r="4257" spans="1:15">
      <c r="A4257" t="s">
        <v>9749</v>
      </c>
      <c r="B4257" t="s">
        <v>9749</v>
      </c>
      <c r="C4257" t="s">
        <v>5187</v>
      </c>
      <c r="F4257">
        <v>1</v>
      </c>
      <c r="G4257" s="1" t="s">
        <v>11825</v>
      </c>
      <c r="I4257" s="1" t="s">
        <v>11473</v>
      </c>
      <c r="O4257" t="s">
        <v>22</v>
      </c>
    </row>
    <row r="4258" spans="1:15">
      <c r="A4258" t="s">
        <v>10416</v>
      </c>
      <c r="B4258" t="s">
        <v>10416</v>
      </c>
      <c r="C4258" t="s">
        <v>5187</v>
      </c>
      <c r="F4258">
        <v>1</v>
      </c>
      <c r="G4258" s="1" t="s">
        <v>11826</v>
      </c>
      <c r="I4258" s="1" t="s">
        <v>11473</v>
      </c>
      <c r="O4258" t="s">
        <v>22</v>
      </c>
    </row>
    <row r="4259" spans="1:15">
      <c r="A4259" t="s">
        <v>6190</v>
      </c>
      <c r="B4259" t="s">
        <v>6190</v>
      </c>
      <c r="C4259" t="s">
        <v>6191</v>
      </c>
      <c r="F4259">
        <v>1</v>
      </c>
      <c r="G4259" s="1" t="s">
        <v>11827</v>
      </c>
      <c r="I4259" s="1" t="s">
        <v>11473</v>
      </c>
      <c r="O4259" t="s">
        <v>22</v>
      </c>
    </row>
    <row r="4260" spans="1:15">
      <c r="A4260" t="s">
        <v>6975</v>
      </c>
      <c r="B4260" t="s">
        <v>6975</v>
      </c>
      <c r="C4260" t="s">
        <v>6976</v>
      </c>
      <c r="F4260">
        <v>1</v>
      </c>
      <c r="G4260" s="1" t="s">
        <v>11828</v>
      </c>
      <c r="I4260" s="1" t="s">
        <v>11473</v>
      </c>
      <c r="O4260" t="s">
        <v>22</v>
      </c>
    </row>
    <row r="4261" spans="1:15">
      <c r="A4261" t="s">
        <v>10987</v>
      </c>
      <c r="B4261" t="s">
        <v>10987</v>
      </c>
      <c r="C4261" t="s">
        <v>6976</v>
      </c>
      <c r="F4261">
        <v>1</v>
      </c>
      <c r="G4261" s="1" t="s">
        <v>11829</v>
      </c>
      <c r="I4261" s="1" t="s">
        <v>11473</v>
      </c>
      <c r="O4261" t="s">
        <v>22</v>
      </c>
    </row>
    <row r="4262" spans="1:15">
      <c r="A4262" t="s">
        <v>11211</v>
      </c>
      <c r="B4262" t="s">
        <v>11211</v>
      </c>
      <c r="C4262" t="s">
        <v>11212</v>
      </c>
      <c r="F4262">
        <v>1</v>
      </c>
      <c r="G4262" s="1" t="s">
        <v>11830</v>
      </c>
      <c r="I4262" s="1" t="s">
        <v>11473</v>
      </c>
      <c r="O4262" t="s">
        <v>22</v>
      </c>
    </row>
    <row r="4263" spans="1:15">
      <c r="A4263" t="s">
        <v>6181</v>
      </c>
      <c r="B4263" t="s">
        <v>6181</v>
      </c>
      <c r="C4263" t="s">
        <v>5256</v>
      </c>
      <c r="F4263">
        <v>1</v>
      </c>
      <c r="G4263" s="1" t="s">
        <v>11831</v>
      </c>
      <c r="I4263" s="1" t="s">
        <v>11473</v>
      </c>
      <c r="O4263" t="s">
        <v>22</v>
      </c>
    </row>
    <row r="4264" spans="1:15">
      <c r="A4264" t="s">
        <v>7085</v>
      </c>
      <c r="B4264" t="s">
        <v>7085</v>
      </c>
      <c r="C4264" t="s">
        <v>5256</v>
      </c>
      <c r="F4264">
        <v>1</v>
      </c>
      <c r="G4264" s="1" t="s">
        <v>11832</v>
      </c>
      <c r="I4264" s="1" t="s">
        <v>11473</v>
      </c>
      <c r="O4264" t="s">
        <v>22</v>
      </c>
    </row>
    <row r="4265" spans="1:15">
      <c r="A4265" t="s">
        <v>6124</v>
      </c>
      <c r="B4265" t="s">
        <v>6124</v>
      </c>
      <c r="C4265" t="s">
        <v>5138</v>
      </c>
      <c r="F4265">
        <v>1</v>
      </c>
      <c r="G4265" s="1" t="s">
        <v>11833</v>
      </c>
      <c r="I4265" s="1" t="s">
        <v>11473</v>
      </c>
      <c r="O4265" t="s">
        <v>22</v>
      </c>
    </row>
    <row r="4266" spans="1:15">
      <c r="A4266" t="s">
        <v>8533</v>
      </c>
      <c r="B4266" t="s">
        <v>8533</v>
      </c>
      <c r="C4266" t="s">
        <v>5138</v>
      </c>
      <c r="F4266">
        <v>1</v>
      </c>
      <c r="G4266" s="1" t="s">
        <v>11834</v>
      </c>
      <c r="I4266" s="1" t="s">
        <v>11473</v>
      </c>
      <c r="O4266" t="s">
        <v>22</v>
      </c>
    </row>
    <row r="4267" spans="1:15">
      <c r="A4267" t="s">
        <v>10791</v>
      </c>
      <c r="B4267" t="s">
        <v>10791</v>
      </c>
      <c r="C4267" t="s">
        <v>5138</v>
      </c>
      <c r="F4267">
        <v>1</v>
      </c>
      <c r="G4267" s="1" t="s">
        <v>11835</v>
      </c>
      <c r="I4267" s="1" t="s">
        <v>11473</v>
      </c>
      <c r="O4267" t="s">
        <v>22</v>
      </c>
    </row>
    <row r="4268" spans="1:15">
      <c r="A4268" t="s">
        <v>11348</v>
      </c>
      <c r="B4268" t="s">
        <v>11348</v>
      </c>
      <c r="C4268" t="s">
        <v>5138</v>
      </c>
      <c r="F4268">
        <v>1</v>
      </c>
      <c r="G4268" s="1" t="s">
        <v>11836</v>
      </c>
      <c r="I4268" s="1" t="s">
        <v>11473</v>
      </c>
      <c r="O4268" t="s">
        <v>22</v>
      </c>
    </row>
    <row r="4269" spans="1:15">
      <c r="A4269" t="s">
        <v>6138</v>
      </c>
      <c r="B4269" t="s">
        <v>6138</v>
      </c>
      <c r="C4269" t="s">
        <v>5263</v>
      </c>
      <c r="F4269">
        <v>1</v>
      </c>
      <c r="G4269" s="1" t="s">
        <v>11837</v>
      </c>
      <c r="I4269" s="1" t="s">
        <v>11473</v>
      </c>
      <c r="O4269" t="s">
        <v>22</v>
      </c>
    </row>
    <row r="4270" spans="1:15">
      <c r="A4270" t="s">
        <v>7043</v>
      </c>
      <c r="B4270" t="s">
        <v>7043</v>
      </c>
      <c r="C4270" t="s">
        <v>5263</v>
      </c>
      <c r="F4270">
        <v>1</v>
      </c>
      <c r="G4270" s="1" t="s">
        <v>11838</v>
      </c>
      <c r="I4270" s="1" t="s">
        <v>11473</v>
      </c>
      <c r="O4270" t="s">
        <v>22</v>
      </c>
    </row>
    <row r="4271" spans="1:15">
      <c r="A4271" t="s">
        <v>11204</v>
      </c>
      <c r="B4271" t="s">
        <v>11204</v>
      </c>
      <c r="C4271" t="s">
        <v>5219</v>
      </c>
      <c r="F4271">
        <v>1</v>
      </c>
      <c r="G4271" s="1" t="s">
        <v>11839</v>
      </c>
      <c r="I4271" s="1" t="s">
        <v>11473</v>
      </c>
      <c r="O4271" t="s">
        <v>22</v>
      </c>
    </row>
    <row r="4272" spans="1:15">
      <c r="A4272" t="s">
        <v>9627</v>
      </c>
      <c r="B4272" t="s">
        <v>9627</v>
      </c>
      <c r="C4272" t="s">
        <v>5217</v>
      </c>
      <c r="F4272">
        <v>1</v>
      </c>
      <c r="G4272" s="1" t="s">
        <v>11840</v>
      </c>
      <c r="I4272" s="1" t="s">
        <v>11473</v>
      </c>
      <c r="O4272" t="s">
        <v>22</v>
      </c>
    </row>
    <row r="4273" spans="1:15">
      <c r="A4273" t="s">
        <v>10671</v>
      </c>
      <c r="B4273" t="s">
        <v>10671</v>
      </c>
      <c r="C4273" t="s">
        <v>5217</v>
      </c>
      <c r="F4273">
        <v>1</v>
      </c>
      <c r="G4273" s="1" t="s">
        <v>11841</v>
      </c>
      <c r="I4273" s="1" t="s">
        <v>11473</v>
      </c>
      <c r="O4273" t="s">
        <v>22</v>
      </c>
    </row>
    <row r="4274" spans="1:15">
      <c r="A4274" t="s">
        <v>6177</v>
      </c>
      <c r="B4274" t="s">
        <v>6177</v>
      </c>
      <c r="C4274" t="s">
        <v>5133</v>
      </c>
      <c r="F4274">
        <v>1</v>
      </c>
      <c r="G4274" s="1" t="s">
        <v>11842</v>
      </c>
      <c r="I4274" s="1" t="s">
        <v>11473</v>
      </c>
      <c r="O4274" t="s">
        <v>22</v>
      </c>
    </row>
    <row r="4275" spans="1:15">
      <c r="A4275" t="s">
        <v>10427</v>
      </c>
      <c r="B4275" t="s">
        <v>10427</v>
      </c>
      <c r="C4275" t="s">
        <v>4799</v>
      </c>
      <c r="F4275">
        <v>1</v>
      </c>
      <c r="G4275" s="1" t="s">
        <v>11843</v>
      </c>
      <c r="I4275" s="1" t="s">
        <v>11473</v>
      </c>
      <c r="O4275" t="s">
        <v>22</v>
      </c>
    </row>
    <row r="4276" spans="1:15">
      <c r="A4276" t="s">
        <v>10446</v>
      </c>
      <c r="B4276" t="s">
        <v>10446</v>
      </c>
      <c r="C4276" t="s">
        <v>5064</v>
      </c>
      <c r="F4276">
        <v>1</v>
      </c>
      <c r="G4276" s="1" t="s">
        <v>11844</v>
      </c>
      <c r="I4276" s="1" t="s">
        <v>11473</v>
      </c>
      <c r="O4276" t="s">
        <v>22</v>
      </c>
    </row>
    <row r="4277" spans="1:15">
      <c r="A4277" t="s">
        <v>6140</v>
      </c>
      <c r="B4277" t="s">
        <v>6140</v>
      </c>
      <c r="C4277" t="s">
        <v>6141</v>
      </c>
      <c r="F4277">
        <v>1</v>
      </c>
      <c r="G4277" s="1" t="s">
        <v>11845</v>
      </c>
      <c r="I4277" s="1" t="s">
        <v>11473</v>
      </c>
      <c r="O4277" t="s">
        <v>22</v>
      </c>
    </row>
    <row r="4278" spans="1:15">
      <c r="A4278" t="s">
        <v>11219</v>
      </c>
      <c r="B4278" t="s">
        <v>11219</v>
      </c>
      <c r="C4278" t="s">
        <v>6141</v>
      </c>
      <c r="F4278">
        <v>1</v>
      </c>
      <c r="G4278" s="1" t="s">
        <v>11846</v>
      </c>
      <c r="I4278" s="1" t="s">
        <v>11473</v>
      </c>
      <c r="O4278" t="s">
        <v>22</v>
      </c>
    </row>
    <row r="4279" spans="1:15">
      <c r="A4279" t="s">
        <v>8677</v>
      </c>
      <c r="B4279" t="s">
        <v>8677</v>
      </c>
      <c r="C4279" t="s">
        <v>8678</v>
      </c>
      <c r="F4279">
        <v>1</v>
      </c>
      <c r="G4279" s="1" t="s">
        <v>11847</v>
      </c>
      <c r="I4279" s="1" t="s">
        <v>11473</v>
      </c>
      <c r="O4279" t="s">
        <v>22</v>
      </c>
    </row>
    <row r="4280" spans="1:15">
      <c r="A4280" t="s">
        <v>6142</v>
      </c>
      <c r="B4280" t="s">
        <v>6142</v>
      </c>
      <c r="C4280" t="s">
        <v>5262</v>
      </c>
      <c r="F4280">
        <v>1</v>
      </c>
      <c r="G4280" s="1" t="s">
        <v>11848</v>
      </c>
      <c r="I4280" s="1" t="s">
        <v>11473</v>
      </c>
      <c r="O4280" t="s">
        <v>22</v>
      </c>
    </row>
    <row r="4281" spans="1:15">
      <c r="A4281" t="s">
        <v>10008</v>
      </c>
      <c r="B4281" t="s">
        <v>10008</v>
      </c>
      <c r="C4281" t="s">
        <v>5262</v>
      </c>
      <c r="F4281">
        <v>1</v>
      </c>
      <c r="G4281" s="1" t="s">
        <v>11849</v>
      </c>
      <c r="I4281" s="1" t="s">
        <v>11473</v>
      </c>
      <c r="O4281" t="s">
        <v>22</v>
      </c>
    </row>
    <row r="4282" spans="1:15">
      <c r="A4282" t="s">
        <v>11347</v>
      </c>
      <c r="B4282" t="s">
        <v>11347</v>
      </c>
      <c r="C4282" t="s">
        <v>5346</v>
      </c>
      <c r="F4282">
        <v>1</v>
      </c>
      <c r="G4282" s="1" t="s">
        <v>11850</v>
      </c>
      <c r="I4282" s="1" t="s">
        <v>11473</v>
      </c>
      <c r="O4282" t="s">
        <v>22</v>
      </c>
    </row>
    <row r="4283" spans="1:15">
      <c r="A4283" t="s">
        <v>9040</v>
      </c>
      <c r="B4283" t="s">
        <v>9040</v>
      </c>
      <c r="C4283" t="s">
        <v>9041</v>
      </c>
      <c r="F4283">
        <v>1</v>
      </c>
      <c r="G4283" s="1" t="s">
        <v>11851</v>
      </c>
      <c r="I4283" s="1" t="s">
        <v>11473</v>
      </c>
      <c r="O4283" t="s">
        <v>22</v>
      </c>
    </row>
    <row r="4284" spans="1:15">
      <c r="A4284" t="s">
        <v>10652</v>
      </c>
      <c r="B4284" t="s">
        <v>10652</v>
      </c>
      <c r="C4284" t="s">
        <v>10653</v>
      </c>
      <c r="F4284">
        <v>1</v>
      </c>
      <c r="G4284" s="1" t="s">
        <v>11852</v>
      </c>
      <c r="I4284" s="1" t="s">
        <v>11473</v>
      </c>
      <c r="O4284" t="s">
        <v>22</v>
      </c>
    </row>
    <row r="4285" spans="1:15">
      <c r="A4285" t="s">
        <v>11214</v>
      </c>
      <c r="B4285" t="s">
        <v>11214</v>
      </c>
      <c r="C4285" t="s">
        <v>5216</v>
      </c>
      <c r="F4285">
        <v>1</v>
      </c>
      <c r="G4285" s="1" t="s">
        <v>11853</v>
      </c>
      <c r="I4285" s="1" t="s">
        <v>11473</v>
      </c>
      <c r="O4285" t="s">
        <v>22</v>
      </c>
    </row>
    <row r="4286" spans="1:15">
      <c r="A4286" t="s">
        <v>8684</v>
      </c>
      <c r="B4286" t="s">
        <v>8684</v>
      </c>
      <c r="C4286" t="s">
        <v>8685</v>
      </c>
      <c r="F4286">
        <v>1</v>
      </c>
      <c r="G4286" s="1" t="s">
        <v>11854</v>
      </c>
      <c r="I4286" s="1" t="s">
        <v>11473</v>
      </c>
      <c r="O4286" t="s">
        <v>22</v>
      </c>
    </row>
    <row r="4287" spans="1:15">
      <c r="A4287" t="s">
        <v>6130</v>
      </c>
      <c r="B4287" t="s">
        <v>6130</v>
      </c>
      <c r="C4287" t="s">
        <v>5214</v>
      </c>
      <c r="F4287">
        <v>1</v>
      </c>
      <c r="G4287" s="1" t="s">
        <v>11855</v>
      </c>
      <c r="I4287" s="1" t="s">
        <v>11473</v>
      </c>
      <c r="O4287" t="s">
        <v>22</v>
      </c>
    </row>
    <row r="4288" spans="1:15">
      <c r="A4288" t="s">
        <v>9022</v>
      </c>
      <c r="B4288" t="s">
        <v>9022</v>
      </c>
      <c r="C4288" t="s">
        <v>5214</v>
      </c>
      <c r="F4288">
        <v>1</v>
      </c>
      <c r="G4288" s="1" t="s">
        <v>11856</v>
      </c>
      <c r="I4288" s="1" t="s">
        <v>11473</v>
      </c>
      <c r="O4288" t="s">
        <v>22</v>
      </c>
    </row>
    <row r="4289" spans="1:15">
      <c r="A4289" t="s">
        <v>6125</v>
      </c>
      <c r="B4289" t="s">
        <v>6125</v>
      </c>
      <c r="C4289" t="s">
        <v>6126</v>
      </c>
      <c r="F4289">
        <v>1</v>
      </c>
      <c r="G4289" s="1" t="s">
        <v>11857</v>
      </c>
      <c r="I4289" s="1" t="s">
        <v>11473</v>
      </c>
      <c r="O4289" t="s">
        <v>22</v>
      </c>
    </row>
    <row r="4290" spans="1:15">
      <c r="A4290" t="s">
        <v>6127</v>
      </c>
      <c r="B4290" t="s">
        <v>6127</v>
      </c>
      <c r="C4290" t="s">
        <v>6126</v>
      </c>
      <c r="F4290">
        <v>1</v>
      </c>
      <c r="G4290" s="1" t="s">
        <v>11858</v>
      </c>
      <c r="I4290" s="1" t="s">
        <v>11473</v>
      </c>
      <c r="O4290" t="s">
        <v>22</v>
      </c>
    </row>
    <row r="4291" spans="1:15">
      <c r="A4291" t="s">
        <v>6131</v>
      </c>
      <c r="B4291" t="s">
        <v>6131</v>
      </c>
      <c r="C4291" t="s">
        <v>6126</v>
      </c>
      <c r="F4291">
        <v>1</v>
      </c>
      <c r="G4291" s="1" t="s">
        <v>11859</v>
      </c>
      <c r="I4291" s="1" t="s">
        <v>11473</v>
      </c>
      <c r="O4291" t="s">
        <v>22</v>
      </c>
    </row>
    <row r="4292" spans="1:15">
      <c r="A4292" t="s">
        <v>6139</v>
      </c>
      <c r="B4292" t="s">
        <v>6139</v>
      </c>
      <c r="C4292" t="s">
        <v>6126</v>
      </c>
      <c r="F4292">
        <v>1</v>
      </c>
      <c r="G4292" s="1" t="s">
        <v>11860</v>
      </c>
      <c r="I4292" s="1" t="s">
        <v>11473</v>
      </c>
      <c r="O4292" t="s">
        <v>22</v>
      </c>
    </row>
    <row r="4293" spans="1:15">
      <c r="A4293" t="s">
        <v>8715</v>
      </c>
      <c r="B4293" t="s">
        <v>8715</v>
      </c>
      <c r="C4293" t="s">
        <v>6126</v>
      </c>
      <c r="F4293">
        <v>1</v>
      </c>
      <c r="G4293" s="1" t="s">
        <v>11861</v>
      </c>
      <c r="I4293" s="1" t="s">
        <v>11473</v>
      </c>
      <c r="O4293" t="s">
        <v>22</v>
      </c>
    </row>
    <row r="4294" spans="1:15">
      <c r="A4294" t="s">
        <v>8718</v>
      </c>
      <c r="B4294" t="s">
        <v>8718</v>
      </c>
      <c r="C4294" t="s">
        <v>6126</v>
      </c>
      <c r="F4294">
        <v>1</v>
      </c>
      <c r="G4294" s="1" t="s">
        <v>11862</v>
      </c>
      <c r="I4294" s="1" t="s">
        <v>11473</v>
      </c>
      <c r="O4294" t="s">
        <v>22</v>
      </c>
    </row>
    <row r="4295" spans="1:15">
      <c r="A4295" t="s">
        <v>10459</v>
      </c>
      <c r="B4295" t="s">
        <v>10459</v>
      </c>
      <c r="C4295" t="s">
        <v>6126</v>
      </c>
      <c r="F4295">
        <v>1</v>
      </c>
      <c r="G4295" s="1" t="s">
        <v>11863</v>
      </c>
      <c r="I4295" s="1" t="s">
        <v>11473</v>
      </c>
      <c r="O4295" t="s">
        <v>22</v>
      </c>
    </row>
    <row r="4296" spans="1:15">
      <c r="A4296" t="s">
        <v>11334</v>
      </c>
      <c r="B4296" t="s">
        <v>11334</v>
      </c>
      <c r="C4296" t="s">
        <v>6126</v>
      </c>
      <c r="F4296">
        <v>1</v>
      </c>
      <c r="G4296" s="1" t="s">
        <v>11864</v>
      </c>
      <c r="I4296" s="1" t="s">
        <v>11473</v>
      </c>
      <c r="O4296" t="s">
        <v>22</v>
      </c>
    </row>
    <row r="4297" spans="1:15">
      <c r="A4297" t="s">
        <v>6197</v>
      </c>
      <c r="B4297" t="s">
        <v>6197</v>
      </c>
      <c r="C4297" t="s">
        <v>6198</v>
      </c>
      <c r="F4297">
        <v>1</v>
      </c>
      <c r="G4297" s="1" t="s">
        <v>11865</v>
      </c>
      <c r="I4297" s="1" t="s">
        <v>11473</v>
      </c>
      <c r="O4297" t="s">
        <v>22</v>
      </c>
    </row>
    <row r="4298" spans="1:15">
      <c r="A4298" t="s">
        <v>11303</v>
      </c>
      <c r="B4298" t="s">
        <v>11303</v>
      </c>
      <c r="C4298" t="s">
        <v>11304</v>
      </c>
      <c r="F4298">
        <v>1</v>
      </c>
      <c r="G4298" s="1" t="s">
        <v>11866</v>
      </c>
      <c r="I4298" s="1" t="s">
        <v>11473</v>
      </c>
      <c r="O4298" t="s">
        <v>22</v>
      </c>
    </row>
    <row r="4299" spans="1:15">
      <c r="A4299" t="s">
        <v>11332</v>
      </c>
      <c r="B4299" t="s">
        <v>11332</v>
      </c>
      <c r="C4299" t="s">
        <v>11333</v>
      </c>
      <c r="F4299">
        <v>1</v>
      </c>
      <c r="G4299" s="1" t="s">
        <v>11867</v>
      </c>
      <c r="I4299" s="1" t="s">
        <v>11473</v>
      </c>
      <c r="O4299" t="s">
        <v>22</v>
      </c>
    </row>
    <row r="4300" spans="1:15">
      <c r="A4300" t="s">
        <v>10804</v>
      </c>
      <c r="B4300" t="s">
        <v>10804</v>
      </c>
      <c r="C4300" t="s">
        <v>10805</v>
      </c>
      <c r="F4300">
        <v>1</v>
      </c>
      <c r="G4300" s="1" t="s">
        <v>11868</v>
      </c>
      <c r="I4300" s="1" t="s">
        <v>11473</v>
      </c>
      <c r="O4300" t="s">
        <v>22</v>
      </c>
    </row>
    <row r="4301" spans="1:15">
      <c r="A4301" t="s">
        <v>9026</v>
      </c>
      <c r="B4301" t="s">
        <v>9026</v>
      </c>
      <c r="C4301" t="s">
        <v>9027</v>
      </c>
      <c r="F4301">
        <v>1</v>
      </c>
      <c r="G4301" s="1" t="s">
        <v>11869</v>
      </c>
      <c r="I4301" s="1" t="s">
        <v>11473</v>
      </c>
      <c r="O4301" t="s">
        <v>22</v>
      </c>
    </row>
    <row r="4302" spans="1:15">
      <c r="A4302" t="s">
        <v>6194</v>
      </c>
      <c r="B4302" t="s">
        <v>6194</v>
      </c>
      <c r="C4302" t="s">
        <v>5218</v>
      </c>
      <c r="F4302">
        <v>1</v>
      </c>
      <c r="G4302" s="1" t="s">
        <v>11870</v>
      </c>
      <c r="I4302" s="1" t="s">
        <v>11473</v>
      </c>
      <c r="O4302" t="s">
        <v>22</v>
      </c>
    </row>
    <row r="4303" spans="1:15">
      <c r="A4303" t="s">
        <v>8703</v>
      </c>
      <c r="B4303" t="s">
        <v>8703</v>
      </c>
      <c r="C4303" t="s">
        <v>8704</v>
      </c>
      <c r="F4303">
        <v>1</v>
      </c>
      <c r="G4303" s="1" t="s">
        <v>11871</v>
      </c>
      <c r="I4303" s="1" t="s">
        <v>11473</v>
      </c>
      <c r="O4303" t="s">
        <v>22</v>
      </c>
    </row>
    <row r="4304" spans="1:15">
      <c r="A4304" t="s">
        <v>8743</v>
      </c>
      <c r="B4304" t="s">
        <v>8743</v>
      </c>
      <c r="C4304" t="s">
        <v>8704</v>
      </c>
      <c r="F4304">
        <v>1</v>
      </c>
      <c r="G4304" s="1" t="s">
        <v>11872</v>
      </c>
      <c r="I4304" s="1" t="s">
        <v>11473</v>
      </c>
      <c r="O4304" t="s">
        <v>22</v>
      </c>
    </row>
    <row r="4305" spans="1:15">
      <c r="A4305" t="s">
        <v>11344</v>
      </c>
      <c r="B4305" t="s">
        <v>11344</v>
      </c>
      <c r="C4305" t="s">
        <v>5213</v>
      </c>
      <c r="F4305">
        <v>1</v>
      </c>
      <c r="G4305" s="1" t="s">
        <v>11873</v>
      </c>
      <c r="I4305" s="1" t="s">
        <v>11473</v>
      </c>
      <c r="O4305" t="s">
        <v>22</v>
      </c>
    </row>
    <row r="4306" spans="1:15">
      <c r="A4306" t="s">
        <v>11190</v>
      </c>
      <c r="B4306" t="s">
        <v>11190</v>
      </c>
      <c r="C4306" t="s">
        <v>11191</v>
      </c>
      <c r="F4306">
        <v>1</v>
      </c>
      <c r="G4306" s="1" t="s">
        <v>11874</v>
      </c>
      <c r="I4306" s="1" t="s">
        <v>11473</v>
      </c>
      <c r="O4306" t="s">
        <v>22</v>
      </c>
    </row>
    <row r="4307" spans="1:15">
      <c r="A4307" t="s">
        <v>8701</v>
      </c>
      <c r="B4307" t="s">
        <v>8701</v>
      </c>
      <c r="C4307" t="s">
        <v>8702</v>
      </c>
      <c r="F4307">
        <v>1</v>
      </c>
      <c r="G4307" s="1" t="s">
        <v>11875</v>
      </c>
      <c r="I4307" s="1" t="s">
        <v>11473</v>
      </c>
      <c r="O4307" t="s">
        <v>22</v>
      </c>
    </row>
    <row r="4308" spans="1:15">
      <c r="A4308" t="s">
        <v>4468</v>
      </c>
      <c r="B4308" t="s">
        <v>4468</v>
      </c>
      <c r="C4308" t="s">
        <v>4528</v>
      </c>
      <c r="F4308">
        <v>1</v>
      </c>
      <c r="G4308" s="1" t="s">
        <v>11876</v>
      </c>
      <c r="I4308" s="1" t="s">
        <v>11473</v>
      </c>
      <c r="O4308" t="s">
        <v>22</v>
      </c>
    </row>
    <row r="4309" spans="1:15">
      <c r="A4309" t="s">
        <v>6391</v>
      </c>
      <c r="B4309" t="s">
        <v>6391</v>
      </c>
      <c r="C4309" t="s">
        <v>6392</v>
      </c>
      <c r="F4309">
        <v>1</v>
      </c>
      <c r="G4309" s="1" t="s">
        <v>11877</v>
      </c>
      <c r="I4309" s="1" t="s">
        <v>11473</v>
      </c>
      <c r="O4309" t="s">
        <v>22</v>
      </c>
    </row>
    <row r="4310" spans="1:15">
      <c r="A4310" t="s">
        <v>8667</v>
      </c>
      <c r="B4310" t="s">
        <v>8667</v>
      </c>
      <c r="C4310" t="s">
        <v>6392</v>
      </c>
      <c r="F4310">
        <v>1</v>
      </c>
      <c r="G4310" s="1" t="s">
        <v>11878</v>
      </c>
      <c r="I4310" s="1" t="s">
        <v>11473</v>
      </c>
      <c r="O4310" t="s">
        <v>22</v>
      </c>
    </row>
    <row r="4311" spans="1:15">
      <c r="A4311" t="s">
        <v>8686</v>
      </c>
      <c r="B4311" t="s">
        <v>8686</v>
      </c>
      <c r="C4311" t="s">
        <v>8687</v>
      </c>
      <c r="F4311">
        <v>1</v>
      </c>
      <c r="G4311" s="1" t="s">
        <v>11879</v>
      </c>
      <c r="I4311" s="1" t="s">
        <v>11473</v>
      </c>
      <c r="O4311" t="s">
        <v>22</v>
      </c>
    </row>
    <row r="4312" spans="1:15">
      <c r="A4312" t="s">
        <v>8573</v>
      </c>
      <c r="B4312" t="s">
        <v>8573</v>
      </c>
      <c r="C4312" t="s">
        <v>8574</v>
      </c>
      <c r="F4312">
        <v>1</v>
      </c>
      <c r="G4312" s="1" t="s">
        <v>11880</v>
      </c>
      <c r="I4312" s="1" t="s">
        <v>11473</v>
      </c>
      <c r="O4312" t="s">
        <v>22</v>
      </c>
    </row>
    <row r="4313" spans="1:15">
      <c r="A4313" t="s">
        <v>8716</v>
      </c>
      <c r="B4313" t="s">
        <v>8716</v>
      </c>
      <c r="C4313" t="s">
        <v>5215</v>
      </c>
      <c r="F4313">
        <v>1</v>
      </c>
      <c r="G4313" s="1" t="s">
        <v>11881</v>
      </c>
      <c r="I4313" s="1" t="s">
        <v>11473</v>
      </c>
      <c r="O4313" t="s">
        <v>22</v>
      </c>
    </row>
    <row r="4314" spans="1:15">
      <c r="A4314" t="s">
        <v>11222</v>
      </c>
      <c r="B4314" t="s">
        <v>11222</v>
      </c>
      <c r="C4314" t="s">
        <v>11223</v>
      </c>
      <c r="F4314">
        <v>1</v>
      </c>
      <c r="G4314" s="1" t="s">
        <v>11882</v>
      </c>
      <c r="I4314" s="1" t="s">
        <v>11473</v>
      </c>
      <c r="O4314" t="s">
        <v>22</v>
      </c>
    </row>
    <row r="4315" spans="1:15">
      <c r="A4315" t="s">
        <v>6172</v>
      </c>
      <c r="B4315" t="s">
        <v>6172</v>
      </c>
      <c r="C4315" t="s">
        <v>6173</v>
      </c>
      <c r="F4315">
        <v>1</v>
      </c>
      <c r="G4315" s="1" t="s">
        <v>11883</v>
      </c>
      <c r="I4315" s="1" t="s">
        <v>11473</v>
      </c>
      <c r="O4315" t="s">
        <v>22</v>
      </c>
    </row>
    <row r="4316" spans="1:15">
      <c r="A4316" t="s">
        <v>6132</v>
      </c>
      <c r="B4316" t="s">
        <v>6132</v>
      </c>
      <c r="C4316" t="s">
        <v>5004</v>
      </c>
      <c r="F4316">
        <v>1</v>
      </c>
      <c r="G4316" s="1" t="s">
        <v>11884</v>
      </c>
      <c r="I4316" s="1" t="s">
        <v>11473</v>
      </c>
      <c r="O4316" t="s">
        <v>22</v>
      </c>
    </row>
    <row r="4317" spans="1:15">
      <c r="A4317" t="s">
        <v>5415</v>
      </c>
      <c r="B4317" t="s">
        <v>5415</v>
      </c>
      <c r="C4317" t="s">
        <v>5416</v>
      </c>
      <c r="F4317">
        <v>1</v>
      </c>
      <c r="G4317" s="1" t="s">
        <v>11885</v>
      </c>
      <c r="I4317" s="1" t="s">
        <v>11473</v>
      </c>
      <c r="O4317" t="s">
        <v>22</v>
      </c>
    </row>
    <row r="4318" spans="1:15">
      <c r="A4318" t="s">
        <v>10419</v>
      </c>
      <c r="B4318" t="s">
        <v>10419</v>
      </c>
      <c r="C4318" t="s">
        <v>10420</v>
      </c>
      <c r="F4318">
        <v>1</v>
      </c>
      <c r="G4318" s="1" t="s">
        <v>11886</v>
      </c>
      <c r="I4318" s="1" t="s">
        <v>11473</v>
      </c>
      <c r="O4318" t="s">
        <v>22</v>
      </c>
    </row>
    <row r="4319" spans="1:15">
      <c r="A4319" t="s">
        <v>10651</v>
      </c>
      <c r="B4319" t="s">
        <v>10651</v>
      </c>
      <c r="C4319" t="s">
        <v>13</v>
      </c>
      <c r="F4319">
        <v>1</v>
      </c>
      <c r="G4319" s="1" t="s">
        <v>11887</v>
      </c>
      <c r="I4319" s="1" t="s">
        <v>11473</v>
      </c>
      <c r="O4319" t="s">
        <v>22</v>
      </c>
    </row>
    <row r="4320" spans="1:15">
      <c r="A4320" t="s">
        <v>11218</v>
      </c>
      <c r="B4320" t="s">
        <v>11218</v>
      </c>
      <c r="C4320" t="s">
        <v>13</v>
      </c>
      <c r="F4320">
        <v>1</v>
      </c>
      <c r="G4320" s="1" t="s">
        <v>11888</v>
      </c>
      <c r="I4320" s="1" t="s">
        <v>11473</v>
      </c>
      <c r="O4320" t="s">
        <v>22</v>
      </c>
    </row>
    <row r="4321" spans="1:15">
      <c r="A4321" t="s">
        <v>8689</v>
      </c>
      <c r="B4321" t="s">
        <v>8689</v>
      </c>
      <c r="C4321" t="s">
        <v>5232</v>
      </c>
      <c r="F4321">
        <v>1</v>
      </c>
      <c r="G4321" s="1" t="s">
        <v>11889</v>
      </c>
      <c r="I4321" s="1" t="s">
        <v>11473</v>
      </c>
      <c r="O4321" t="s">
        <v>22</v>
      </c>
    </row>
    <row r="4322" spans="1:15">
      <c r="A4322" t="s">
        <v>10441</v>
      </c>
      <c r="B4322" t="s">
        <v>10441</v>
      </c>
      <c r="C4322" t="s">
        <v>5232</v>
      </c>
      <c r="F4322">
        <v>1</v>
      </c>
      <c r="G4322" s="1" t="s">
        <v>11890</v>
      </c>
      <c r="I4322" s="1" t="s">
        <v>11473</v>
      </c>
      <c r="O4322" t="s">
        <v>22</v>
      </c>
    </row>
    <row r="4323" spans="1:15">
      <c r="A4323" t="s">
        <v>5566</v>
      </c>
      <c r="B4323" t="s">
        <v>5566</v>
      </c>
      <c r="C4323" t="s">
        <v>5349</v>
      </c>
      <c r="F4323">
        <v>1</v>
      </c>
      <c r="G4323" s="1" t="s">
        <v>11891</v>
      </c>
      <c r="I4323" s="1" t="s">
        <v>11473</v>
      </c>
      <c r="O4323" t="s">
        <v>22</v>
      </c>
    </row>
    <row r="4324" spans="1:15">
      <c r="A4324" t="s">
        <v>9034</v>
      </c>
      <c r="B4324" t="s">
        <v>9034</v>
      </c>
      <c r="C4324" t="s">
        <v>9035</v>
      </c>
      <c r="F4324">
        <v>1</v>
      </c>
      <c r="G4324" s="1" t="s">
        <v>11892</v>
      </c>
      <c r="I4324" s="1" t="s">
        <v>11473</v>
      </c>
      <c r="O4324" t="s">
        <v>22</v>
      </c>
    </row>
    <row r="4325" spans="1:15">
      <c r="A4325" t="s">
        <v>8730</v>
      </c>
      <c r="B4325" t="s">
        <v>8730</v>
      </c>
      <c r="C4325" t="s">
        <v>8731</v>
      </c>
      <c r="F4325">
        <v>1</v>
      </c>
      <c r="G4325" s="1" t="s">
        <v>11893</v>
      </c>
      <c r="I4325" s="1" t="s">
        <v>11473</v>
      </c>
      <c r="O4325" t="s">
        <v>22</v>
      </c>
    </row>
    <row r="4326" spans="1:15">
      <c r="A4326" t="s">
        <v>10476</v>
      </c>
      <c r="B4326" t="s">
        <v>10476</v>
      </c>
      <c r="C4326" t="s">
        <v>10477</v>
      </c>
      <c r="F4326">
        <v>1</v>
      </c>
      <c r="G4326" s="1" t="s">
        <v>11894</v>
      </c>
      <c r="I4326" s="1" t="s">
        <v>11473</v>
      </c>
      <c r="O4326" t="s">
        <v>22</v>
      </c>
    </row>
    <row r="4327" spans="1:15">
      <c r="A4327" t="s">
        <v>10372</v>
      </c>
      <c r="B4327" t="s">
        <v>10372</v>
      </c>
      <c r="C4327" t="s">
        <v>5161</v>
      </c>
      <c r="F4327">
        <v>1</v>
      </c>
      <c r="G4327" s="1" t="s">
        <v>11895</v>
      </c>
      <c r="I4327" s="1" t="s">
        <v>11473</v>
      </c>
      <c r="O4327" t="s">
        <v>22</v>
      </c>
    </row>
    <row r="4328" spans="1:15">
      <c r="A4328" t="s">
        <v>8498</v>
      </c>
      <c r="B4328" t="s">
        <v>8498</v>
      </c>
      <c r="C4328" t="s">
        <v>8499</v>
      </c>
      <c r="F4328">
        <v>1</v>
      </c>
      <c r="G4328" s="1" t="s">
        <v>11896</v>
      </c>
      <c r="I4328" s="1" t="s">
        <v>11473</v>
      </c>
      <c r="O4328" t="s">
        <v>22</v>
      </c>
    </row>
    <row r="4329" spans="1:15">
      <c r="A4329" t="s">
        <v>11424</v>
      </c>
      <c r="B4329" t="s">
        <v>11424</v>
      </c>
      <c r="C4329" t="s">
        <v>11425</v>
      </c>
      <c r="F4329">
        <v>1</v>
      </c>
      <c r="G4329" s="1" t="s">
        <v>11897</v>
      </c>
      <c r="I4329" s="1" t="s">
        <v>11473</v>
      </c>
      <c r="O4329" t="s">
        <v>22</v>
      </c>
    </row>
    <row r="4330" spans="1:15">
      <c r="A4330" t="s">
        <v>9757</v>
      </c>
      <c r="B4330" t="s">
        <v>9757</v>
      </c>
      <c r="C4330" t="s">
        <v>9758</v>
      </c>
      <c r="F4330">
        <v>1</v>
      </c>
      <c r="G4330" s="1" t="s">
        <v>11898</v>
      </c>
      <c r="I4330" s="1" t="s">
        <v>11473</v>
      </c>
      <c r="O4330" t="s">
        <v>22</v>
      </c>
    </row>
    <row r="4331" spans="1:15">
      <c r="A4331" t="s">
        <v>5194</v>
      </c>
      <c r="B4331" t="s">
        <v>5194</v>
      </c>
      <c r="C4331" t="s">
        <v>10369</v>
      </c>
      <c r="F4331">
        <v>1</v>
      </c>
      <c r="G4331" s="1" t="s">
        <v>11899</v>
      </c>
      <c r="I4331" s="1" t="s">
        <v>11473</v>
      </c>
      <c r="O4331" t="s">
        <v>22</v>
      </c>
    </row>
    <row r="4332" spans="1:15">
      <c r="A4332" t="s">
        <v>4113</v>
      </c>
      <c r="B4332" t="s">
        <v>4113</v>
      </c>
      <c r="C4332" t="s">
        <v>4909</v>
      </c>
      <c r="F4332">
        <v>1</v>
      </c>
      <c r="G4332" s="1" t="s">
        <v>11900</v>
      </c>
      <c r="I4332" s="1" t="s">
        <v>11473</v>
      </c>
      <c r="O4332" t="s">
        <v>22</v>
      </c>
    </row>
    <row r="4333" spans="1:15">
      <c r="A4333" t="s">
        <v>10488</v>
      </c>
      <c r="B4333" t="s">
        <v>10488</v>
      </c>
      <c r="C4333" t="s">
        <v>4909</v>
      </c>
      <c r="F4333">
        <v>1</v>
      </c>
      <c r="G4333" s="1" t="s">
        <v>11901</v>
      </c>
      <c r="I4333" s="1" t="s">
        <v>11473</v>
      </c>
      <c r="O4333" t="s">
        <v>22</v>
      </c>
    </row>
    <row r="4334" spans="1:15">
      <c r="A4334" t="s">
        <v>5114</v>
      </c>
      <c r="B4334" t="s">
        <v>5114</v>
      </c>
      <c r="C4334" t="s">
        <v>10400</v>
      </c>
      <c r="F4334">
        <v>1</v>
      </c>
      <c r="G4334" s="1" t="s">
        <v>11902</v>
      </c>
      <c r="I4334" s="1" t="s">
        <v>11473</v>
      </c>
      <c r="O4334" t="s">
        <v>22</v>
      </c>
    </row>
    <row r="4335" spans="1:15">
      <c r="A4335" t="s">
        <v>11419</v>
      </c>
      <c r="B4335" t="s">
        <v>11419</v>
      </c>
      <c r="C4335" t="s">
        <v>11420</v>
      </c>
      <c r="F4335">
        <v>1</v>
      </c>
      <c r="G4335" s="1" t="s">
        <v>11903</v>
      </c>
      <c r="I4335" s="1" t="s">
        <v>11473</v>
      </c>
      <c r="O4335" t="s">
        <v>22</v>
      </c>
    </row>
    <row r="4336" spans="1:15">
      <c r="A4336" t="s">
        <v>9210</v>
      </c>
      <c r="B4336" t="s">
        <v>9210</v>
      </c>
      <c r="C4336" t="s">
        <v>9211</v>
      </c>
      <c r="F4336">
        <v>1</v>
      </c>
      <c r="G4336" s="1" t="s">
        <v>11904</v>
      </c>
      <c r="I4336" s="1" t="s">
        <v>11473</v>
      </c>
      <c r="O4336" t="s">
        <v>22</v>
      </c>
    </row>
    <row r="4337" spans="1:15">
      <c r="A4337" t="s">
        <v>11417</v>
      </c>
      <c r="B4337" t="s">
        <v>11417</v>
      </c>
      <c r="C4337" t="s">
        <v>9211</v>
      </c>
      <c r="F4337">
        <v>1</v>
      </c>
      <c r="G4337" s="1" t="s">
        <v>11905</v>
      </c>
      <c r="I4337" s="1" t="s">
        <v>11473</v>
      </c>
      <c r="O4337" t="s">
        <v>22</v>
      </c>
    </row>
    <row r="4338" spans="1:15">
      <c r="A4338" t="s">
        <v>5468</v>
      </c>
      <c r="B4338" t="s">
        <v>5468</v>
      </c>
      <c r="C4338" t="s">
        <v>5469</v>
      </c>
      <c r="F4338">
        <v>1</v>
      </c>
      <c r="G4338" s="1" t="s">
        <v>11906</v>
      </c>
      <c r="I4338" s="1" t="s">
        <v>11473</v>
      </c>
      <c r="O4338" t="s">
        <v>22</v>
      </c>
    </row>
    <row r="4339" spans="1:15">
      <c r="A4339" t="s">
        <v>11412</v>
      </c>
      <c r="B4339" t="s">
        <v>11412</v>
      </c>
      <c r="C4339" t="s">
        <v>11413</v>
      </c>
      <c r="F4339">
        <v>1</v>
      </c>
      <c r="G4339" s="1" t="s">
        <v>11907</v>
      </c>
      <c r="I4339" s="1" t="s">
        <v>11473</v>
      </c>
      <c r="O4339" t="s">
        <v>22</v>
      </c>
    </row>
    <row r="4340" spans="1:15">
      <c r="A4340" t="s">
        <v>9353</v>
      </c>
      <c r="B4340" t="s">
        <v>9353</v>
      </c>
      <c r="C4340" t="s">
        <v>9354</v>
      </c>
      <c r="F4340">
        <v>1</v>
      </c>
      <c r="G4340" s="1" t="s">
        <v>11908</v>
      </c>
      <c r="I4340" s="1" t="s">
        <v>11473</v>
      </c>
      <c r="O4340" t="s">
        <v>22</v>
      </c>
    </row>
    <row r="4341" spans="1:15">
      <c r="A4341" t="s">
        <v>9228</v>
      </c>
      <c r="B4341" t="s">
        <v>9228</v>
      </c>
      <c r="C4341" t="s">
        <v>9229</v>
      </c>
      <c r="F4341">
        <v>1</v>
      </c>
      <c r="G4341" s="1" t="s">
        <v>11909</v>
      </c>
      <c r="I4341" s="1" t="s">
        <v>11473</v>
      </c>
      <c r="O4341" t="s">
        <v>22</v>
      </c>
    </row>
    <row r="4342" spans="1:15">
      <c r="A4342" t="s">
        <v>9492</v>
      </c>
      <c r="B4342" t="s">
        <v>9492</v>
      </c>
      <c r="C4342" t="s">
        <v>9493</v>
      </c>
      <c r="F4342">
        <v>1</v>
      </c>
      <c r="G4342" s="1" t="s">
        <v>11910</v>
      </c>
      <c r="I4342" s="1" t="s">
        <v>11473</v>
      </c>
      <c r="O4342" t="s">
        <v>22</v>
      </c>
    </row>
    <row r="4343" spans="1:15">
      <c r="A4343" t="s">
        <v>11430</v>
      </c>
      <c r="B4343" t="s">
        <v>11430</v>
      </c>
      <c r="C4343" t="s">
        <v>9493</v>
      </c>
      <c r="F4343">
        <v>1</v>
      </c>
      <c r="G4343" s="1" t="s">
        <v>11911</v>
      </c>
      <c r="I4343" s="1" t="s">
        <v>11473</v>
      </c>
      <c r="O4343" t="s">
        <v>22</v>
      </c>
    </row>
    <row r="4344" spans="1:15">
      <c r="A4344" t="s">
        <v>11427</v>
      </c>
      <c r="B4344" t="s">
        <v>11427</v>
      </c>
      <c r="C4344" t="s">
        <v>11428</v>
      </c>
      <c r="F4344">
        <v>1</v>
      </c>
      <c r="G4344" s="1" t="s">
        <v>11912</v>
      </c>
      <c r="I4344" s="1" t="s">
        <v>11473</v>
      </c>
      <c r="O4344" t="s">
        <v>22</v>
      </c>
    </row>
    <row r="4345" spans="1:15">
      <c r="A4345" t="s">
        <v>9197</v>
      </c>
      <c r="B4345" t="s">
        <v>9197</v>
      </c>
      <c r="C4345" t="s">
        <v>9198</v>
      </c>
      <c r="F4345">
        <v>1</v>
      </c>
      <c r="G4345" s="1" t="s">
        <v>11913</v>
      </c>
      <c r="I4345" s="1" t="s">
        <v>11473</v>
      </c>
      <c r="O4345" t="s">
        <v>22</v>
      </c>
    </row>
    <row r="4346" spans="1:15">
      <c r="A4346" t="s">
        <v>11414</v>
      </c>
      <c r="B4346" t="s">
        <v>11414</v>
      </c>
      <c r="C4346" t="s">
        <v>11415</v>
      </c>
      <c r="F4346">
        <v>1</v>
      </c>
      <c r="G4346" s="1" t="s">
        <v>11914</v>
      </c>
      <c r="I4346" s="1" t="s">
        <v>11473</v>
      </c>
      <c r="O4346" t="s">
        <v>22</v>
      </c>
    </row>
    <row r="4347" spans="1:15">
      <c r="A4347" t="s">
        <v>9519</v>
      </c>
      <c r="B4347" t="s">
        <v>9519</v>
      </c>
      <c r="C4347" t="s">
        <v>9520</v>
      </c>
      <c r="F4347">
        <v>1</v>
      </c>
      <c r="G4347" s="1" t="s">
        <v>11915</v>
      </c>
      <c r="I4347" s="1" t="s">
        <v>11473</v>
      </c>
      <c r="O4347" t="s">
        <v>22</v>
      </c>
    </row>
    <row r="4348" spans="1:15">
      <c r="A4348" t="s">
        <v>10474</v>
      </c>
      <c r="B4348" t="s">
        <v>10474</v>
      </c>
      <c r="C4348" t="s">
        <v>10475</v>
      </c>
      <c r="F4348">
        <v>1</v>
      </c>
      <c r="G4348" s="1" t="s">
        <v>11916</v>
      </c>
      <c r="I4348" s="1" t="s">
        <v>11473</v>
      </c>
      <c r="O4348" t="s">
        <v>22</v>
      </c>
    </row>
    <row r="4349" spans="1:15">
      <c r="A4349" t="s">
        <v>11416</v>
      </c>
      <c r="B4349" t="s">
        <v>11416</v>
      </c>
      <c r="C4349" t="s">
        <v>5087</v>
      </c>
      <c r="F4349">
        <v>1</v>
      </c>
      <c r="G4349" s="1" t="s">
        <v>11917</v>
      </c>
      <c r="I4349" s="1" t="s">
        <v>11473</v>
      </c>
      <c r="O4349" t="s">
        <v>22</v>
      </c>
    </row>
    <row r="4350" spans="1:15">
      <c r="A4350" t="s">
        <v>9514</v>
      </c>
      <c r="B4350" t="s">
        <v>9514</v>
      </c>
      <c r="C4350" t="s">
        <v>9515</v>
      </c>
      <c r="F4350">
        <v>1</v>
      </c>
      <c r="G4350" s="1" t="s">
        <v>11918</v>
      </c>
      <c r="I4350" s="1" t="s">
        <v>11473</v>
      </c>
      <c r="O4350" t="s">
        <v>22</v>
      </c>
    </row>
    <row r="4351" spans="1:15">
      <c r="A4351" t="s">
        <v>11422</v>
      </c>
      <c r="B4351" t="s">
        <v>11422</v>
      </c>
      <c r="C4351" t="s">
        <v>11423</v>
      </c>
      <c r="F4351">
        <v>1</v>
      </c>
      <c r="G4351" s="1" t="s">
        <v>11919</v>
      </c>
      <c r="I4351" s="1" t="s">
        <v>11473</v>
      </c>
      <c r="O4351" t="s">
        <v>22</v>
      </c>
    </row>
    <row r="4352" spans="1:15">
      <c r="A4352" t="s">
        <v>11366</v>
      </c>
      <c r="B4352" t="s">
        <v>11366</v>
      </c>
      <c r="C4352" t="s">
        <v>11367</v>
      </c>
      <c r="F4352">
        <v>1</v>
      </c>
      <c r="G4352" s="1" t="s">
        <v>11920</v>
      </c>
      <c r="I4352" s="1" t="s">
        <v>11473</v>
      </c>
      <c r="O4352" t="s">
        <v>22</v>
      </c>
    </row>
    <row r="4353" spans="1:15">
      <c r="A4353" t="s">
        <v>11238</v>
      </c>
      <c r="B4353" t="s">
        <v>11238</v>
      </c>
      <c r="C4353" t="s">
        <v>4741</v>
      </c>
      <c r="F4353">
        <v>1</v>
      </c>
      <c r="G4353" s="1" t="s">
        <v>11921</v>
      </c>
      <c r="I4353" s="1" t="s">
        <v>11473</v>
      </c>
      <c r="O4353" t="s">
        <v>22</v>
      </c>
    </row>
    <row r="4354" spans="1:15">
      <c r="A4354" t="s">
        <v>11403</v>
      </c>
      <c r="B4354" t="s">
        <v>11403</v>
      </c>
      <c r="C4354" t="s">
        <v>5156</v>
      </c>
      <c r="F4354">
        <v>1</v>
      </c>
      <c r="G4354" s="1" t="s">
        <v>11922</v>
      </c>
      <c r="I4354" s="1" t="s">
        <v>11473</v>
      </c>
      <c r="O4354" t="s">
        <v>22</v>
      </c>
    </row>
    <row r="4355" spans="1:15">
      <c r="A4355" t="s">
        <v>11248</v>
      </c>
      <c r="B4355" t="s">
        <v>11248</v>
      </c>
      <c r="C4355" t="s">
        <v>11249</v>
      </c>
      <c r="F4355">
        <v>1</v>
      </c>
      <c r="G4355" s="1" t="s">
        <v>11923</v>
      </c>
      <c r="I4355" s="1" t="s">
        <v>11473</v>
      </c>
      <c r="O4355" t="s">
        <v>22</v>
      </c>
    </row>
    <row r="4356" spans="1:15">
      <c r="A4356" t="s">
        <v>9486</v>
      </c>
      <c r="B4356" t="s">
        <v>9486</v>
      </c>
      <c r="C4356" t="s">
        <v>5084</v>
      </c>
      <c r="F4356">
        <v>1</v>
      </c>
      <c r="G4356" s="1" t="s">
        <v>11924</v>
      </c>
      <c r="I4356" s="1" t="s">
        <v>11473</v>
      </c>
      <c r="O4356" t="s">
        <v>22</v>
      </c>
    </row>
    <row r="4357" spans="1:15">
      <c r="A4357" t="s">
        <v>10935</v>
      </c>
      <c r="B4357" t="s">
        <v>10935</v>
      </c>
      <c r="C4357" t="s">
        <v>5084</v>
      </c>
      <c r="F4357">
        <v>1</v>
      </c>
      <c r="G4357" s="1" t="s">
        <v>11925</v>
      </c>
      <c r="I4357" s="1" t="s">
        <v>11473</v>
      </c>
      <c r="O4357" t="s">
        <v>22</v>
      </c>
    </row>
    <row r="4358" spans="1:15">
      <c r="A4358" t="s">
        <v>10991</v>
      </c>
      <c r="B4358" t="s">
        <v>10991</v>
      </c>
      <c r="C4358" t="s">
        <v>10992</v>
      </c>
      <c r="F4358">
        <v>1</v>
      </c>
      <c r="G4358" s="1" t="s">
        <v>11926</v>
      </c>
      <c r="I4358" s="1" t="s">
        <v>11473</v>
      </c>
      <c r="O4358" t="s">
        <v>22</v>
      </c>
    </row>
    <row r="4359" spans="1:15">
      <c r="A4359" t="s">
        <v>11364</v>
      </c>
      <c r="B4359" t="s">
        <v>11364</v>
      </c>
      <c r="C4359" t="s">
        <v>5085</v>
      </c>
      <c r="F4359">
        <v>1</v>
      </c>
      <c r="G4359" s="1" t="s">
        <v>11927</v>
      </c>
      <c r="I4359" s="1" t="s">
        <v>11473</v>
      </c>
      <c r="O4359" t="s">
        <v>22</v>
      </c>
    </row>
    <row r="4360" spans="1:15">
      <c r="A4360" t="s">
        <v>5970</v>
      </c>
      <c r="B4360" t="s">
        <v>5970</v>
      </c>
      <c r="C4360" t="s">
        <v>4889</v>
      </c>
      <c r="F4360">
        <v>1</v>
      </c>
      <c r="G4360" s="1" t="s">
        <v>11928</v>
      </c>
      <c r="I4360" s="1" t="s">
        <v>11473</v>
      </c>
      <c r="O4360" t="s">
        <v>22</v>
      </c>
    </row>
    <row r="4361" spans="1:15">
      <c r="A4361" t="s">
        <v>11405</v>
      </c>
      <c r="B4361" t="s">
        <v>11405</v>
      </c>
      <c r="C4361" t="s">
        <v>5083</v>
      </c>
      <c r="F4361">
        <v>1</v>
      </c>
      <c r="G4361" s="1" t="s">
        <v>11929</v>
      </c>
      <c r="I4361" s="1" t="s">
        <v>11473</v>
      </c>
      <c r="O4361" t="s">
        <v>22</v>
      </c>
    </row>
    <row r="4362" spans="1:15">
      <c r="A4362" t="s">
        <v>10481</v>
      </c>
      <c r="B4362" t="s">
        <v>10481</v>
      </c>
      <c r="C4362" t="s">
        <v>4070</v>
      </c>
      <c r="F4362">
        <v>1</v>
      </c>
      <c r="G4362" s="1" t="s">
        <v>11930</v>
      </c>
      <c r="I4362" s="1" t="s">
        <v>11473</v>
      </c>
      <c r="O4362" t="s">
        <v>22</v>
      </c>
    </row>
    <row r="4363" spans="1:15">
      <c r="A4363" t="s">
        <v>11250</v>
      </c>
      <c r="B4363" t="s">
        <v>11250</v>
      </c>
      <c r="C4363" t="s">
        <v>4070</v>
      </c>
      <c r="F4363">
        <v>1</v>
      </c>
      <c r="G4363" s="1" t="s">
        <v>11931</v>
      </c>
      <c r="I4363" s="1" t="s">
        <v>11473</v>
      </c>
      <c r="O4363" t="s">
        <v>22</v>
      </c>
    </row>
    <row r="4364" spans="1:15">
      <c r="A4364" t="s">
        <v>11354</v>
      </c>
      <c r="B4364" t="s">
        <v>11354</v>
      </c>
      <c r="C4364" t="s">
        <v>11355</v>
      </c>
      <c r="F4364">
        <v>1</v>
      </c>
      <c r="G4364" s="1" t="s">
        <v>11932</v>
      </c>
      <c r="I4364" s="1" t="s">
        <v>11473</v>
      </c>
      <c r="O4364" t="s">
        <v>22</v>
      </c>
    </row>
    <row r="4365" spans="1:15">
      <c r="A4365" t="s">
        <v>11400</v>
      </c>
      <c r="B4365" t="s">
        <v>11400</v>
      </c>
      <c r="C4365" t="s">
        <v>11401</v>
      </c>
      <c r="F4365">
        <v>1</v>
      </c>
      <c r="G4365" s="1" t="s">
        <v>11933</v>
      </c>
      <c r="I4365" s="1" t="s">
        <v>11473</v>
      </c>
      <c r="O4365" t="s">
        <v>22</v>
      </c>
    </row>
    <row r="4366" spans="1:15">
      <c r="A4366" t="s">
        <v>8951</v>
      </c>
      <c r="B4366" t="s">
        <v>8951</v>
      </c>
      <c r="C4366" t="s">
        <v>4997</v>
      </c>
      <c r="F4366">
        <v>1</v>
      </c>
      <c r="G4366" s="1" t="s">
        <v>11934</v>
      </c>
      <c r="I4366" s="1" t="s">
        <v>11473</v>
      </c>
      <c r="O4366" t="s">
        <v>22</v>
      </c>
    </row>
    <row r="4367" spans="1:15">
      <c r="A4367" t="s">
        <v>11247</v>
      </c>
      <c r="B4367" t="s">
        <v>11247</v>
      </c>
      <c r="C4367" t="s">
        <v>4997</v>
      </c>
      <c r="F4367">
        <v>1</v>
      </c>
      <c r="G4367" s="1" t="s">
        <v>11935</v>
      </c>
      <c r="I4367" s="1" t="s">
        <v>11473</v>
      </c>
      <c r="O4367" t="s">
        <v>22</v>
      </c>
    </row>
    <row r="4368" spans="1:15">
      <c r="A4368" t="s">
        <v>5561</v>
      </c>
      <c r="B4368" t="s">
        <v>5561</v>
      </c>
      <c r="C4368" t="s">
        <v>4152</v>
      </c>
      <c r="F4368">
        <v>1</v>
      </c>
      <c r="G4368" s="1" t="s">
        <v>11936</v>
      </c>
      <c r="I4368" s="1" t="s">
        <v>11473</v>
      </c>
      <c r="O4368" t="s">
        <v>22</v>
      </c>
    </row>
    <row r="4369" spans="1:15">
      <c r="A4369" t="s">
        <v>10482</v>
      </c>
      <c r="B4369" t="s">
        <v>10482</v>
      </c>
      <c r="C4369" t="s">
        <v>4152</v>
      </c>
      <c r="F4369">
        <v>1</v>
      </c>
      <c r="G4369" s="1" t="s">
        <v>11937</v>
      </c>
      <c r="I4369" s="1" t="s">
        <v>11473</v>
      </c>
      <c r="O4369" t="s">
        <v>22</v>
      </c>
    </row>
    <row r="4370" spans="1:15">
      <c r="A4370" t="s">
        <v>11389</v>
      </c>
      <c r="B4370" t="s">
        <v>11389</v>
      </c>
      <c r="C4370" t="s">
        <v>11390</v>
      </c>
      <c r="F4370">
        <v>1</v>
      </c>
      <c r="G4370" s="1" t="s">
        <v>11938</v>
      </c>
      <c r="I4370" s="1" t="s">
        <v>11473</v>
      </c>
      <c r="O4370" t="s">
        <v>22</v>
      </c>
    </row>
    <row r="4371" spans="1:15">
      <c r="A4371" t="s">
        <v>10236</v>
      </c>
      <c r="B4371" t="s">
        <v>10236</v>
      </c>
      <c r="C4371" t="s">
        <v>4158</v>
      </c>
      <c r="F4371">
        <v>1</v>
      </c>
      <c r="G4371" s="1" t="s">
        <v>11939</v>
      </c>
      <c r="I4371" s="1" t="s">
        <v>11473</v>
      </c>
      <c r="O4371" t="s">
        <v>22</v>
      </c>
    </row>
    <row r="4372" spans="1:15">
      <c r="A4372" t="s">
        <v>11402</v>
      </c>
      <c r="B4372" t="s">
        <v>11402</v>
      </c>
      <c r="C4372" t="s">
        <v>4158</v>
      </c>
      <c r="F4372">
        <v>1</v>
      </c>
      <c r="G4372" s="1" t="s">
        <v>11940</v>
      </c>
      <c r="I4372" s="1" t="s">
        <v>11473</v>
      </c>
      <c r="O4372" t="s">
        <v>22</v>
      </c>
    </row>
    <row r="4373" spans="1:15">
      <c r="A4373" t="s">
        <v>7112</v>
      </c>
      <c r="B4373" t="s">
        <v>7112</v>
      </c>
      <c r="C4373" t="s">
        <v>4928</v>
      </c>
      <c r="F4373">
        <v>1</v>
      </c>
      <c r="G4373" s="1" t="s">
        <v>11941</v>
      </c>
      <c r="I4373" s="1" t="s">
        <v>11473</v>
      </c>
      <c r="O4373" t="s">
        <v>22</v>
      </c>
    </row>
    <row r="4374" spans="1:15">
      <c r="A4374" t="s">
        <v>10550</v>
      </c>
      <c r="B4374" t="s">
        <v>10550</v>
      </c>
      <c r="C4374" t="s">
        <v>4928</v>
      </c>
      <c r="F4374">
        <v>1</v>
      </c>
      <c r="G4374" s="1" t="s">
        <v>11942</v>
      </c>
      <c r="I4374" s="1" t="s">
        <v>11473</v>
      </c>
      <c r="O4374" t="s">
        <v>22</v>
      </c>
    </row>
    <row r="4375" spans="1:15">
      <c r="A4375" t="s">
        <v>11237</v>
      </c>
      <c r="B4375" t="s">
        <v>11237</v>
      </c>
      <c r="C4375" t="s">
        <v>4928</v>
      </c>
      <c r="F4375">
        <v>1</v>
      </c>
      <c r="G4375" s="1" t="s">
        <v>11943</v>
      </c>
      <c r="I4375" s="1" t="s">
        <v>11473</v>
      </c>
      <c r="O4375" t="s">
        <v>22</v>
      </c>
    </row>
    <row r="4376" spans="1:15">
      <c r="A4376" t="s">
        <v>11361</v>
      </c>
      <c r="B4376" t="s">
        <v>11361</v>
      </c>
      <c r="C4376" t="s">
        <v>11362</v>
      </c>
      <c r="F4376">
        <v>1</v>
      </c>
      <c r="G4376" s="1" t="s">
        <v>11944</v>
      </c>
      <c r="I4376" s="1" t="s">
        <v>11473</v>
      </c>
      <c r="O4376" t="s">
        <v>22</v>
      </c>
    </row>
    <row r="4377" spans="1:15">
      <c r="A4377" t="s">
        <v>11021</v>
      </c>
      <c r="B4377" t="s">
        <v>11021</v>
      </c>
      <c r="C4377" t="s">
        <v>11022</v>
      </c>
      <c r="F4377">
        <v>1</v>
      </c>
      <c r="G4377" s="1" t="s">
        <v>11945</v>
      </c>
      <c r="I4377" s="1" t="s">
        <v>11473</v>
      </c>
      <c r="O4377" t="s">
        <v>22</v>
      </c>
    </row>
    <row r="4378" spans="1:15">
      <c r="A4378" t="s">
        <v>8719</v>
      </c>
      <c r="B4378" t="s">
        <v>8719</v>
      </c>
      <c r="C4378" t="s">
        <v>8720</v>
      </c>
      <c r="F4378">
        <v>1</v>
      </c>
      <c r="G4378" s="1" t="s">
        <v>11946</v>
      </c>
      <c r="I4378" s="1" t="s">
        <v>11473</v>
      </c>
      <c r="O4378" t="s">
        <v>22</v>
      </c>
    </row>
    <row r="4379" spans="1:15">
      <c r="A4379" t="s">
        <v>9072</v>
      </c>
      <c r="B4379" t="s">
        <v>9072</v>
      </c>
      <c r="C4379" t="s">
        <v>8720</v>
      </c>
      <c r="F4379">
        <v>1</v>
      </c>
      <c r="G4379" s="1" t="s">
        <v>11947</v>
      </c>
      <c r="I4379" s="1" t="s">
        <v>11473</v>
      </c>
      <c r="O4379" t="s">
        <v>22</v>
      </c>
    </row>
    <row r="4380" spans="1:15">
      <c r="A4380" t="s">
        <v>11232</v>
      </c>
      <c r="B4380" t="s">
        <v>11232</v>
      </c>
      <c r="C4380" t="s">
        <v>11233</v>
      </c>
      <c r="F4380">
        <v>1</v>
      </c>
      <c r="G4380" s="1" t="s">
        <v>11948</v>
      </c>
      <c r="I4380" s="1" t="s">
        <v>11473</v>
      </c>
      <c r="O4380" t="s">
        <v>22</v>
      </c>
    </row>
    <row r="4381" spans="1:15">
      <c r="A4381" t="s">
        <v>11365</v>
      </c>
      <c r="B4381" t="s">
        <v>11365</v>
      </c>
      <c r="C4381" t="s">
        <v>11233</v>
      </c>
      <c r="F4381">
        <v>1</v>
      </c>
      <c r="G4381" s="1" t="s">
        <v>11949</v>
      </c>
      <c r="I4381" s="1" t="s">
        <v>11473</v>
      </c>
      <c r="O4381" t="s">
        <v>22</v>
      </c>
    </row>
    <row r="4382" spans="1:15">
      <c r="A4382" t="s">
        <v>10021</v>
      </c>
      <c r="B4382" t="s">
        <v>10021</v>
      </c>
      <c r="C4382" t="s">
        <v>10022</v>
      </c>
      <c r="F4382">
        <v>1</v>
      </c>
      <c r="G4382" s="1" t="s">
        <v>11950</v>
      </c>
      <c r="I4382" s="1" t="s">
        <v>11473</v>
      </c>
      <c r="O4382" t="s">
        <v>22</v>
      </c>
    </row>
    <row r="4383" spans="1:15">
      <c r="A4383" t="s">
        <v>8800</v>
      </c>
      <c r="B4383" t="s">
        <v>8800</v>
      </c>
      <c r="C4383" t="s">
        <v>4579</v>
      </c>
      <c r="F4383">
        <v>1</v>
      </c>
      <c r="G4383" s="1" t="s">
        <v>11951</v>
      </c>
      <c r="I4383" s="1" t="s">
        <v>11473</v>
      </c>
      <c r="O4383" t="s">
        <v>22</v>
      </c>
    </row>
    <row r="4384" spans="1:15">
      <c r="A4384" t="s">
        <v>11357</v>
      </c>
      <c r="B4384" t="s">
        <v>11357</v>
      </c>
      <c r="C4384" t="s">
        <v>4579</v>
      </c>
      <c r="F4384">
        <v>1</v>
      </c>
      <c r="G4384" s="1" t="s">
        <v>11952</v>
      </c>
      <c r="I4384" s="1" t="s">
        <v>11473</v>
      </c>
      <c r="O4384" t="s">
        <v>22</v>
      </c>
    </row>
    <row r="4385" spans="1:15">
      <c r="A4385" t="s">
        <v>11396</v>
      </c>
      <c r="B4385" t="s">
        <v>11396</v>
      </c>
      <c r="C4385" t="s">
        <v>11397</v>
      </c>
      <c r="F4385">
        <v>1</v>
      </c>
      <c r="G4385" s="1" t="s">
        <v>11953</v>
      </c>
      <c r="I4385" s="1" t="s">
        <v>11473</v>
      </c>
      <c r="O4385" t="s">
        <v>22</v>
      </c>
    </row>
    <row r="4386" spans="1:15">
      <c r="A4386" t="s">
        <v>11016</v>
      </c>
      <c r="B4386" t="s">
        <v>11016</v>
      </c>
      <c r="C4386" t="s">
        <v>4574</v>
      </c>
      <c r="F4386">
        <v>1</v>
      </c>
      <c r="G4386" s="1" t="s">
        <v>11954</v>
      </c>
      <c r="I4386" s="1" t="s">
        <v>11473</v>
      </c>
      <c r="O4386" t="s">
        <v>22</v>
      </c>
    </row>
    <row r="4387" spans="1:15">
      <c r="A4387" t="s">
        <v>11229</v>
      </c>
      <c r="B4387" t="s">
        <v>11229</v>
      </c>
      <c r="C4387" t="s">
        <v>4574</v>
      </c>
      <c r="F4387">
        <v>1</v>
      </c>
      <c r="G4387" s="1" t="s">
        <v>11955</v>
      </c>
      <c r="I4387" s="1" t="s">
        <v>11473</v>
      </c>
      <c r="O4387" t="s">
        <v>22</v>
      </c>
    </row>
    <row r="4388" spans="1:15">
      <c r="A4388" t="s">
        <v>11382</v>
      </c>
      <c r="B4388" t="s">
        <v>11382</v>
      </c>
      <c r="C4388" t="s">
        <v>11383</v>
      </c>
      <c r="F4388">
        <v>1</v>
      </c>
      <c r="G4388" s="1" t="s">
        <v>11956</v>
      </c>
      <c r="I4388" s="1" t="s">
        <v>11473</v>
      </c>
      <c r="O4388" t="s">
        <v>22</v>
      </c>
    </row>
    <row r="4389" spans="1:15">
      <c r="A4389" t="s">
        <v>11359</v>
      </c>
      <c r="B4389" t="s">
        <v>11359</v>
      </c>
      <c r="C4389" t="s">
        <v>11360</v>
      </c>
      <c r="F4389">
        <v>1</v>
      </c>
      <c r="G4389" s="1" t="s">
        <v>11957</v>
      </c>
      <c r="I4389" s="1" t="s">
        <v>11473</v>
      </c>
      <c r="O4389" t="s">
        <v>22</v>
      </c>
    </row>
    <row r="4390" spans="1:15">
      <c r="A4390" t="s">
        <v>11387</v>
      </c>
      <c r="B4390" t="s">
        <v>11387</v>
      </c>
      <c r="C4390" t="s">
        <v>11360</v>
      </c>
      <c r="F4390">
        <v>1</v>
      </c>
      <c r="G4390" s="1" t="s">
        <v>11958</v>
      </c>
      <c r="I4390" s="1" t="s">
        <v>11473</v>
      </c>
      <c r="O4390" t="s">
        <v>22</v>
      </c>
    </row>
    <row r="4391" spans="1:15">
      <c r="A4391" t="s">
        <v>9650</v>
      </c>
      <c r="B4391" t="s">
        <v>9650</v>
      </c>
      <c r="C4391" t="s">
        <v>9651</v>
      </c>
      <c r="F4391">
        <v>1</v>
      </c>
      <c r="G4391" s="1" t="s">
        <v>11959</v>
      </c>
      <c r="I4391" s="1" t="s">
        <v>11473</v>
      </c>
      <c r="O4391" t="s">
        <v>22</v>
      </c>
    </row>
    <row r="4392" spans="1:15">
      <c r="A4392" t="s">
        <v>5870</v>
      </c>
      <c r="B4392" t="s">
        <v>5870</v>
      </c>
      <c r="C4392" t="s">
        <v>5871</v>
      </c>
      <c r="F4392">
        <v>1</v>
      </c>
      <c r="G4392" s="1" t="s">
        <v>11960</v>
      </c>
      <c r="I4392" s="1" t="s">
        <v>11473</v>
      </c>
      <c r="O4392" t="s">
        <v>22</v>
      </c>
    </row>
    <row r="4393" spans="1:15">
      <c r="A4393" t="s">
        <v>11406</v>
      </c>
      <c r="B4393" t="s">
        <v>11406</v>
      </c>
      <c r="C4393" t="s">
        <v>11407</v>
      </c>
      <c r="F4393">
        <v>1</v>
      </c>
      <c r="G4393" s="1" t="s">
        <v>11961</v>
      </c>
      <c r="I4393" s="1" t="s">
        <v>11473</v>
      </c>
      <c r="O4393" t="s">
        <v>22</v>
      </c>
    </row>
    <row r="4394" spans="1:15">
      <c r="A4394" t="s">
        <v>11351</v>
      </c>
      <c r="B4394" t="s">
        <v>11351</v>
      </c>
      <c r="C4394" t="s">
        <v>11352</v>
      </c>
      <c r="F4394">
        <v>1</v>
      </c>
      <c r="G4394" s="1" t="s">
        <v>11962</v>
      </c>
      <c r="I4394" s="1" t="s">
        <v>11473</v>
      </c>
      <c r="O4394" t="s">
        <v>22</v>
      </c>
    </row>
    <row r="4395" spans="1:15">
      <c r="A4395" t="s">
        <v>11368</v>
      </c>
      <c r="B4395" t="s">
        <v>11368</v>
      </c>
      <c r="C4395" t="s">
        <v>11352</v>
      </c>
      <c r="F4395">
        <v>1</v>
      </c>
      <c r="G4395" s="1" t="s">
        <v>11963</v>
      </c>
      <c r="I4395" s="1" t="s">
        <v>11473</v>
      </c>
      <c r="O4395" t="s">
        <v>22</v>
      </c>
    </row>
    <row r="4396" spans="1:15">
      <c r="A4396" t="s">
        <v>11394</v>
      </c>
      <c r="B4396" t="s">
        <v>11394</v>
      </c>
      <c r="C4396" t="s">
        <v>11395</v>
      </c>
      <c r="F4396">
        <v>1</v>
      </c>
      <c r="G4396" s="1" t="s">
        <v>11964</v>
      </c>
      <c r="I4396" s="1" t="s">
        <v>11473</v>
      </c>
      <c r="O4396" t="s">
        <v>22</v>
      </c>
    </row>
    <row r="4397" spans="1:15">
      <c r="A4397" t="s">
        <v>11236</v>
      </c>
      <c r="B4397" t="s">
        <v>11236</v>
      </c>
      <c r="C4397" t="s">
        <v>4303</v>
      </c>
      <c r="F4397">
        <v>1</v>
      </c>
      <c r="G4397" s="1" t="s">
        <v>11965</v>
      </c>
      <c r="I4397" s="1" t="s">
        <v>11473</v>
      </c>
      <c r="O4397" t="s">
        <v>22</v>
      </c>
    </row>
    <row r="4398" spans="1:15">
      <c r="A4398" t="s">
        <v>11225</v>
      </c>
      <c r="B4398" t="s">
        <v>11225</v>
      </c>
      <c r="C4398" t="s">
        <v>11226</v>
      </c>
      <c r="F4398">
        <v>1</v>
      </c>
      <c r="G4398" s="1" t="s">
        <v>11966</v>
      </c>
      <c r="I4398" s="1" t="s">
        <v>11473</v>
      </c>
      <c r="O4398" t="s">
        <v>22</v>
      </c>
    </row>
    <row r="4399" spans="1:15">
      <c r="A4399" t="s">
        <v>8528</v>
      </c>
      <c r="B4399" t="s">
        <v>8528</v>
      </c>
      <c r="C4399" t="s">
        <v>5267</v>
      </c>
      <c r="F4399">
        <v>1</v>
      </c>
      <c r="G4399" s="1" t="s">
        <v>11967</v>
      </c>
      <c r="I4399" s="1" t="s">
        <v>11473</v>
      </c>
      <c r="O4399" t="s">
        <v>22</v>
      </c>
    </row>
    <row r="4400" spans="1:15">
      <c r="A4400" t="s">
        <v>9868</v>
      </c>
      <c r="B4400" t="s">
        <v>9868</v>
      </c>
      <c r="C4400" t="s">
        <v>5267</v>
      </c>
      <c r="F4400">
        <v>1</v>
      </c>
      <c r="G4400" s="1" t="s">
        <v>11968</v>
      </c>
      <c r="I4400" s="1" t="s">
        <v>11473</v>
      </c>
      <c r="O4400" t="s">
        <v>22</v>
      </c>
    </row>
    <row r="4401" spans="1:15">
      <c r="A4401" t="s">
        <v>9889</v>
      </c>
      <c r="B4401" t="s">
        <v>9889</v>
      </c>
      <c r="C4401" t="s">
        <v>5267</v>
      </c>
      <c r="F4401">
        <v>1</v>
      </c>
      <c r="G4401" s="1" t="s">
        <v>11969</v>
      </c>
      <c r="I4401" s="1" t="s">
        <v>11473</v>
      </c>
      <c r="O4401" t="s">
        <v>22</v>
      </c>
    </row>
    <row r="4402" spans="1:15">
      <c r="A4402" t="s">
        <v>10358</v>
      </c>
      <c r="B4402" t="s">
        <v>10358</v>
      </c>
      <c r="C4402" t="s">
        <v>5267</v>
      </c>
      <c r="F4402">
        <v>1</v>
      </c>
      <c r="G4402" s="1" t="s">
        <v>11970</v>
      </c>
      <c r="I4402" s="1" t="s">
        <v>11473</v>
      </c>
      <c r="O4402" t="s">
        <v>22</v>
      </c>
    </row>
    <row r="4403" spans="1:15">
      <c r="A4403" t="s">
        <v>5830</v>
      </c>
      <c r="B4403" t="s">
        <v>5830</v>
      </c>
      <c r="C4403" t="s">
        <v>4218</v>
      </c>
      <c r="F4403">
        <v>1</v>
      </c>
      <c r="G4403" s="1" t="s">
        <v>11971</v>
      </c>
      <c r="I4403" s="1" t="s">
        <v>11473</v>
      </c>
      <c r="O4403" t="s">
        <v>22</v>
      </c>
    </row>
    <row r="4404" spans="1:15">
      <c r="A4404" t="s">
        <v>11002</v>
      </c>
      <c r="B4404" t="s">
        <v>11002</v>
      </c>
      <c r="C4404" t="s">
        <v>11003</v>
      </c>
      <c r="F4404">
        <v>1</v>
      </c>
      <c r="G4404" s="1" t="s">
        <v>11972</v>
      </c>
      <c r="I4404" s="1" t="s">
        <v>11473</v>
      </c>
      <c r="O4404" t="s">
        <v>22</v>
      </c>
    </row>
    <row r="4405" spans="1:15">
      <c r="A4405" t="s">
        <v>10554</v>
      </c>
      <c r="B4405" t="s">
        <v>10554</v>
      </c>
      <c r="C4405" t="s">
        <v>4080</v>
      </c>
      <c r="F4405">
        <v>1</v>
      </c>
      <c r="G4405" s="1" t="s">
        <v>11973</v>
      </c>
      <c r="I4405" s="1" t="s">
        <v>11473</v>
      </c>
      <c r="O4405" t="s">
        <v>22</v>
      </c>
    </row>
    <row r="4406" spans="1:15">
      <c r="A4406" t="s">
        <v>11393</v>
      </c>
      <c r="B4406" t="s">
        <v>11393</v>
      </c>
      <c r="C4406" t="s">
        <v>4080</v>
      </c>
      <c r="F4406">
        <v>1</v>
      </c>
      <c r="G4406" s="1" t="s">
        <v>11974</v>
      </c>
      <c r="I4406" s="1" t="s">
        <v>11473</v>
      </c>
      <c r="O4406" t="s">
        <v>22</v>
      </c>
    </row>
    <row r="4407" spans="1:15">
      <c r="A4407" t="s">
        <v>8695</v>
      </c>
      <c r="B4407" t="s">
        <v>8695</v>
      </c>
      <c r="C4407" t="s">
        <v>8696</v>
      </c>
      <c r="F4407">
        <v>1</v>
      </c>
      <c r="G4407" s="1" t="s">
        <v>11975</v>
      </c>
      <c r="I4407" s="1" t="s">
        <v>11473</v>
      </c>
      <c r="O4407" t="s">
        <v>22</v>
      </c>
    </row>
    <row r="4408" spans="1:15">
      <c r="A4408" t="s">
        <v>10480</v>
      </c>
      <c r="B4408" t="s">
        <v>10480</v>
      </c>
      <c r="C4408" t="s">
        <v>8696</v>
      </c>
      <c r="F4408">
        <v>1</v>
      </c>
      <c r="G4408" s="1" t="s">
        <v>11976</v>
      </c>
      <c r="I4408" s="1" t="s">
        <v>11473</v>
      </c>
      <c r="O4408" t="s">
        <v>22</v>
      </c>
    </row>
    <row r="4409" spans="1:15">
      <c r="A4409" t="s">
        <v>7992</v>
      </c>
      <c r="B4409" t="s">
        <v>7992</v>
      </c>
      <c r="C4409" t="s">
        <v>7993</v>
      </c>
      <c r="F4409">
        <v>1</v>
      </c>
      <c r="G4409" s="1" t="s">
        <v>11977</v>
      </c>
      <c r="I4409" s="1" t="s">
        <v>11473</v>
      </c>
      <c r="O4409" t="s">
        <v>22</v>
      </c>
    </row>
    <row r="4410" spans="1:15">
      <c r="A4410" t="s">
        <v>9886</v>
      </c>
      <c r="B4410" t="s">
        <v>9886</v>
      </c>
      <c r="C4410" t="s">
        <v>9887</v>
      </c>
      <c r="F4410">
        <v>1</v>
      </c>
      <c r="G4410" s="1" t="s">
        <v>11978</v>
      </c>
      <c r="I4410" s="1" t="s">
        <v>11473</v>
      </c>
      <c r="O4410" t="s">
        <v>22</v>
      </c>
    </row>
    <row r="4411" spans="1:15">
      <c r="A4411" t="s">
        <v>10069</v>
      </c>
      <c r="B4411" t="s">
        <v>10069</v>
      </c>
      <c r="C4411" t="s">
        <v>9887</v>
      </c>
      <c r="F4411">
        <v>1</v>
      </c>
      <c r="G4411" s="1" t="s">
        <v>11979</v>
      </c>
      <c r="I4411" s="1" t="s">
        <v>11473</v>
      </c>
      <c r="O4411" t="s">
        <v>22</v>
      </c>
    </row>
    <row r="4412" spans="1:15">
      <c r="A4412" t="s">
        <v>11380</v>
      </c>
      <c r="B4412" t="s">
        <v>11380</v>
      </c>
      <c r="C4412" t="s">
        <v>9887</v>
      </c>
      <c r="F4412">
        <v>1</v>
      </c>
      <c r="G4412" s="1" t="s">
        <v>11980</v>
      </c>
      <c r="I4412" s="1" t="s">
        <v>11473</v>
      </c>
      <c r="O4412" t="s">
        <v>22</v>
      </c>
    </row>
    <row r="4413" spans="1:15">
      <c r="A4413" t="s">
        <v>10551</v>
      </c>
      <c r="B4413" t="s">
        <v>10551</v>
      </c>
      <c r="C4413" t="s">
        <v>10552</v>
      </c>
      <c r="F4413">
        <v>1</v>
      </c>
      <c r="G4413" s="1" t="s">
        <v>11981</v>
      </c>
      <c r="I4413" s="1" t="s">
        <v>11473</v>
      </c>
      <c r="O4413" t="s">
        <v>22</v>
      </c>
    </row>
    <row r="4414" spans="1:15">
      <c r="A4414" t="s">
        <v>11386</v>
      </c>
      <c r="B4414" t="s">
        <v>11386</v>
      </c>
      <c r="C4414" t="s">
        <v>10552</v>
      </c>
      <c r="F4414">
        <v>1</v>
      </c>
      <c r="G4414" s="1" t="s">
        <v>11982</v>
      </c>
      <c r="I4414" s="1" t="s">
        <v>11473</v>
      </c>
      <c r="O4414" t="s">
        <v>22</v>
      </c>
    </row>
    <row r="4415" spans="1:15">
      <c r="A4415" t="s">
        <v>9522</v>
      </c>
      <c r="B4415" t="s">
        <v>9522</v>
      </c>
      <c r="C4415" t="s">
        <v>4361</v>
      </c>
      <c r="F4415">
        <v>1</v>
      </c>
      <c r="G4415" s="1" t="s">
        <v>11983</v>
      </c>
      <c r="I4415" s="1" t="s">
        <v>11473</v>
      </c>
      <c r="O4415" t="s">
        <v>22</v>
      </c>
    </row>
    <row r="4416" spans="1:15">
      <c r="A4416" t="s">
        <v>11004</v>
      </c>
      <c r="B4416" t="s">
        <v>11004</v>
      </c>
      <c r="C4416" t="s">
        <v>4361</v>
      </c>
      <c r="F4416">
        <v>1</v>
      </c>
      <c r="G4416" s="1" t="s">
        <v>11984</v>
      </c>
      <c r="I4416" s="1" t="s">
        <v>11473</v>
      </c>
      <c r="O4416" t="s">
        <v>22</v>
      </c>
    </row>
    <row r="4417" spans="1:15">
      <c r="A4417" t="s">
        <v>11356</v>
      </c>
      <c r="B4417" t="s">
        <v>11356</v>
      </c>
      <c r="C4417" t="s">
        <v>4361</v>
      </c>
      <c r="F4417">
        <v>1</v>
      </c>
      <c r="G4417" s="1" t="s">
        <v>11985</v>
      </c>
      <c r="I4417" s="1" t="s">
        <v>11473</v>
      </c>
      <c r="O4417" t="s">
        <v>22</v>
      </c>
    </row>
    <row r="4418" spans="1:15">
      <c r="A4418" t="s">
        <v>8795</v>
      </c>
      <c r="B4418" t="s">
        <v>8795</v>
      </c>
      <c r="C4418" t="s">
        <v>4568</v>
      </c>
      <c r="F4418">
        <v>1</v>
      </c>
      <c r="G4418" s="1" t="s">
        <v>11986</v>
      </c>
      <c r="I4418" s="1" t="s">
        <v>11473</v>
      </c>
      <c r="O4418" t="s">
        <v>22</v>
      </c>
    </row>
    <row r="4419" spans="1:15">
      <c r="A4419" t="s">
        <v>7489</v>
      </c>
      <c r="B4419" t="s">
        <v>7489</v>
      </c>
      <c r="C4419" t="s">
        <v>4052</v>
      </c>
      <c r="F4419">
        <v>1</v>
      </c>
      <c r="G4419" s="1" t="s">
        <v>11987</v>
      </c>
      <c r="I4419" s="1" t="s">
        <v>11473</v>
      </c>
      <c r="O4419" t="s">
        <v>22</v>
      </c>
    </row>
    <row r="4420" spans="1:15">
      <c r="A4420" t="s">
        <v>11372</v>
      </c>
      <c r="B4420" t="s">
        <v>11372</v>
      </c>
      <c r="C4420" t="s">
        <v>4052</v>
      </c>
      <c r="F4420">
        <v>1</v>
      </c>
      <c r="G4420" s="1" t="s">
        <v>11988</v>
      </c>
      <c r="I4420" s="1" t="s">
        <v>11473</v>
      </c>
      <c r="O4420" t="s">
        <v>22</v>
      </c>
    </row>
    <row r="4421" spans="1:15">
      <c r="A4421" t="s">
        <v>10540</v>
      </c>
      <c r="B4421" t="s">
        <v>10540</v>
      </c>
      <c r="C4421" t="s">
        <v>4904</v>
      </c>
      <c r="F4421">
        <v>1</v>
      </c>
      <c r="G4421" s="1" t="s">
        <v>11989</v>
      </c>
      <c r="I4421" s="1" t="s">
        <v>11473</v>
      </c>
      <c r="O4421" t="s">
        <v>22</v>
      </c>
    </row>
    <row r="4422" spans="1:15">
      <c r="A4422" t="s">
        <v>11227</v>
      </c>
      <c r="B4422" t="s">
        <v>11227</v>
      </c>
      <c r="C4422" t="s">
        <v>4904</v>
      </c>
      <c r="F4422">
        <v>1</v>
      </c>
      <c r="G4422" s="1" t="s">
        <v>11990</v>
      </c>
      <c r="I4422" s="1" t="s">
        <v>11473</v>
      </c>
      <c r="O4422" t="s">
        <v>22</v>
      </c>
    </row>
    <row r="4423" spans="1:15">
      <c r="A4423" t="s">
        <v>11246</v>
      </c>
      <c r="B4423" t="s">
        <v>11246</v>
      </c>
      <c r="C4423" t="s">
        <v>4904</v>
      </c>
      <c r="F4423">
        <v>1</v>
      </c>
      <c r="G4423" s="1" t="s">
        <v>11991</v>
      </c>
      <c r="I4423" s="1" t="s">
        <v>11473</v>
      </c>
      <c r="O4423" t="s">
        <v>22</v>
      </c>
    </row>
    <row r="4424" spans="1:15">
      <c r="A4424" t="s">
        <v>10041</v>
      </c>
      <c r="B4424" t="s">
        <v>10041</v>
      </c>
      <c r="C4424" t="s">
        <v>5135</v>
      </c>
      <c r="F4424">
        <v>1</v>
      </c>
      <c r="G4424" s="1" t="s">
        <v>11992</v>
      </c>
      <c r="I4424" s="1" t="s">
        <v>11473</v>
      </c>
      <c r="O4424" t="s">
        <v>22</v>
      </c>
    </row>
    <row r="4425" spans="1:15">
      <c r="A4425" t="s">
        <v>10538</v>
      </c>
      <c r="B4425" t="s">
        <v>10538</v>
      </c>
      <c r="C4425" t="s">
        <v>10539</v>
      </c>
      <c r="F4425">
        <v>1</v>
      </c>
      <c r="G4425" s="1" t="s">
        <v>11993</v>
      </c>
      <c r="I4425" s="1" t="s">
        <v>11473</v>
      </c>
      <c r="O4425" t="s">
        <v>22</v>
      </c>
    </row>
    <row r="4426" spans="1:15">
      <c r="A4426" t="s">
        <v>11363</v>
      </c>
      <c r="B4426" t="s">
        <v>11363</v>
      </c>
      <c r="C4426" t="s">
        <v>10539</v>
      </c>
      <c r="F4426">
        <v>1</v>
      </c>
      <c r="G4426" s="1" t="s">
        <v>11994</v>
      </c>
      <c r="I4426" s="1" t="s">
        <v>11473</v>
      </c>
      <c r="O4426" t="s">
        <v>22</v>
      </c>
    </row>
    <row r="4427" spans="1:15">
      <c r="A4427" t="s">
        <v>9358</v>
      </c>
      <c r="B4427" t="s">
        <v>9358</v>
      </c>
      <c r="C4427" t="s">
        <v>4153</v>
      </c>
      <c r="F4427">
        <v>1</v>
      </c>
      <c r="G4427" s="1" t="s">
        <v>11995</v>
      </c>
      <c r="I4427" s="1" t="s">
        <v>11473</v>
      </c>
      <c r="O4427" t="s">
        <v>22</v>
      </c>
    </row>
    <row r="4428" spans="1:15">
      <c r="A4428" t="s">
        <v>11228</v>
      </c>
      <c r="B4428" t="s">
        <v>11228</v>
      </c>
      <c r="C4428" t="s">
        <v>4153</v>
      </c>
      <c r="F4428">
        <v>1</v>
      </c>
      <c r="G4428" s="1" t="s">
        <v>11996</v>
      </c>
      <c r="I4428" s="1" t="s">
        <v>11473</v>
      </c>
      <c r="O4428" t="s">
        <v>22</v>
      </c>
    </row>
    <row r="4429" spans="1:15">
      <c r="A4429" t="s">
        <v>7733</v>
      </c>
      <c r="B4429" t="s">
        <v>7733</v>
      </c>
      <c r="C4429" t="s">
        <v>10559</v>
      </c>
      <c r="F4429">
        <v>1</v>
      </c>
      <c r="G4429" s="1" t="s">
        <v>11997</v>
      </c>
      <c r="I4429" s="1" t="s">
        <v>11473</v>
      </c>
      <c r="O4429" t="s">
        <v>22</v>
      </c>
    </row>
    <row r="4430" spans="1:15">
      <c r="A4430" t="s">
        <v>11244</v>
      </c>
      <c r="B4430" t="s">
        <v>11244</v>
      </c>
      <c r="C4430" t="s">
        <v>11245</v>
      </c>
      <c r="F4430">
        <v>1</v>
      </c>
      <c r="G4430" s="1" t="s">
        <v>11998</v>
      </c>
      <c r="I4430" s="1" t="s">
        <v>11473</v>
      </c>
      <c r="O4430" t="s">
        <v>22</v>
      </c>
    </row>
    <row r="4431" spans="1:15">
      <c r="A4431" t="s">
        <v>11384</v>
      </c>
      <c r="B4431" t="s">
        <v>11384</v>
      </c>
      <c r="C4431" t="s">
        <v>11385</v>
      </c>
      <c r="F4431">
        <v>1</v>
      </c>
      <c r="G4431" s="1" t="s">
        <v>11999</v>
      </c>
      <c r="I4431" s="1" t="s">
        <v>11473</v>
      </c>
      <c r="O4431" t="s">
        <v>22</v>
      </c>
    </row>
    <row r="4432" spans="1:15">
      <c r="A4432" t="s">
        <v>10548</v>
      </c>
      <c r="B4432" t="s">
        <v>10548</v>
      </c>
      <c r="C4432" t="s">
        <v>10549</v>
      </c>
      <c r="F4432">
        <v>1</v>
      </c>
      <c r="G4432" s="1" t="s">
        <v>12000</v>
      </c>
      <c r="I4432" s="1" t="s">
        <v>11473</v>
      </c>
      <c r="O4432" t="s">
        <v>22</v>
      </c>
    </row>
    <row r="4433" spans="1:15">
      <c r="A4433" t="s">
        <v>7757</v>
      </c>
      <c r="B4433" t="s">
        <v>7757</v>
      </c>
      <c r="C4433" t="s">
        <v>7758</v>
      </c>
      <c r="F4433">
        <v>1</v>
      </c>
      <c r="G4433" s="1" t="s">
        <v>117</v>
      </c>
      <c r="I4433" s="1" t="s">
        <v>11473</v>
      </c>
      <c r="O4433" t="s">
        <v>0</v>
      </c>
    </row>
  </sheetData>
  <phoneticPr fontId="2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5">
    <tabColor rgb="FF7030A0"/>
  </sheetPr>
  <dimension ref="A1:B35"/>
  <sheetViews>
    <sheetView topLeftCell="A7" workbookViewId="0">
      <selection activeCell="B33" sqref="B33"/>
    </sheetView>
  </sheetViews>
  <sheetFormatPr defaultColWidth="53.375" defaultRowHeight="16.5"/>
  <cols>
    <col min="1" max="1" width="39.875" style="12" bestFit="1" customWidth="1"/>
    <col min="2" max="2" width="58.625" style="12" bestFit="1" customWidth="1"/>
    <col min="3" max="16384" width="53.375" style="12"/>
  </cols>
  <sheetData>
    <row r="1" spans="1:2">
      <c r="A1" s="10" t="s">
        <v>23</v>
      </c>
      <c r="B1" s="11" t="s">
        <v>12040</v>
      </c>
    </row>
    <row r="2" spans="1:2">
      <c r="A2" s="10" t="s">
        <v>24</v>
      </c>
      <c r="B2" s="13" t="s">
        <v>12014</v>
      </c>
    </row>
    <row r="3" spans="1:2">
      <c r="A3" s="10" t="s">
        <v>25</v>
      </c>
      <c r="B3" s="13" t="s">
        <v>114</v>
      </c>
    </row>
    <row r="4" spans="1:2">
      <c r="A4" s="10" t="s">
        <v>26</v>
      </c>
      <c r="B4" s="13" t="str">
        <f ca="1">"NAS5\DPC-DPI\FX-C1000\" &amp;TEXT(NOW(),"MMDD") &amp; "\，H:\IAN1\"</f>
        <v>NAS5\DPC-DPI\FX-C1000\0207\，H:\IAN1\</v>
      </c>
    </row>
    <row r="5" spans="1:2">
      <c r="A5" s="10" t="s">
        <v>27</v>
      </c>
      <c r="B5" s="14" t="s">
        <v>115</v>
      </c>
    </row>
    <row r="6" spans="1:2" ht="17.25" thickBot="1">
      <c r="A6" s="15" t="s">
        <v>28</v>
      </c>
      <c r="B6" s="16" t="s">
        <v>12028</v>
      </c>
    </row>
    <row r="7" spans="1:2">
      <c r="A7" s="17" t="s">
        <v>29</v>
      </c>
      <c r="B7" s="18">
        <v>220260</v>
      </c>
    </row>
    <row r="8" spans="1:2">
      <c r="A8" s="19" t="s">
        <v>30</v>
      </c>
      <c r="B8" s="62" t="str">
        <f ca="1">"中華民國"&amp;TEXT(NOW(),"e年mm月dd日")</f>
        <v>中華民國112年02月07日</v>
      </c>
    </row>
    <row r="9" spans="1:2">
      <c r="A9" s="19" t="s">
        <v>31</v>
      </c>
      <c r="B9" s="20" t="s">
        <v>12014</v>
      </c>
    </row>
    <row r="10" spans="1:2">
      <c r="A10" s="19" t="s">
        <v>32</v>
      </c>
      <c r="B10" s="20" t="s">
        <v>12023</v>
      </c>
    </row>
    <row r="11" spans="1:2">
      <c r="A11" s="19" t="s">
        <v>33</v>
      </c>
      <c r="B11" s="20" t="s">
        <v>12024</v>
      </c>
    </row>
    <row r="12" spans="1:2">
      <c r="A12" s="19" t="s">
        <v>34</v>
      </c>
      <c r="B12" s="20" t="s">
        <v>12025</v>
      </c>
    </row>
    <row r="13" spans="1:2" ht="17.25" thickBot="1">
      <c r="A13" s="21" t="s">
        <v>35</v>
      </c>
      <c r="B13" s="22" t="str">
        <f ca="1">B4</f>
        <v>NAS5\DPC-DPI\FX-C1000\0207\，H:\IAN1\</v>
      </c>
    </row>
    <row r="14" spans="1:2">
      <c r="A14" s="23" t="s">
        <v>36</v>
      </c>
      <c r="B14" s="24" t="s">
        <v>12064</v>
      </c>
    </row>
    <row r="15" spans="1:2">
      <c r="A15" s="25" t="s">
        <v>37</v>
      </c>
      <c r="B15" s="26" t="s">
        <v>12065</v>
      </c>
    </row>
    <row r="16" spans="1:2">
      <c r="A16" s="27" t="s">
        <v>38</v>
      </c>
      <c r="B16" s="28"/>
    </row>
    <row r="17" spans="1:2">
      <c r="A17" s="25" t="s">
        <v>39</v>
      </c>
      <c r="B17" s="29">
        <v>45</v>
      </c>
    </row>
    <row r="18" spans="1:2">
      <c r="A18" s="27" t="s">
        <v>40</v>
      </c>
      <c r="B18" s="29"/>
    </row>
    <row r="19" spans="1:2">
      <c r="A19" s="25" t="s">
        <v>41</v>
      </c>
      <c r="B19" s="29" t="s">
        <v>42</v>
      </c>
    </row>
    <row r="20" spans="1:2" ht="17.25" thickBot="1">
      <c r="A20" s="30" t="s">
        <v>43</v>
      </c>
      <c r="B20" s="31">
        <v>0</v>
      </c>
    </row>
    <row r="21" spans="1:2">
      <c r="A21" s="32" t="s">
        <v>44</v>
      </c>
      <c r="B21" s="33" t="str">
        <f ca="1">TEXT(NOW()-0.05,"YYYY/MM/DD^hh:mm")</f>
        <v>2023/02/07^16:14</v>
      </c>
    </row>
    <row r="22" spans="1:2">
      <c r="A22" s="34" t="s">
        <v>45</v>
      </c>
      <c r="B22" s="29" t="str">
        <f ca="1">TEXT(NOW(),"YYYY/MM/DD^hh:mm")</f>
        <v>2023/02/07^17:26</v>
      </c>
    </row>
    <row r="23" spans="1:2">
      <c r="A23" s="34" t="s">
        <v>46</v>
      </c>
      <c r="B23" s="29" t="str">
        <f ca="1">TEXT(NOW()+0.05,"YYYY/MM/DD^hh:mm")</f>
        <v>2023/02/07^18:38</v>
      </c>
    </row>
    <row r="24" spans="1:2">
      <c r="A24" s="34" t="s">
        <v>47</v>
      </c>
      <c r="B24" s="29" t="str">
        <f ca="1">TEXT(NOW()-0.1,"YYYY/MM/DD^hh:mm")</f>
        <v>2023/02/07^15:02</v>
      </c>
    </row>
    <row r="25" spans="1:2" ht="17.25" thickBot="1">
      <c r="A25" s="35" t="s">
        <v>48</v>
      </c>
      <c r="B25" s="31" t="str">
        <f ca="1">TEXT(NOW()+0.3,"YYYY/MM/DD^hh:mm")</f>
        <v>2023/02/08^00:38</v>
      </c>
    </row>
    <row r="26" spans="1:2">
      <c r="A26" s="36" t="s">
        <v>49</v>
      </c>
      <c r="B26" s="37" t="s">
        <v>50</v>
      </c>
    </row>
    <row r="27" spans="1:2">
      <c r="A27" s="38" t="s">
        <v>51</v>
      </c>
      <c r="B27" s="20">
        <v>10000</v>
      </c>
    </row>
    <row r="28" spans="1:2">
      <c r="A28" s="38" t="s">
        <v>52</v>
      </c>
      <c r="B28" s="20">
        <v>20000</v>
      </c>
    </row>
    <row r="29" spans="1:2">
      <c r="A29" s="38" t="s">
        <v>53</v>
      </c>
      <c r="B29" s="20">
        <v>3</v>
      </c>
    </row>
    <row r="30" spans="1:2">
      <c r="A30" s="38" t="s">
        <v>54</v>
      </c>
      <c r="B30" s="20">
        <v>5</v>
      </c>
    </row>
    <row r="31" spans="1:2">
      <c r="A31" s="38" t="s">
        <v>55</v>
      </c>
      <c r="B31" s="20">
        <v>4</v>
      </c>
    </row>
    <row r="32" spans="1:2">
      <c r="A32" s="38" t="s">
        <v>56</v>
      </c>
      <c r="B32" s="20">
        <v>2</v>
      </c>
    </row>
    <row r="33" spans="1:2">
      <c r="A33" s="38" t="s">
        <v>57</v>
      </c>
      <c r="B33" s="20">
        <v>2</v>
      </c>
    </row>
    <row r="34" spans="1:2">
      <c r="A34" s="38" t="s">
        <v>58</v>
      </c>
      <c r="B34" s="20" t="s">
        <v>59</v>
      </c>
    </row>
    <row r="35" spans="1:2">
      <c r="A35" s="38" t="s">
        <v>60</v>
      </c>
      <c r="B35" s="20" t="s">
        <v>61</v>
      </c>
    </row>
  </sheetData>
  <phoneticPr fontId="22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6">
    <tabColor rgb="FF7030A0"/>
  </sheetPr>
  <dimension ref="A1:AY19"/>
  <sheetViews>
    <sheetView topLeftCell="G1" workbookViewId="0">
      <selection activeCell="I20" sqref="I20"/>
    </sheetView>
  </sheetViews>
  <sheetFormatPr defaultColWidth="8.875" defaultRowHeight="16.5"/>
  <cols>
    <col min="1" max="1" width="60.5" style="12" bestFit="1" customWidth="1"/>
    <col min="2" max="2" width="68.25" style="12" bestFit="1" customWidth="1"/>
    <col min="3" max="3" width="16.75" style="12" bestFit="1" customWidth="1"/>
    <col min="4" max="4" width="74.875" style="12" bestFit="1" customWidth="1"/>
    <col min="5" max="5" width="54.875" style="12" bestFit="1" customWidth="1"/>
    <col min="6" max="6" width="16.125" style="12" bestFit="1" customWidth="1"/>
    <col min="7" max="7" width="74.875" style="12" bestFit="1" customWidth="1"/>
    <col min="8" max="8" width="43.5" style="12" bestFit="1" customWidth="1"/>
    <col min="9" max="9" width="8.5" style="52" bestFit="1" customWidth="1"/>
    <col min="10" max="10" width="20.625" style="12" customWidth="1"/>
    <col min="11" max="11" width="58.25" style="12" bestFit="1" customWidth="1"/>
    <col min="12" max="12" width="20.25" style="12" bestFit="1" customWidth="1"/>
    <col min="13" max="13" width="47" style="12" bestFit="1" customWidth="1"/>
    <col min="14" max="15" width="37.125" style="12" customWidth="1"/>
    <col min="16" max="16" width="63.625" style="12" bestFit="1" customWidth="1"/>
    <col min="17" max="18" width="12.75" style="12" bestFit="1" customWidth="1"/>
    <col min="19" max="20" width="12.75" style="12" customWidth="1"/>
    <col min="21" max="39" width="12.75" style="12" bestFit="1" customWidth="1"/>
    <col min="40" max="40" width="20" style="12" bestFit="1" customWidth="1"/>
    <col min="41" max="50" width="12.75" style="12" bestFit="1" customWidth="1"/>
    <col min="51" max="51" width="43.875" style="12" bestFit="1" customWidth="1"/>
    <col min="52" max="16384" width="8.875" style="12"/>
  </cols>
  <sheetData>
    <row r="1" spans="1:51" ht="65.25" customHeight="1">
      <c r="A1" s="2" t="s">
        <v>62</v>
      </c>
      <c r="B1" s="39" t="str">
        <f ca="1">E1 &amp; "批次檔\"</f>
        <v>E:\DATA\IAN\IAN1\back\批次檔\</v>
      </c>
      <c r="C1" s="40" t="str">
        <f>批次內容!B1</f>
        <v>1017_PDF_掛號.wfd</v>
      </c>
      <c r="D1" s="41"/>
      <c r="E1" s="3" t="str">
        <f ca="1">"E:\DATA\IAN\IAN1\"&amp; main!$D$1 &amp; "\"</f>
        <v>E:\DATA\IAN\IAN1\back\</v>
      </c>
      <c r="F1" s="42"/>
      <c r="G1" s="3" t="s">
        <v>1</v>
      </c>
      <c r="H1" s="4"/>
      <c r="I1" s="3"/>
      <c r="J1" s="4"/>
      <c r="K1" s="4"/>
      <c r="L1" s="4"/>
      <c r="M1" s="4"/>
      <c r="N1" s="4" t="s">
        <v>63</v>
      </c>
      <c r="O1" s="4"/>
      <c r="P1" s="3" t="s">
        <v>64</v>
      </c>
      <c r="Q1" s="3" t="s">
        <v>65</v>
      </c>
      <c r="R1" s="3" t="s">
        <v>65</v>
      </c>
      <c r="S1" s="3" t="s">
        <v>65</v>
      </c>
      <c r="T1" s="3" t="s">
        <v>65</v>
      </c>
      <c r="U1" s="3" t="s">
        <v>65</v>
      </c>
      <c r="V1" s="3" t="s">
        <v>65</v>
      </c>
      <c r="W1" s="3" t="s">
        <v>65</v>
      </c>
      <c r="X1" s="3" t="s">
        <v>65</v>
      </c>
      <c r="Y1" s="3" t="s">
        <v>65</v>
      </c>
      <c r="Z1" s="3" t="s">
        <v>65</v>
      </c>
      <c r="AA1" s="3" t="s">
        <v>65</v>
      </c>
      <c r="AB1" s="3" t="s">
        <v>65</v>
      </c>
      <c r="AC1" s="3" t="s">
        <v>65</v>
      </c>
      <c r="AD1" s="3" t="s">
        <v>65</v>
      </c>
      <c r="AE1" s="3" t="s">
        <v>65</v>
      </c>
      <c r="AF1" s="3" t="s">
        <v>65</v>
      </c>
      <c r="AG1" s="3" t="s">
        <v>65</v>
      </c>
      <c r="AH1" s="3" t="s">
        <v>65</v>
      </c>
      <c r="AI1" s="3" t="s">
        <v>65</v>
      </c>
      <c r="AJ1" s="3" t="s">
        <v>65</v>
      </c>
      <c r="AK1" s="3" t="s">
        <v>65</v>
      </c>
      <c r="AL1" s="3" t="s">
        <v>65</v>
      </c>
      <c r="AM1" s="3" t="s">
        <v>65</v>
      </c>
      <c r="AN1" s="3" t="s">
        <v>65</v>
      </c>
      <c r="AO1" s="3" t="s">
        <v>65</v>
      </c>
      <c r="AP1" s="3" t="s">
        <v>65</v>
      </c>
      <c r="AQ1" s="3" t="s">
        <v>65</v>
      </c>
      <c r="AR1" s="3" t="s">
        <v>65</v>
      </c>
      <c r="AS1" s="3" t="s">
        <v>65</v>
      </c>
      <c r="AT1" s="3" t="s">
        <v>65</v>
      </c>
      <c r="AU1" s="3" t="s">
        <v>65</v>
      </c>
      <c r="AV1" s="3" t="s">
        <v>65</v>
      </c>
      <c r="AW1" s="3" t="s">
        <v>65</v>
      </c>
      <c r="AX1" s="3" t="s">
        <v>65</v>
      </c>
      <c r="AY1" s="4"/>
    </row>
    <row r="2" spans="1:51" ht="87.6" customHeight="1">
      <c r="A2" s="43" t="s">
        <v>2</v>
      </c>
      <c r="B2" s="43" t="s">
        <v>3</v>
      </c>
      <c r="C2" s="5" t="s">
        <v>66</v>
      </c>
      <c r="D2" s="5" t="s">
        <v>67</v>
      </c>
      <c r="E2" s="43" t="s">
        <v>4</v>
      </c>
      <c r="F2" s="43" t="s">
        <v>5</v>
      </c>
      <c r="G2" s="44" t="s">
        <v>68</v>
      </c>
      <c r="H2" s="44" t="s">
        <v>69</v>
      </c>
      <c r="I2" s="43" t="s">
        <v>70</v>
      </c>
      <c r="J2" s="5" t="s">
        <v>71</v>
      </c>
      <c r="K2" s="5" t="s">
        <v>72</v>
      </c>
      <c r="L2" s="5" t="s">
        <v>73</v>
      </c>
      <c r="M2" s="5" t="s">
        <v>74</v>
      </c>
      <c r="N2" s="45" t="s">
        <v>75</v>
      </c>
      <c r="O2" s="45" t="s">
        <v>76</v>
      </c>
      <c r="P2" s="46" t="s">
        <v>77</v>
      </c>
      <c r="Q2" s="46" t="s">
        <v>78</v>
      </c>
      <c r="R2" s="46" t="s">
        <v>79</v>
      </c>
      <c r="S2" s="46" t="s">
        <v>80</v>
      </c>
      <c r="T2" s="46" t="s">
        <v>81</v>
      </c>
      <c r="U2" s="46" t="s">
        <v>82</v>
      </c>
      <c r="V2" s="46" t="s">
        <v>83</v>
      </c>
      <c r="W2" s="46" t="s">
        <v>84</v>
      </c>
      <c r="X2" s="46" t="s">
        <v>85</v>
      </c>
      <c r="Y2" s="46" t="s">
        <v>86</v>
      </c>
      <c r="Z2" s="46" t="s">
        <v>87</v>
      </c>
      <c r="AA2" s="46" t="s">
        <v>88</v>
      </c>
      <c r="AB2" s="46" t="s">
        <v>89</v>
      </c>
      <c r="AC2" s="46" t="s">
        <v>90</v>
      </c>
      <c r="AD2" s="46" t="s">
        <v>91</v>
      </c>
      <c r="AE2" s="46" t="s">
        <v>92</v>
      </c>
      <c r="AF2" s="46" t="s">
        <v>93</v>
      </c>
      <c r="AG2" s="46" t="s">
        <v>94</v>
      </c>
      <c r="AH2" s="46" t="s">
        <v>95</v>
      </c>
      <c r="AI2" s="46" t="s">
        <v>96</v>
      </c>
      <c r="AJ2" s="46" t="s">
        <v>97</v>
      </c>
      <c r="AK2" s="46" t="s">
        <v>98</v>
      </c>
      <c r="AL2" s="46" t="s">
        <v>99</v>
      </c>
      <c r="AM2" s="46" t="s">
        <v>100</v>
      </c>
      <c r="AN2" s="46" t="s">
        <v>101</v>
      </c>
      <c r="AO2" s="46" t="s">
        <v>102</v>
      </c>
      <c r="AP2" s="46" t="s">
        <v>103</v>
      </c>
      <c r="AQ2" s="46" t="s">
        <v>104</v>
      </c>
      <c r="AR2" s="46" t="s">
        <v>12030</v>
      </c>
      <c r="AS2" s="46" t="s">
        <v>105</v>
      </c>
      <c r="AT2" s="46" t="s">
        <v>106</v>
      </c>
      <c r="AU2" s="46" t="s">
        <v>107</v>
      </c>
      <c r="AV2" s="46" t="s">
        <v>108</v>
      </c>
      <c r="AW2" s="46" t="s">
        <v>109</v>
      </c>
      <c r="AX2" s="46" t="s">
        <v>12031</v>
      </c>
      <c r="AY2" s="47" t="s">
        <v>49</v>
      </c>
    </row>
    <row r="3" spans="1:51">
      <c r="A3" s="4" t="s">
        <v>110</v>
      </c>
      <c r="B3" s="4" t="str">
        <f>"E:\DATA\IAN\IAN1\PNT\" &amp; 批次內容!$B$1</f>
        <v>E:\DATA\IAN\IAN1\PNT\1017_PDF_掛號.wfd</v>
      </c>
      <c r="C3" s="4" t="s">
        <v>111</v>
      </c>
      <c r="D3" s="4" t="str">
        <f ca="1">$E$1 &amp;TEXT(MONTH(NOW()),"00")&amp;TEXT(DAY(NOW()),"00") &amp;"IAN1-P1.txt"</f>
        <v>E:\DATA\IAN\IAN1\back\0207IAN1-P1.txt</v>
      </c>
      <c r="E3" s="48" t="str">
        <f t="shared" ref="E3:E7" si="0">$G$1&amp;"PNTJOB\PDF600(495含特別色+拆檔3位).job"</f>
        <v>E:\DATA\PNTJOB\PDF600(495含特別色+拆檔3位).job</v>
      </c>
      <c r="F3" s="4" t="s">
        <v>12016</v>
      </c>
      <c r="G3" s="4" t="str">
        <f ca="1">$E$1&amp;$F$1&amp;"LOG\Slog_"&amp; RIGHT(D3,5)&amp;".c"</f>
        <v>E:\DATA\IAN\IAN1\back\LOG\Slog_1.txt.c</v>
      </c>
      <c r="H3" s="4" t="str">
        <f ca="1">$E$1&amp;$F$1&amp;"LOG\Err_"&amp;RIGHT(D3,5)&amp;".c"</f>
        <v>E:\DATA\IAN\IAN1\back\LOG\Err_1.txt.c</v>
      </c>
      <c r="I3" s="3" t="s">
        <v>112</v>
      </c>
      <c r="J3" s="4"/>
      <c r="K3" s="4"/>
      <c r="L3" s="4"/>
      <c r="M3" s="4"/>
      <c r="N3" s="4"/>
      <c r="O3" s="4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" t="str">
        <f>批次內容!$B$26</f>
        <v>E:\DATA\PNTJOB\WPR\0093_0650_7522_0040_7018.wpr</v>
      </c>
    </row>
    <row r="4" spans="1:51">
      <c r="A4" s="4" t="s">
        <v>110</v>
      </c>
      <c r="B4" s="4" t="str">
        <f>"E:\DATA\IAN\IAN1\PNT\" &amp; 批次內容!$B$1</f>
        <v>E:\DATA\IAN\IAN1\PNT\1017_PDF_掛號.wfd</v>
      </c>
      <c r="C4" s="4" t="s">
        <v>111</v>
      </c>
      <c r="D4" s="4" t="str">
        <f ca="1">$E$1  &amp;TEXT(MONTH(NOW()),"00")&amp;TEXT(DAY(NOW()),"00") &amp;"IAN1-P2.txt"</f>
        <v>E:\DATA\IAN\IAN1\back\0207IAN1-P2.txt</v>
      </c>
      <c r="E4" s="48" t="str">
        <f t="shared" si="0"/>
        <v>E:\DATA\PNTJOB\PDF600(495含特別色+拆檔3位).job</v>
      </c>
      <c r="F4" s="4" t="s">
        <v>12016</v>
      </c>
      <c r="G4" s="4" t="str">
        <f ca="1">$E$1&amp;$F$1&amp;"LOG\Slog_"&amp; RIGHT(D4,5)&amp;".c"</f>
        <v>E:\DATA\IAN\IAN1\back\LOG\Slog_2.txt.c</v>
      </c>
      <c r="H4" s="4" t="str">
        <f ca="1">$E$1&amp;$F$1&amp;"LOG\Err_"&amp;RIGHT(D4,5)&amp;".c"</f>
        <v>E:\DATA\IAN\IAN1\back\LOG\Err_2.txt.c</v>
      </c>
      <c r="I4" s="3" t="s">
        <v>112</v>
      </c>
      <c r="J4" s="4"/>
      <c r="K4" s="4"/>
      <c r="L4" s="4"/>
      <c r="M4" s="4"/>
      <c r="N4" s="4"/>
      <c r="O4" s="4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" t="str">
        <f>批次內容!$B$26</f>
        <v>E:\DATA\PNTJOB\WPR\0093_0650_7522_0040_7018.wpr</v>
      </c>
    </row>
    <row r="5" spans="1:51">
      <c r="A5" s="4" t="s">
        <v>110</v>
      </c>
      <c r="B5" s="4" t="str">
        <f>"E:\DATA\IAN\IAN1\PNT\" &amp; 批次內容!$B$1</f>
        <v>E:\DATA\IAN\IAN1\PNT\1017_PDF_掛號.wfd</v>
      </c>
      <c r="C5" s="4" t="s">
        <v>111</v>
      </c>
      <c r="D5" s="4" t="str">
        <f ca="1">$E$1 &amp;TEXT(MONTH(NOW()),"00")&amp;TEXT(DAY(NOW()),"00") &amp;"IAN1-P3.txt"</f>
        <v>E:\DATA\IAN\IAN1\back\0207IAN1-P3.txt</v>
      </c>
      <c r="E5" s="48" t="str">
        <f t="shared" si="0"/>
        <v>E:\DATA\PNTJOB\PDF600(495含特別色+拆檔3位).job</v>
      </c>
      <c r="F5" s="4" t="s">
        <v>12016</v>
      </c>
      <c r="G5" s="4" t="str">
        <f ca="1">$E$1&amp;$F$1&amp;"LOG\Slog_"&amp; RIGHT(D5,5)&amp;".c"</f>
        <v>E:\DATA\IAN\IAN1\back\LOG\Slog_3.txt.c</v>
      </c>
      <c r="H5" s="4" t="str">
        <f ca="1">$E$1&amp;$F$1&amp;"LOG\Err_"&amp;RIGHT(D5,5)&amp;".c"</f>
        <v>E:\DATA\IAN\IAN1\back\LOG\Err_3.txt.c</v>
      </c>
      <c r="I5" s="3" t="s">
        <v>112</v>
      </c>
      <c r="J5" s="4"/>
      <c r="K5" s="4"/>
      <c r="L5" s="4"/>
      <c r="M5" s="4"/>
      <c r="N5" s="4"/>
      <c r="O5" s="4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" t="str">
        <f>批次內容!$B$26</f>
        <v>E:\DATA\PNTJOB\WPR\0093_0650_7522_0040_7018.wpr</v>
      </c>
    </row>
    <row r="6" spans="1:51">
      <c r="A6" s="4" t="s">
        <v>110</v>
      </c>
      <c r="B6" s="4" t="str">
        <f>"E:\DATA\IAN\IAN1\PNT\" &amp; 批次內容!$B$1</f>
        <v>E:\DATA\IAN\IAN1\PNT\1017_PDF_掛號.wfd</v>
      </c>
      <c r="C6" s="4" t="s">
        <v>111</v>
      </c>
      <c r="D6" s="4" t="str">
        <f ca="1">$E$1 &amp;TEXT(MONTH(NOW()),"00")&amp;TEXT(DAY(NOW()),"00") &amp;"IAN1-P1-2.txt"</f>
        <v>E:\DATA\IAN\IAN1\back\0207IAN1-P1-2.txt</v>
      </c>
      <c r="E6" s="48" t="str">
        <f t="shared" si="0"/>
        <v>E:\DATA\PNTJOB\PDF600(495含特別色+拆檔3位).job</v>
      </c>
      <c r="F6" s="4" t="s">
        <v>4036</v>
      </c>
      <c r="G6" s="4" t="str">
        <f ca="1">$E$1&amp;$F$1&amp;"LOG\Slog_P1-"&amp; RIGHT(D6,5)&amp;".c"</f>
        <v>E:\DATA\IAN\IAN1\back\LOG\Slog_P1-2.txt.c</v>
      </c>
      <c r="H6" s="4" t="str">
        <f ca="1">$E$1&amp;$F$1&amp;"LOG\Err_P1-"&amp;RIGHT(D6,5)&amp;".c"</f>
        <v>E:\DATA\IAN\IAN1\back\LOG\Err_P1-2.txt.c</v>
      </c>
      <c r="I6" s="3"/>
      <c r="J6" s="4"/>
      <c r="K6" s="4"/>
      <c r="L6" s="4"/>
      <c r="M6" s="4"/>
      <c r="N6" s="4"/>
      <c r="O6" s="4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" t="str">
        <f>批次內容!$B$26</f>
        <v>E:\DATA\PNTJOB\WPR\0093_0650_7522_0040_7018.wpr</v>
      </c>
    </row>
    <row r="7" spans="1:51">
      <c r="A7" s="4" t="s">
        <v>110</v>
      </c>
      <c r="B7" s="4" t="str">
        <f>"E:\DATA\IAN\IAN1\PNT\" &amp; 批次內容!$B$1</f>
        <v>E:\DATA\IAN\IAN1\PNT\1017_PDF_掛號.wfd</v>
      </c>
      <c r="C7" s="4" t="s">
        <v>111</v>
      </c>
      <c r="D7" s="4" t="str">
        <f ca="1">$E$1 &amp;TEXT(MONTH(NOW()),"00")&amp;TEXT(DAY(NOW()),"00") &amp;"IAN1-PP.txt"</f>
        <v>E:\DATA\IAN\IAN1\back\0207IAN1-PP.txt</v>
      </c>
      <c r="E7" s="48" t="str">
        <f t="shared" si="0"/>
        <v>E:\DATA\PNTJOB\PDF600(495含特別色+拆檔3位).job</v>
      </c>
      <c r="F7" s="4" t="s">
        <v>12016</v>
      </c>
      <c r="G7" s="4" t="str">
        <f ca="1">$E$1&amp;$F$1&amp;"LOG\Slog_"&amp; RIGHT(D7,6)&amp;".c"</f>
        <v>E:\DATA\IAN\IAN1\back\LOG\Slog_PP.txt.c</v>
      </c>
      <c r="H7" s="4" t="str">
        <f ca="1">$E$1&amp;$F$1&amp;"LOG\Err_"&amp;RIGHT(D7,6)&amp;".c"</f>
        <v>E:\DATA\IAN\IAN1\back\LOG\Err_PP.txt.c</v>
      </c>
      <c r="I7" s="3" t="s">
        <v>112</v>
      </c>
      <c r="J7" s="4"/>
      <c r="K7" s="4"/>
      <c r="L7" s="4"/>
      <c r="M7" s="4"/>
      <c r="N7" s="4"/>
      <c r="O7" s="4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" t="str">
        <f>批次內容!$B$26</f>
        <v>E:\DATA\PNTJOB\WPR\0093_0650_7522_0040_7018.wpr</v>
      </c>
    </row>
    <row r="8" spans="1:51">
      <c r="A8" s="4" t="s">
        <v>110</v>
      </c>
      <c r="B8" s="4" t="str">
        <f>"E:\DATA\IAN\IAN1\PNT\" &amp; 批次內容!$B$1</f>
        <v>E:\DATA\IAN\IAN1\PNT\1017_PDF_掛號.wfd</v>
      </c>
      <c r="C8" s="4" t="s">
        <v>111</v>
      </c>
      <c r="D8" s="4" t="str">
        <f ca="1">$E$1 &amp;TEXT(MONTH(NOW()),"00")&amp;TEXT(DAY(NOW()),"00") &amp;"IAN1-P1.txt"</f>
        <v>E:\DATA\IAN\IAN1\back\0207IAN1-P1.txt</v>
      </c>
      <c r="E8" s="48" t="str">
        <f>$G$1&amp;"PNTJOB\PDF600(h03TST).job"</f>
        <v>E:\DATA\PNTJOB\PDF600(h03TST).job</v>
      </c>
      <c r="F8" s="4" t="s">
        <v>12027</v>
      </c>
      <c r="G8" s="4" t="str">
        <f ca="1">$E$1&amp;$F$1&amp;"LOG\Slog_"&amp; RIGHT(D8,6)&amp;"_T.c"</f>
        <v>E:\DATA\IAN\IAN1\back\LOG\Slog_P1.txt_T.c</v>
      </c>
      <c r="H8" s="4" t="str">
        <f ca="1">$E$1&amp;$F$1&amp;"LOG\Err_"&amp;RIGHT(D8,6)&amp;"_T.c"</f>
        <v>E:\DATA\IAN\IAN1\back\LOG\Err_P1.txt_T.c</v>
      </c>
      <c r="I8" s="3" t="s">
        <v>12033</v>
      </c>
      <c r="J8" s="4" t="s">
        <v>12029</v>
      </c>
      <c r="K8" s="4" t="str">
        <f ca="1">$E$1 &amp;"TST.txt"</f>
        <v>E:\DATA\IAN\IAN1\back\TST.txt</v>
      </c>
      <c r="L8" s="4"/>
      <c r="M8" s="4"/>
      <c r="N8" s="4"/>
      <c r="O8" s="4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  <c r="AO8" s="49"/>
      <c r="AP8" s="49"/>
      <c r="AQ8" s="49"/>
      <c r="AR8" s="49"/>
      <c r="AS8" s="49"/>
      <c r="AT8" s="49"/>
      <c r="AU8" s="49"/>
      <c r="AV8" s="49"/>
      <c r="AW8" s="49"/>
      <c r="AX8" s="49"/>
      <c r="AY8" s="4" t="str">
        <f>批次內容!$B$26</f>
        <v>E:\DATA\PNTJOB\WPR\0093_0650_7522_0040_7018.wpr</v>
      </c>
    </row>
    <row r="9" spans="1:51">
      <c r="A9" s="4" t="s">
        <v>110</v>
      </c>
      <c r="B9" s="4" t="str">
        <f>"E:\DATA\IAN\IAN1\PNT\" &amp; 批次內容!$B$1</f>
        <v>E:\DATA\IAN\IAN1\PNT\1017_PDF_掛號.wfd</v>
      </c>
      <c r="C9" s="4" t="s">
        <v>111</v>
      </c>
      <c r="D9" s="4" t="str">
        <f ca="1">$E$1 &amp;TEXT(MONTH(NOW()),"00")&amp;TEXT(DAY(NOW()),"00") &amp;"IAN1-P2.txt"</f>
        <v>E:\DATA\IAN\IAN1\back\0207IAN1-P2.txt</v>
      </c>
      <c r="E9" s="48" t="str">
        <f>$G$1&amp;"PNTJOB\PDF600(h03TST).job"</f>
        <v>E:\DATA\PNTJOB\PDF600(h03TST).job</v>
      </c>
      <c r="F9" s="4" t="s">
        <v>12027</v>
      </c>
      <c r="G9" s="4" t="str">
        <f ca="1">$E$1&amp;$F$1&amp;"LOG\Slog_"&amp; RIGHT(D9,6)&amp;"_T.c"</f>
        <v>E:\DATA\IAN\IAN1\back\LOG\Slog_P2.txt_T.c</v>
      </c>
      <c r="H9" s="4" t="str">
        <f ca="1">$E$1&amp;$F$1&amp;"LOG\Err_"&amp;RIGHT(D9,6)&amp;"_T.c"</f>
        <v>E:\DATA\IAN\IAN1\back\LOG\Err_P2.txt_T.c</v>
      </c>
      <c r="I9" s="3" t="s">
        <v>12033</v>
      </c>
      <c r="J9" s="4" t="s">
        <v>12029</v>
      </c>
      <c r="K9" s="4" t="str">
        <f t="shared" ref="K9:K11" ca="1" si="1">$E$1 &amp;"TST.txt"</f>
        <v>E:\DATA\IAN\IAN1\back\TST.txt</v>
      </c>
      <c r="L9" s="4"/>
      <c r="M9" s="4"/>
      <c r="N9" s="4"/>
      <c r="O9" s="4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" t="str">
        <f>批次內容!$B$26</f>
        <v>E:\DATA\PNTJOB\WPR\0093_0650_7522_0040_7018.wpr</v>
      </c>
    </row>
    <row r="10" spans="1:51">
      <c r="A10" s="4" t="s">
        <v>110</v>
      </c>
      <c r="B10" s="4" t="str">
        <f>"E:\DATA\IAN\IAN1\PNT\" &amp; 批次內容!$B$1</f>
        <v>E:\DATA\IAN\IAN1\PNT\1017_PDF_掛號.wfd</v>
      </c>
      <c r="C10" s="4" t="s">
        <v>111</v>
      </c>
      <c r="D10" s="4" t="str">
        <f ca="1">$E$1 &amp;TEXT(MONTH(NOW()),"00")&amp;TEXT(DAY(NOW()),"00") &amp;"IAN1-P3.txt"</f>
        <v>E:\DATA\IAN\IAN1\back\0207IAN1-P3.txt</v>
      </c>
      <c r="E10" s="48" t="str">
        <f>$G$1&amp;"PNTJOB\PDF600(h03TST).job"</f>
        <v>E:\DATA\PNTJOB\PDF600(h03TST).job</v>
      </c>
      <c r="F10" s="4" t="s">
        <v>12027</v>
      </c>
      <c r="G10" s="4" t="str">
        <f ca="1">$E$1&amp;$F$1&amp;"LOG\Slog_"&amp; RIGHT(D10,6)&amp;"_T.c"</f>
        <v>E:\DATA\IAN\IAN1\back\LOG\Slog_P3.txt_T.c</v>
      </c>
      <c r="H10" s="4" t="str">
        <f ca="1">$E$1&amp;$F$1&amp;"LOG\Err_"&amp;RIGHT(D10,6)&amp;"_T.c"</f>
        <v>E:\DATA\IAN\IAN1\back\LOG\Err_P3.txt_T.c</v>
      </c>
      <c r="I10" s="3" t="s">
        <v>12033</v>
      </c>
      <c r="J10" s="4" t="s">
        <v>12029</v>
      </c>
      <c r="K10" s="4" t="str">
        <f t="shared" ca="1" si="1"/>
        <v>E:\DATA\IAN\IAN1\back\TST.txt</v>
      </c>
      <c r="L10" s="4"/>
      <c r="M10" s="4"/>
      <c r="N10" s="4"/>
      <c r="O10" s="4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" t="str">
        <f>批次內容!$B$26</f>
        <v>E:\DATA\PNTJOB\WPR\0093_0650_7522_0040_7018.wpr</v>
      </c>
    </row>
    <row r="11" spans="1:51">
      <c r="A11" s="4" t="s">
        <v>110</v>
      </c>
      <c r="B11" s="4" t="str">
        <f>"E:\DATA\IAN\IAN1\PNT\" &amp; 批次內容!$B$1</f>
        <v>E:\DATA\IAN\IAN1\PNT\1017_PDF_掛號.wfd</v>
      </c>
      <c r="C11" s="4" t="s">
        <v>111</v>
      </c>
      <c r="D11" s="4" t="str">
        <f ca="1">$E$1 &amp;TEXT(MONTH(NOW()),"00")&amp;TEXT(DAY(NOW()),"00") &amp;"IAN1-PP.txt"</f>
        <v>E:\DATA\IAN\IAN1\back\0207IAN1-PP.txt</v>
      </c>
      <c r="E11" s="48" t="str">
        <f>$G$1&amp;"PNTJOB\PDF600(h03TST).job"</f>
        <v>E:\DATA\PNTJOB\PDF600(h03TST).job</v>
      </c>
      <c r="F11" s="4" t="s">
        <v>12027</v>
      </c>
      <c r="G11" s="4" t="str">
        <f ca="1">$E$1&amp;$F$1&amp;"LOG\Slog_"&amp; RIGHT(D11,6)&amp;"_T.c"</f>
        <v>E:\DATA\IAN\IAN1\back\LOG\Slog_PP.txt_T.c</v>
      </c>
      <c r="H11" s="4" t="str">
        <f ca="1">$E$1&amp;$F$1&amp;"LOG\Err_"&amp;RIGHT(D11,6)&amp;"_T.c"</f>
        <v>E:\DATA\IAN\IAN1\back\LOG\Err_PP.txt_T.c</v>
      </c>
      <c r="I11" s="3" t="s">
        <v>12033</v>
      </c>
      <c r="J11" s="4" t="s">
        <v>12029</v>
      </c>
      <c r="K11" s="4" t="str">
        <f t="shared" ca="1" si="1"/>
        <v>E:\DATA\IAN\IAN1\back\TST.txt</v>
      </c>
      <c r="L11" s="4"/>
      <c r="M11" s="4"/>
      <c r="N11" s="4"/>
      <c r="O11" s="4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" t="str">
        <f>批次內容!$B$26</f>
        <v>E:\DATA\PNTJOB\WPR\0093_0650_7522_0040_7018.wpr</v>
      </c>
    </row>
    <row r="12" spans="1:51">
      <c r="A12" s="4" t="s">
        <v>110</v>
      </c>
      <c r="B12" s="4" t="str">
        <f t="shared" ref="B12:B13" si="2">"E:\DP\MG\PNT\後段表單程式\DPList.wfd"</f>
        <v>E:\DP\MG\PNT\後段表單程式\DPList.wfd</v>
      </c>
      <c r="C12" s="12" t="s">
        <v>111</v>
      </c>
      <c r="D12" s="4" t="str">
        <f ca="1">$E$1 &amp; "IAN_LIST.txt"</f>
        <v>E:\DATA\IAN\IAN1\back\IAN_LIST.txt</v>
      </c>
      <c r="E12" s="4" t="s">
        <v>12026</v>
      </c>
      <c r="F12" s="51" t="s">
        <v>12032</v>
      </c>
      <c r="G12" s="4" t="str">
        <f ca="1">$E$1&amp;$F$1&amp;"LOG\Slog_"&amp;F12&amp;".c"</f>
        <v>E:\DATA\IAN\IAN1\back\LOG\Slog_難字清冊.c</v>
      </c>
      <c r="H12" s="4" t="str">
        <f ca="1">$E$1&amp;$F$1&amp;"LOG\Err_"&amp;F12&amp;".c"</f>
        <v>E:\DATA\IAN\IAN1\back\LOG\Err_難字清冊.c</v>
      </c>
      <c r="I12" s="3" t="s">
        <v>113</v>
      </c>
      <c r="Q12" s="49"/>
      <c r="R12" s="49"/>
      <c r="S12" s="49"/>
      <c r="T12" s="49">
        <f>批次內容!$B$27</f>
        <v>10000</v>
      </c>
      <c r="U12" s="49" t="str">
        <f>批次內容!$B$2</f>
        <v>安聯人壽-每日PDF檔</v>
      </c>
      <c r="V12" s="49">
        <f>批次內容!$B$28</f>
        <v>20000</v>
      </c>
      <c r="W12" s="49">
        <f>批次內容!$B$29</f>
        <v>3</v>
      </c>
      <c r="X12" s="49" t="str">
        <f>批次內容!$B$14</f>
        <v>Andrew</v>
      </c>
      <c r="Y12" s="49" t="str">
        <f>批次內容!$B$15</f>
        <v>02492</v>
      </c>
      <c r="Z12" s="49">
        <f>批次內容!$B$16</f>
        <v>0</v>
      </c>
      <c r="AA12" s="49">
        <f>批次內容!$B$18</f>
        <v>0</v>
      </c>
      <c r="AB12" s="49">
        <f>批次內容!$B$17</f>
        <v>45</v>
      </c>
      <c r="AC12" s="49">
        <f>批次內容!$B$20</f>
        <v>0</v>
      </c>
      <c r="AD12" s="49" t="str">
        <f>批次內容!$B$19</f>
        <v>0</v>
      </c>
      <c r="AE12" s="53">
        <f>批次內容!$B$7</f>
        <v>220260</v>
      </c>
      <c r="AF12" s="49" t="str">
        <f ca="1">批次內容!$B$21</f>
        <v>2023/02/07^16:14</v>
      </c>
      <c r="AG12" s="49" t="str">
        <f ca="1">批次內容!$B$22</f>
        <v>2023/02/07^17:26</v>
      </c>
      <c r="AH12" s="49" t="str">
        <f ca="1">批次內容!$B$23</f>
        <v>2023/02/07^18:38</v>
      </c>
      <c r="AI12" s="49" t="str">
        <f ca="1">批次內容!$B$24</f>
        <v>2023/02/07^15:02</v>
      </c>
      <c r="AJ12" s="49" t="str">
        <f ca="1">批次內容!$B$25</f>
        <v>2023/02/08^00:38</v>
      </c>
      <c r="AK12" s="49">
        <f>批次內容!$B$30</f>
        <v>5</v>
      </c>
      <c r="AL12" s="49">
        <f>批次內容!$B$31</f>
        <v>4</v>
      </c>
      <c r="AM12" s="49"/>
      <c r="AN12" s="50" t="str">
        <f ca="1">批次內容!$B$8</f>
        <v>中華民國112年02月07日</v>
      </c>
      <c r="AO12" s="50" t="str">
        <f>批次內容!$B$9</f>
        <v>安聯人壽-每日PDF檔</v>
      </c>
      <c r="AP12" s="50" t="str">
        <f>批次內容!$B$10</f>
        <v>李軒</v>
      </c>
      <c r="AQ12" s="50" t="str">
        <f>批次內容!$B$11</f>
        <v>110台北市信義區信義路五段100號5樓</v>
      </c>
      <c r="AR12" s="50" t="str">
        <f>批次內容!$B$12</f>
        <v>02-8789-5858分機1746</v>
      </c>
      <c r="AS12" s="50" t="str">
        <f>批次內容!$B$3</f>
        <v>IAN</v>
      </c>
      <c r="AT12" s="49">
        <f>批次內容!$B$32</f>
        <v>2</v>
      </c>
      <c r="AU12" s="49">
        <f>批次內容!$B$33</f>
        <v>2</v>
      </c>
      <c r="AV12" s="49" t="str">
        <f>批次內容!$B$34</f>
        <v>N</v>
      </c>
      <c r="AW12" s="49" t="str">
        <f>批次內容!$B$35</f>
        <v>Y</v>
      </c>
      <c r="AX12" s="50" t="str">
        <f ca="1">批次內容!$B$4</f>
        <v>NAS5\DPC-DPI\FX-C1000\0207\，H:\IAN1\</v>
      </c>
      <c r="AY12" s="4" t="s">
        <v>5401</v>
      </c>
    </row>
    <row r="13" spans="1:51">
      <c r="A13" s="4" t="s">
        <v>110</v>
      </c>
      <c r="B13" s="4" t="str">
        <f t="shared" si="2"/>
        <v>E:\DP\MG\PNT\後段表單程式\DPList.wfd</v>
      </c>
      <c r="C13" s="12" t="s">
        <v>111</v>
      </c>
      <c r="D13" s="4" t="str">
        <f ca="1">$E$1 &amp; "IAN_LIST.txt"</f>
        <v>E:\DATA\IAN\IAN1\back\IAN_LIST.txt</v>
      </c>
      <c r="E13" s="4" t="s">
        <v>12026</v>
      </c>
      <c r="F13" s="51" t="s">
        <v>116</v>
      </c>
      <c r="G13" s="4" t="str">
        <f ca="1">$E$1&amp;$F$1&amp;"LOG\Slog_"&amp;F13&amp;".c"</f>
        <v>E:\DATA\IAN\IAN1\back\LOG\Slog_ALL.c</v>
      </c>
      <c r="H13" s="4" t="str">
        <f ca="1">$E$1&amp;$F$1&amp;"LOG\Err_"&amp;F13&amp;".c"</f>
        <v>E:\DATA\IAN\IAN1\back\LOG\Err_ALL.c</v>
      </c>
      <c r="I13" s="3" t="s">
        <v>113</v>
      </c>
      <c r="Q13" s="49"/>
      <c r="R13" s="49"/>
      <c r="S13" s="49"/>
      <c r="T13" s="49">
        <f>批次內容!$B$27</f>
        <v>10000</v>
      </c>
      <c r="U13" s="49" t="str">
        <f>批次內容!$B$2</f>
        <v>安聯人壽-每日PDF檔</v>
      </c>
      <c r="V13" s="49">
        <f>批次內容!$B$28</f>
        <v>20000</v>
      </c>
      <c r="W13" s="49">
        <f>批次內容!$B$29</f>
        <v>3</v>
      </c>
      <c r="X13" s="49" t="str">
        <f>批次內容!$B$14</f>
        <v>Andrew</v>
      </c>
      <c r="Y13" s="49" t="str">
        <f>批次內容!$B$15</f>
        <v>02492</v>
      </c>
      <c r="Z13" s="49">
        <f>批次內容!$B$16</f>
        <v>0</v>
      </c>
      <c r="AA13" s="49">
        <f>批次內容!$B$18</f>
        <v>0</v>
      </c>
      <c r="AB13" s="49">
        <f>批次內容!$B$17</f>
        <v>45</v>
      </c>
      <c r="AC13" s="49">
        <f>批次內容!$B$20</f>
        <v>0</v>
      </c>
      <c r="AD13" s="49" t="str">
        <f>批次內容!$B$19</f>
        <v>0</v>
      </c>
      <c r="AE13" s="53">
        <f>批次內容!$B$7</f>
        <v>220260</v>
      </c>
      <c r="AF13" s="49" t="str">
        <f ca="1">批次內容!$B$21</f>
        <v>2023/02/07^16:14</v>
      </c>
      <c r="AG13" s="49" t="str">
        <f ca="1">批次內容!$B$22</f>
        <v>2023/02/07^17:26</v>
      </c>
      <c r="AH13" s="49" t="str">
        <f ca="1">批次內容!$B$23</f>
        <v>2023/02/07^18:38</v>
      </c>
      <c r="AI13" s="49" t="str">
        <f ca="1">批次內容!$B$24</f>
        <v>2023/02/07^15:02</v>
      </c>
      <c r="AJ13" s="49" t="str">
        <f ca="1">批次內容!$B$25</f>
        <v>2023/02/08^00:38</v>
      </c>
      <c r="AK13" s="49">
        <f>批次內容!$B$30</f>
        <v>5</v>
      </c>
      <c r="AL13" s="49">
        <f>批次內容!$B$31</f>
        <v>4</v>
      </c>
      <c r="AM13" s="49"/>
      <c r="AN13" s="50" t="str">
        <f ca="1">批次內容!$B$8</f>
        <v>中華民國112年02月07日</v>
      </c>
      <c r="AO13" s="50" t="str">
        <f>批次內容!$B$9</f>
        <v>安聯人壽-每日PDF檔</v>
      </c>
      <c r="AP13" s="50" t="str">
        <f>批次內容!$B$10</f>
        <v>李軒</v>
      </c>
      <c r="AQ13" s="50" t="str">
        <f>批次內容!$B$11</f>
        <v>110台北市信義區信義路五段100號5樓</v>
      </c>
      <c r="AR13" s="50" t="str">
        <f>批次內容!$B$12</f>
        <v>02-8789-5858分機1746</v>
      </c>
      <c r="AS13" s="50" t="str">
        <f>批次內容!$B$3</f>
        <v>IAN</v>
      </c>
      <c r="AT13" s="49">
        <f>批次內容!$B$32</f>
        <v>2</v>
      </c>
      <c r="AU13" s="49">
        <f>批次內容!$B$33</f>
        <v>2</v>
      </c>
      <c r="AV13" s="49" t="str">
        <f>批次內容!$B$34</f>
        <v>N</v>
      </c>
      <c r="AW13" s="49" t="str">
        <f>批次內容!$B$35</f>
        <v>Y</v>
      </c>
      <c r="AX13" s="50" t="str">
        <f ca="1">批次內容!$B$4</f>
        <v>NAS5\DPC-DPI\FX-C1000\0207\，H:\IAN1\</v>
      </c>
      <c r="AY13" s="4" t="s">
        <v>5401</v>
      </c>
    </row>
    <row r="14" spans="1:51">
      <c r="A14" s="4" t="s">
        <v>110</v>
      </c>
      <c r="B14" s="4" t="str">
        <f>"E:\DATA\IAN\IAN1\PNT\" &amp; 批次內容!$B$1</f>
        <v>E:\DATA\IAN\IAN1\PNT\1017_PDF_掛號.wfd</v>
      </c>
      <c r="C14" s="4" t="s">
        <v>111</v>
      </c>
      <c r="D14" s="4" t="str">
        <f ca="1">$E$1 &amp;TEXT(MONTH(NOW()),"00")&amp;TEXT(DAY(NOW()),"00") &amp;"IAN1-P1.txt"</f>
        <v>E:\DATA\IAN\IAN1\back\0207IAN1-P1.txt</v>
      </c>
      <c r="E14" s="48" t="str">
        <f>$G$1&amp;"PNTJOB\PDF600(h03ERR).job"</f>
        <v>E:\DATA\PNTJOB\PDF600(h03ERR).job</v>
      </c>
      <c r="F14" s="4" t="s">
        <v>12034</v>
      </c>
      <c r="G14" s="4" t="str">
        <f ca="1">$E$1&amp;$F$1&amp;"LOG\Slog_ERR"&amp; RIGHT(D14,5)&amp;".c"</f>
        <v>E:\DATA\IAN\IAN1\back\LOG\Slog_ERR1.txt.c</v>
      </c>
      <c r="H14" s="4" t="str">
        <f ca="1">$E$1&amp;$F$1&amp;"LOG\Err_ERR"&amp;RIGHT(D14,5)&amp;".c"</f>
        <v>E:\DATA\IAN\IAN1\back\LOG\Err_ERR1.txt.c</v>
      </c>
      <c r="I14" s="3" t="s">
        <v>4037</v>
      </c>
      <c r="J14" s="4" t="s">
        <v>12035</v>
      </c>
      <c r="K14" s="4" t="str">
        <f ca="1">$E$1 &amp;"ERR.txt"</f>
        <v>E:\DATA\IAN\IAN1\back\ERR.txt</v>
      </c>
      <c r="L14" s="4"/>
      <c r="M14" s="4"/>
      <c r="N14" s="4"/>
      <c r="O14" s="4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" t="str">
        <f>批次內容!$B$26</f>
        <v>E:\DATA\PNTJOB\WPR\0093_0650_7522_0040_7018.wpr</v>
      </c>
    </row>
    <row r="15" spans="1:51">
      <c r="A15" s="4" t="s">
        <v>110</v>
      </c>
      <c r="B15" s="4" t="str">
        <f>"E:\DATA\IAN\IAN1\PNT\" &amp; 批次內容!$B$1</f>
        <v>E:\DATA\IAN\IAN1\PNT\1017_PDF_掛號.wfd</v>
      </c>
      <c r="C15" s="4" t="s">
        <v>12001</v>
      </c>
      <c r="D15" s="4" t="str">
        <f ca="1">$E$1 &amp; "data\" &amp; main!$B$2</f>
        <v>E:\DATA\IAN\IAN1\back\data\</v>
      </c>
      <c r="E15" s="48" t="s">
        <v>12003</v>
      </c>
      <c r="F15" s="4" t="s">
        <v>12004</v>
      </c>
      <c r="G15" s="4" t="str">
        <f ca="1">$E$1&amp;$F$1&amp;"LOG\Slog_TXT.c"</f>
        <v>E:\DATA\IAN\IAN1\back\LOG\Slog_TXT.c</v>
      </c>
      <c r="H15" s="4" t="str">
        <f ca="1">$E$1&amp;$F$1&amp;"LOG\Err_TXT.c"</f>
        <v>E:\DATA\IAN\IAN1\back\LOG\Err_TXT.c</v>
      </c>
      <c r="I15" s="3" t="s">
        <v>12005</v>
      </c>
      <c r="J15" s="4"/>
      <c r="K15" s="4"/>
      <c r="L15" s="4"/>
      <c r="M15" s="4"/>
      <c r="N15" s="4"/>
      <c r="O15" s="4"/>
      <c r="P15" s="49"/>
      <c r="Q15" s="49" t="str">
        <f ca="1">批次內容!$B$4</f>
        <v>NAS5\DPC-DPI\FX-C1000\0207\，H:\IAN1\</v>
      </c>
      <c r="R15" s="49" t="str">
        <f>批次內容!$B$5</f>
        <v>201797A003-004</v>
      </c>
      <c r="S15" s="49" t="str">
        <f>批次內容!$B$6</f>
        <v>201797A099000</v>
      </c>
      <c r="T15" s="49"/>
      <c r="U15" s="49" t="str">
        <f ca="1">批次!$E$1</f>
        <v>E:\DATA\IAN\IAN1\back\</v>
      </c>
      <c r="V15" s="49"/>
      <c r="W15" s="49"/>
      <c r="X15" s="49"/>
      <c r="Y15" s="49"/>
      <c r="Z15" s="49"/>
      <c r="AA15" s="49"/>
      <c r="AB15" s="49"/>
      <c r="AC15" s="49"/>
      <c r="AD15" s="49"/>
      <c r="AE15" s="53">
        <f>批次內容!$B$7</f>
        <v>220260</v>
      </c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" t="str">
        <f>批次內容!$B$26</f>
        <v>E:\DATA\PNTJOB\WPR\0093_0650_7522_0040_7018.wpr</v>
      </c>
    </row>
    <row r="16" spans="1:51">
      <c r="A16" s="4" t="s">
        <v>110</v>
      </c>
      <c r="B16" s="4" t="str">
        <f>"E:\DATA\IAN\IAN1\PNT\" &amp; 批次內容!$B$1</f>
        <v>E:\DATA\IAN\IAN1\PNT\1017_PDF_掛號.wfd</v>
      </c>
      <c r="C16" s="4" t="s">
        <v>12001</v>
      </c>
      <c r="D16" s="4" t="str">
        <f ca="1">$E$1 &amp; "data\" &amp; main!$B$2</f>
        <v>E:\DATA\IAN\IAN1\back\data\</v>
      </c>
      <c r="E16" s="48" t="s">
        <v>12002</v>
      </c>
      <c r="F16" s="4" t="s">
        <v>12015</v>
      </c>
      <c r="G16" s="4" t="str">
        <f ca="1">$E$1&amp;$F$1&amp;"LOG\Slog_檢查PDF.c"</f>
        <v>E:\DATA\IAN\IAN1\back\LOG\Slog_檢查PDF.c</v>
      </c>
      <c r="H16" s="4" t="str">
        <f ca="1">$E$1&amp;$F$1&amp;"LOG\Err_檢查PDF.c"</f>
        <v>E:\DATA\IAN\IAN1\back\LOG\Err_檢查PDF.c</v>
      </c>
      <c r="I16" s="3" t="s">
        <v>12005</v>
      </c>
      <c r="J16" s="4"/>
      <c r="K16" s="4"/>
      <c r="L16" s="4"/>
      <c r="M16" s="4"/>
      <c r="N16" s="4"/>
      <c r="O16" s="4"/>
      <c r="P16" s="49"/>
      <c r="Q16" s="49" t="str">
        <f ca="1">批次內容!$B$4</f>
        <v>NAS5\DPC-DPI\FX-C1000\0207\，H:\IAN1\</v>
      </c>
      <c r="R16" s="49" t="str">
        <f>批次內容!$B$5</f>
        <v>201797A003-004</v>
      </c>
      <c r="S16" s="49" t="str">
        <f>批次內容!$B$6</f>
        <v>201797A099000</v>
      </c>
      <c r="T16" s="49"/>
      <c r="U16" s="49" t="str">
        <f ca="1">批次!$E$1</f>
        <v>E:\DATA\IAN\IAN1\back\</v>
      </c>
      <c r="V16" s="49"/>
      <c r="W16" s="49"/>
      <c r="X16" s="49"/>
      <c r="Y16" s="49"/>
      <c r="Z16" s="49"/>
      <c r="AA16" s="49"/>
      <c r="AB16" s="49"/>
      <c r="AC16" s="49"/>
      <c r="AD16" s="49"/>
      <c r="AE16" s="53">
        <f>批次內容!$B$7</f>
        <v>220260</v>
      </c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49"/>
      <c r="AX16" s="49"/>
      <c r="AY16" s="4" t="str">
        <f>批次內容!$B$26</f>
        <v>E:\DATA\PNTJOB\WPR\0093_0650_7522_0040_7018.wpr</v>
      </c>
    </row>
    <row r="17" spans="1:51">
      <c r="A17" s="4" t="s">
        <v>110</v>
      </c>
      <c r="B17" s="4" t="str">
        <f>"E:\DATA\IAN\IAN1\PNT\" &amp; 批次內容!$B$1</f>
        <v>E:\DATA\IAN\IAN1\PNT\1017_PDF_掛號.wfd</v>
      </c>
      <c r="C17" s="4" t="s">
        <v>111</v>
      </c>
      <c r="D17" s="4" t="str">
        <f ca="1">$E$1 &amp;TEXT(MONTH(NOW()),"00")&amp;TEXT(DAY(NOW()),"00") &amp;"IAN1-P2.txt"</f>
        <v>E:\DATA\IAN\IAN1\back\0207IAN1-P2.txt</v>
      </c>
      <c r="E17" s="48" t="str">
        <f>$G$1&amp;"PNTJOB\PDF600(h03ERR).job"</f>
        <v>E:\DATA\PNTJOB\PDF600(h03ERR).job</v>
      </c>
      <c r="F17" s="4" t="s">
        <v>12034</v>
      </c>
      <c r="G17" s="4" t="str">
        <f ca="1">$E$1&amp;$F$1&amp;"LOG\Slog_ERR"&amp; RIGHT(D17,5)&amp;".c"</f>
        <v>E:\DATA\IAN\IAN1\back\LOG\Slog_ERR2.txt.c</v>
      </c>
      <c r="H17" s="4" t="str">
        <f ca="1">$E$1&amp;$F$1&amp;"LOG\Err_ERR"&amp;RIGHT(D17,5)&amp;".c"</f>
        <v>E:\DATA\IAN\IAN1\back\LOG\Err_ERR2.txt.c</v>
      </c>
      <c r="I17" s="3" t="s">
        <v>12037</v>
      </c>
      <c r="J17" s="4" t="s">
        <v>12035</v>
      </c>
      <c r="K17" s="4" t="str">
        <f ca="1">$E$1 &amp;"ERR.txt"</f>
        <v>E:\DATA\IAN\IAN1\back\ERR.txt</v>
      </c>
      <c r="L17" s="4"/>
      <c r="M17" s="4"/>
      <c r="N17" s="4"/>
      <c r="O17" s="4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49"/>
      <c r="AY17" s="4" t="str">
        <f>批次內容!$B$26</f>
        <v>E:\DATA\PNTJOB\WPR\0093_0650_7522_0040_7018.wpr</v>
      </c>
    </row>
    <row r="18" spans="1:51">
      <c r="A18" s="4" t="s">
        <v>110</v>
      </c>
      <c r="B18" s="4" t="str">
        <f>"E:\DATA\IAN\IAN1\PNT\" &amp; 批次內容!$B$1</f>
        <v>E:\DATA\IAN\IAN1\PNT\1017_PDF_掛號.wfd</v>
      </c>
      <c r="C18" s="4" t="s">
        <v>111</v>
      </c>
      <c r="D18" s="4" t="str">
        <f ca="1">$E$1 &amp;TEXT(MONTH(NOW()),"00")&amp;TEXT(DAY(NOW()),"00") &amp;"IAN1-P3.txt"</f>
        <v>E:\DATA\IAN\IAN1\back\0207IAN1-P3.txt</v>
      </c>
      <c r="E18" s="48" t="str">
        <f>$G$1&amp;"PNTJOB\PDF600(h03ERR).job"</f>
        <v>E:\DATA\PNTJOB\PDF600(h03ERR).job</v>
      </c>
      <c r="F18" s="4" t="s">
        <v>12034</v>
      </c>
      <c r="G18" s="4" t="str">
        <f ca="1">$E$1&amp;$F$1&amp;"LOG\Slog_ERR"&amp; RIGHT(D18,5)&amp;".c"</f>
        <v>E:\DATA\IAN\IAN1\back\LOG\Slog_ERR3.txt.c</v>
      </c>
      <c r="H18" s="4" t="str">
        <f ca="1">$E$1&amp;$F$1&amp;"LOG\Err_ERR"&amp;RIGHT(D18,5)&amp;".c"</f>
        <v>E:\DATA\IAN\IAN1\back\LOG\Err_ERR3.txt.c</v>
      </c>
      <c r="I18" s="3" t="s">
        <v>12038</v>
      </c>
      <c r="J18" s="4" t="s">
        <v>12035</v>
      </c>
      <c r="K18" s="4" t="str">
        <f ca="1">$E$1 &amp;"ERR.txt"</f>
        <v>E:\DATA\IAN\IAN1\back\ERR.txt</v>
      </c>
      <c r="L18" s="4"/>
      <c r="M18" s="4"/>
      <c r="N18" s="4"/>
      <c r="O18" s="4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" t="str">
        <f>批次內容!$B$26</f>
        <v>E:\DATA\PNTJOB\WPR\0093_0650_7522_0040_7018.wpr</v>
      </c>
    </row>
    <row r="19" spans="1:51">
      <c r="A19" s="4" t="s">
        <v>110</v>
      </c>
      <c r="B19" s="4" t="str">
        <f>"E:\DATA\IAN\IAN1\PNT\" &amp; 批次內容!$B$1</f>
        <v>E:\DATA\IAN\IAN1\PNT\1017_PDF_掛號.wfd</v>
      </c>
      <c r="C19" s="4" t="s">
        <v>111</v>
      </c>
      <c r="D19" s="4" t="str">
        <f ca="1">$E$1 &amp;TEXT(MONTH(NOW()),"00")&amp;TEXT(DAY(NOW()),"00") &amp;"IAN1-PP.txt"</f>
        <v>E:\DATA\IAN\IAN1\back\0207IAN1-PP.txt</v>
      </c>
      <c r="E19" s="48" t="str">
        <f>$G$1&amp;"PNTJOB\PDF600(h03ERR).job"</f>
        <v>E:\DATA\PNTJOB\PDF600(h03ERR).job</v>
      </c>
      <c r="F19" s="4" t="s">
        <v>12034</v>
      </c>
      <c r="G19" s="4" t="str">
        <f ca="1">$E$1&amp;$F$1&amp;"LOG\Slog_ERR"&amp; RIGHT(D19,5)&amp;".c"</f>
        <v>E:\DATA\IAN\IAN1\back\LOG\Slog_ERRP.txt.c</v>
      </c>
      <c r="H19" s="4" t="str">
        <f ca="1">$E$1&amp;$F$1&amp;"LOG\Err_ERR"&amp;RIGHT(D19,5)&amp;".c"</f>
        <v>E:\DATA\IAN\IAN1\back\LOG\Err_ERRP.txt.c</v>
      </c>
      <c r="I19" s="3" t="s">
        <v>12039</v>
      </c>
      <c r="J19" s="4" t="s">
        <v>12035</v>
      </c>
      <c r="K19" s="4" t="str">
        <f ca="1">$E$1 &amp;"ERR.txt"</f>
        <v>E:\DATA\IAN\IAN1\back\ERR.txt</v>
      </c>
      <c r="L19" s="4"/>
      <c r="M19" s="4"/>
      <c r="N19" s="4"/>
      <c r="O19" s="4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" t="str">
        <f>批次內容!$B$26</f>
        <v>E:\DATA\PNTJOB\WPR\0093_0650_7522_0040_7018.wpr</v>
      </c>
    </row>
  </sheetData>
  <phoneticPr fontId="2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9202A-D494-460C-A428-963259D2F092}">
  <sheetPr codeName="工作表7"/>
  <dimension ref="A1:H5"/>
  <sheetViews>
    <sheetView workbookViewId="0">
      <pane ySplit="2" topLeftCell="A3" activePane="bottomLeft" state="frozen"/>
      <selection pane="bottomLeft" activeCell="C4" sqref="C4"/>
    </sheetView>
  </sheetViews>
  <sheetFormatPr defaultRowHeight="24.95" customHeight="1"/>
  <cols>
    <col min="1" max="1" width="9.25" style="56" customWidth="1"/>
    <col min="2" max="2" width="9" style="56" customWidth="1"/>
    <col min="3" max="3" width="37" style="55" customWidth="1"/>
    <col min="4" max="4" width="15.625" customWidth="1"/>
  </cols>
  <sheetData>
    <row r="1" spans="1:8" ht="57" customHeight="1">
      <c r="A1" s="76" t="s">
        <v>12021</v>
      </c>
      <c r="B1" s="77"/>
      <c r="C1" s="77"/>
      <c r="D1" s="77"/>
      <c r="E1" s="77"/>
      <c r="F1" s="77"/>
      <c r="G1" s="77"/>
      <c r="H1" s="77"/>
    </row>
    <row r="2" spans="1:8" ht="24.95" customHeight="1">
      <c r="A2" s="78" t="s">
        <v>12020</v>
      </c>
      <c r="B2" s="79"/>
      <c r="C2" s="61" t="s">
        <v>12019</v>
      </c>
      <c r="D2" s="60"/>
    </row>
    <row r="3" spans="1:8" ht="24.95" customHeight="1">
      <c r="A3" s="57" t="s">
        <v>12018</v>
      </c>
      <c r="B3" s="59" t="s">
        <v>12017</v>
      </c>
      <c r="C3" s="58" t="s">
        <v>12022</v>
      </c>
    </row>
    <row r="4" spans="1:8" ht="24.95" customHeight="1">
      <c r="A4" s="57"/>
      <c r="B4" s="57"/>
    </row>
    <row r="5" spans="1:8" ht="24.95" customHeight="1">
      <c r="A5" s="57"/>
      <c r="B5" s="57"/>
    </row>
  </sheetData>
  <mergeCells count="2">
    <mergeCell ref="A1:H1"/>
    <mergeCell ref="A2:B2"/>
  </mergeCells>
  <phoneticPr fontId="2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F439-6206-4386-A625-CA6745EF29B6}">
  <sheetPr codeName="工作表3">
    <tabColor rgb="FF92D050"/>
  </sheetPr>
  <dimension ref="A1:L7"/>
  <sheetViews>
    <sheetView workbookViewId="0">
      <selection activeCell="L2" sqref="L2"/>
    </sheetView>
  </sheetViews>
  <sheetFormatPr defaultRowHeight="16.5"/>
  <cols>
    <col min="1" max="1" width="20.125" style="67" bestFit="1" customWidth="1"/>
    <col min="2" max="2" width="13.875" style="67" bestFit="1" customWidth="1"/>
    <col min="3" max="3" width="7.5" style="67" bestFit="1" customWidth="1"/>
    <col min="4" max="4" width="5.5" style="67" bestFit="1" customWidth="1"/>
    <col min="5" max="5" width="7.125" style="67" bestFit="1" customWidth="1"/>
    <col min="6" max="6" width="6" style="67" bestFit="1" customWidth="1"/>
    <col min="7" max="7" width="12.625" style="67" bestFit="1" customWidth="1"/>
    <col min="8" max="8" width="39.625" style="67" bestFit="1" customWidth="1"/>
    <col min="9" max="9" width="10.25" style="67" bestFit="1" customWidth="1"/>
    <col min="10" max="10" width="30.875" style="67" customWidth="1"/>
    <col min="11" max="11" width="40.5" style="67" bestFit="1" customWidth="1"/>
    <col min="12" max="12" width="7.375" style="67" bestFit="1" customWidth="1"/>
    <col min="13" max="16384" width="9" style="67"/>
  </cols>
  <sheetData>
    <row r="1" spans="1:12" ht="34.5" thickTop="1" thickBot="1">
      <c r="A1" s="64" t="s">
        <v>12041</v>
      </c>
      <c r="B1" s="64" t="s">
        <v>12042</v>
      </c>
      <c r="C1" s="64" t="s">
        <v>12043</v>
      </c>
      <c r="D1" s="64" t="s">
        <v>12044</v>
      </c>
      <c r="E1" s="64" t="s">
        <v>12045</v>
      </c>
      <c r="F1" s="65" t="s">
        <v>12046</v>
      </c>
      <c r="G1" s="65" t="s">
        <v>12047</v>
      </c>
      <c r="H1" s="64" t="s">
        <v>12048</v>
      </c>
      <c r="I1" s="64" t="s">
        <v>12049</v>
      </c>
      <c r="J1" s="65" t="s">
        <v>12050</v>
      </c>
      <c r="K1" s="66" t="s">
        <v>12051</v>
      </c>
      <c r="L1" s="71">
        <v>1</v>
      </c>
    </row>
    <row r="2" spans="1:12" ht="17.25" thickTop="1">
      <c r="A2" s="70" t="s">
        <v>12061</v>
      </c>
      <c r="B2" s="67" t="s">
        <v>12052</v>
      </c>
      <c r="C2" s="67">
        <v>25</v>
      </c>
      <c r="D2" s="67">
        <v>50.3</v>
      </c>
      <c r="E2" s="67">
        <v>75</v>
      </c>
      <c r="F2" s="67">
        <v>5</v>
      </c>
      <c r="G2" s="67">
        <v>1</v>
      </c>
      <c r="I2" s="67">
        <v>0</v>
      </c>
      <c r="K2" s="68" t="s">
        <v>12054</v>
      </c>
      <c r="L2" s="72">
        <v>215.9</v>
      </c>
    </row>
    <row r="3" spans="1:12">
      <c r="A3" s="70" t="s">
        <v>12061</v>
      </c>
      <c r="B3" s="67" t="s">
        <v>12053</v>
      </c>
      <c r="C3" s="67">
        <v>25</v>
      </c>
      <c r="D3" s="67">
        <v>41.3</v>
      </c>
      <c r="E3" s="67">
        <v>75</v>
      </c>
      <c r="F3" s="67">
        <v>9.1</v>
      </c>
      <c r="G3" s="67">
        <v>1</v>
      </c>
      <c r="I3" s="67">
        <v>1</v>
      </c>
      <c r="K3" s="68" t="s">
        <v>12056</v>
      </c>
      <c r="L3" s="73">
        <v>0</v>
      </c>
    </row>
    <row r="4" spans="1:12">
      <c r="A4" s="70" t="s">
        <v>12061</v>
      </c>
      <c r="B4" s="67" t="s">
        <v>12055</v>
      </c>
      <c r="C4" s="67">
        <v>25</v>
      </c>
      <c r="D4" s="67">
        <v>35</v>
      </c>
      <c r="E4" s="67">
        <v>75</v>
      </c>
      <c r="F4" s="67">
        <v>6.5</v>
      </c>
      <c r="G4" s="67">
        <v>1</v>
      </c>
      <c r="I4" s="67">
        <v>1</v>
      </c>
      <c r="K4" s="68" t="s">
        <v>12057</v>
      </c>
      <c r="L4" s="74">
        <v>0</v>
      </c>
    </row>
    <row r="5" spans="1:12">
      <c r="A5" s="70" t="s">
        <v>12061</v>
      </c>
      <c r="B5" s="67" t="s">
        <v>12058</v>
      </c>
      <c r="C5" s="67">
        <v>216.98</v>
      </c>
      <c r="D5" s="67">
        <v>85</v>
      </c>
      <c r="E5" s="67">
        <v>4</v>
      </c>
      <c r="F5" s="67">
        <v>60</v>
      </c>
      <c r="G5" s="67">
        <v>1</v>
      </c>
      <c r="H5" s="67" t="s">
        <v>12059</v>
      </c>
      <c r="I5" s="67">
        <v>1</v>
      </c>
      <c r="K5" s="68" t="s">
        <v>12060</v>
      </c>
      <c r="L5" s="74">
        <v>0</v>
      </c>
    </row>
    <row r="6" spans="1:12" ht="17.25" thickBot="1">
      <c r="K6" s="69" t="s">
        <v>12063</v>
      </c>
      <c r="L6" s="75" t="s">
        <v>12062</v>
      </c>
    </row>
    <row r="7" spans="1:12" ht="17.25" thickTop="1"/>
  </sheetData>
  <phoneticPr fontId="22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ERR</vt:lpstr>
      <vt:lpstr>來檔</vt:lpstr>
      <vt:lpstr>main</vt:lpstr>
      <vt:lpstr>TEMP</vt:lpstr>
      <vt:lpstr>批次內容</vt:lpstr>
      <vt:lpstr>批次</vt:lpstr>
      <vt:lpstr>檢查檔案是否存在</vt:lpstr>
      <vt:lpstr>ChkRectNote</vt:lpstr>
    </vt:vector>
  </TitlesOfParts>
  <Company>GENUINE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溫雅婷</dc:creator>
  <cp:lastModifiedBy>溫雅婷</cp:lastModifiedBy>
  <cp:lastPrinted>2019-01-18T01:42:28Z</cp:lastPrinted>
  <dcterms:created xsi:type="dcterms:W3CDTF">2014-07-01T05:15:47Z</dcterms:created>
  <dcterms:modified xsi:type="dcterms:W3CDTF">2023-02-07T09:26:56Z</dcterms:modified>
</cp:coreProperties>
</file>